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projectTesting\"/>
    </mc:Choice>
  </mc:AlternateContent>
  <xr:revisionPtr revIDLastSave="0" documentId="13_ncr:1_{8725FBE4-9310-4433-B98B-A238A1251C53}" xr6:coauthVersionLast="47" xr6:coauthVersionMax="47" xr10:uidLastSave="{00000000-0000-0000-0000-000000000000}"/>
  <bookViews>
    <workbookView xWindow="-108" yWindow="-108" windowWidth="30936" windowHeight="18696" tabRatio="796" xr2:uid="{0C9370C1-71A9-4F36-81B3-D01AAAF6F8D1}"/>
  </bookViews>
  <sheets>
    <sheet name="Console" sheetId="1" r:id="rId1"/>
    <sheet name="Internal" sheetId="2" state="veryHidden" r:id="rId2"/>
    <sheet name="Co0_routes_config" sheetId="60" state="veryHidden" r:id="rId3"/>
    <sheet name="Co0_general_config" sheetId="25" state="veryHidden" r:id="rId4"/>
    <sheet name="De1-Electric" sheetId="6" state="veryHidden" r:id="rId5"/>
    <sheet name="De1-Cooking" sheetId="7" state="veryHidden" r:id="rId6"/>
    <sheet name="De1-Heating" sheetId="8" state="veryHidden" r:id="rId7"/>
    <sheet name="De2-Config" sheetId="11" state="veryHidden" r:id="rId8"/>
    <sheet name="De4T" sheetId="13" state="veryHidden" r:id="rId9"/>
    <sheet name="Ck1-RawMaterials" sheetId="15" state="veryHidden" r:id="rId10"/>
    <sheet name="Ck2T" sheetId="17" state="veryHidden" r:id="rId11"/>
    <sheet name="Bm1-LocalPriceMult" sheetId="19" state="veryHidden" r:id="rId12"/>
    <sheet name="De2-Electric" sheetId="36" state="veryHidden" r:id="rId13"/>
    <sheet name="De2-Cooking" sheetId="38" state="veryHidden" r:id="rId14"/>
    <sheet name="De2-Heating" sheetId="37" state="veryHidden" r:id="rId15"/>
    <sheet name="Ck1-Fuels" sheetId="39" state="veryHidden" r:id="rId16"/>
    <sheet name="Ck1-SupChains" sheetId="40" state="veryHidden" r:id="rId17"/>
    <sheet name="Ck1-Appliances" sheetId="41" state="veryHidden" r:id="rId18"/>
    <sheet name="Ck1-Technologies" sheetId="42" state="veryHidden" r:id="rId19"/>
    <sheet name="Bm1-LocalTimeGenMult" sheetId="44" state="veryHidden" r:id="rId20"/>
    <sheet name="Pl0-DeployFuels" sheetId="58" state="veryHidden" r:id="rId21"/>
    <sheet name="Pl0-DepFuelsTarget" sheetId="28" state="veryHidden" r:id="rId22"/>
    <sheet name="Pl0-FuelMaxCap" sheetId="54" state="veryHidden" r:id="rId23"/>
    <sheet name="De5-Config" sheetId="29" state="veryHidden" r:id="rId24"/>
    <sheet name="El1T" sheetId="33" state="veryHidden" r:id="rId25"/>
    <sheet name="LPG1T" sheetId="32" state="veryHidden" r:id="rId26"/>
    <sheet name="El1-CostBreakdown" sheetId="45" state="veryHidden" r:id="rId27"/>
    <sheet name="LPG1-CostBreakdown" sheetId="46" state="veryHidden" r:id="rId28"/>
    <sheet name="Tp1" sheetId="47" state="veryHidden" r:id="rId29"/>
    <sheet name="De5-DemandMult" sheetId="48" state="veryHidden" r:id="rId30"/>
    <sheet name="De5-DemandElast" sheetId="49" state="veryHidden" r:id="rId31"/>
    <sheet name="De5-SocClustPar" sheetId="50" state="veryHidden" r:id="rId32"/>
    <sheet name="De5-DepFuelsCostVariation" sheetId="51" state="veryHidden" r:id="rId33"/>
    <sheet name="De5-FuelsRetPrice" sheetId="52" state="veryHidden" r:id="rId34"/>
    <sheet name="De5-AppliancesRetPrice" sheetId="53" state="veryHidden" r:id="rId35"/>
    <sheet name="Pl0-ApplianceMaxCap" sheetId="55" state="veryHidden" r:id="rId36"/>
    <sheet name="Pl0-FuelPriceMult" sheetId="56" state="veryHidden" r:id="rId37"/>
    <sheet name="Pl0-AppliancePriceMult" sheetId="57" state="veryHidden" r:id="rId38"/>
    <sheet name="Pl0-Config" sheetId="59" state="veryHidden" r:id="rId39"/>
    <sheet name="YAML" sheetId="62" state="veryHidden" r:id="rId40"/>
    <sheet name="preprocess" sheetId="64" r:id="rId41"/>
    <sheet name="Co" sheetId="24" r:id="rId42"/>
    <sheet name="Tp" sheetId="30" r:id="rId43"/>
    <sheet name="Pl" sheetId="26" r:id="rId44"/>
    <sheet name="De5" sheetId="27" r:id="rId45"/>
    <sheet name="De1E" sheetId="3" r:id="rId46"/>
    <sheet name="De1C" sheetId="4" r:id="rId47"/>
    <sheet name="De1H" sheetId="5" r:id="rId48"/>
    <sheet name="De2" sheetId="10" r:id="rId49"/>
    <sheet name="De4" sheetId="12" r:id="rId50"/>
    <sheet name="Ck1" sheetId="14" r:id="rId51"/>
    <sheet name="Ck2" sheetId="16" r:id="rId52"/>
    <sheet name="Bm1" sheetId="18" r:id="rId53"/>
    <sheet name="El1" sheetId="20" r:id="rId54"/>
    <sheet name="LPGin" sheetId="31" r:id="rId55"/>
    <sheet name="LPGmodel" sheetId="35" r:id="rId56"/>
    <sheet name="LPG1" sheetId="21" r:id="rId57"/>
    <sheet name="cost" sheetId="65" r:id="rId58"/>
    <sheet name="adoption" sheetId="67" r:id="rId59"/>
    <sheet name="social-impact" sheetId="68" r:id="rId60"/>
    <sheet name="socioeconomic" sheetId="69" r:id="rId61"/>
  </sheets>
  <definedNames>
    <definedName name="_xleta.MATCH" hidden="1" xlm="1">#NAME?</definedName>
    <definedName name="_xleta.N" hidden="1" xlm="1">#NAME?</definedName>
    <definedName name="_xlpm.arr" hidden="1" xlm="1">#NAME?</definedName>
    <definedName name="_xlpm.bdg_type" hidden="1" xlm="1">#NAME?</definedName>
    <definedName name="_xlpm.bdg_type_social" hidden="1" xlm="1">#NAME?</definedName>
    <definedName name="_xlpm.cnt" hidden="1" xlm="1">#NAME?</definedName>
    <definedName name="_xlpm.colIdx" hidden="1" xlm="1">#NAME?</definedName>
    <definedName name="_xlpm.cols" hidden="1" xlm="1">#NAME?</definedName>
    <definedName name="_xlpm.cur" hidden="1" xlm="1">#NAME?</definedName>
    <definedName name="_xlpm.i" hidden="1" xlm="1">#NAME?</definedName>
    <definedName name="_xlpm.idx" hidden="1" xlm="1">#NAME?</definedName>
    <definedName name="_xlpm.landuse" hidden="1" xlm="1">#NAME?</definedName>
    <definedName name="_xlpm.len" hidden="1" xlm="1">#NAME?</definedName>
    <definedName name="_xlpm.listB" hidden="1" xlm="1">#NAME?</definedName>
    <definedName name="_xlpm.listC" hidden="1" xlm="1">#NAME?</definedName>
    <definedName name="_xlpm.listD" hidden="1" xlm="1">#NAME?</definedName>
    <definedName name="_xlpm.listE" hidden="1" xlm="1">#NAME?</definedName>
    <definedName name="_xlpm.listF" hidden="1" xlm="1">#NAME?</definedName>
    <definedName name="_xlpm.listG" hidden="1" xlm="1">#NAME?</definedName>
    <definedName name="_xlpm.listH" hidden="1" xlm="1">#NAME?</definedName>
    <definedName name="_xlpm.listI" hidden="1" xlm="1">#NAME?</definedName>
    <definedName name="_xlpm.listJ" hidden="1" xlm="1">#NAME?</definedName>
    <definedName name="_xlpm.lookupRange" hidden="1" xlm="1">#NAME?</definedName>
    <definedName name="_xlpm.lookupValue" hidden="1" xlm="1">#NAME?</definedName>
    <definedName name="_xlpm.main_classes" hidden="1" xlm="1">#NAME?</definedName>
    <definedName name="_xlpm.multiLines" hidden="1" xlm="1">#NAME?</definedName>
    <definedName name="_xlpm.n" hidden="1" xlm="1">#NAME?</definedName>
    <definedName name="_xlpm.nB" hidden="1" xlm="1">#NAME?</definedName>
    <definedName name="_xlpm.nI" hidden="1" xlm="1">#NAME?</definedName>
    <definedName name="_xlpm.nJ" hidden="1" xlm="1">#NAME?</definedName>
    <definedName name="_xlpm.prev" hidden="1" xlm="1">#NAME?</definedName>
    <definedName name="_xlpm.regions" hidden="1" xlm="1">#NAME?</definedName>
    <definedName name="_xlpm.reps" hidden="1" xlm="1">#NAME?</definedName>
    <definedName name="_xlpm.returnRange" hidden="1" xlm="1">#NAME?</definedName>
    <definedName name="_xlpm.rngB" hidden="1" xlm="1">#NAME?</definedName>
    <definedName name="_xlpm.rngC" hidden="1" xlm="1">#NAME?</definedName>
    <definedName name="_xlpm.rngD" hidden="1" xlm="1">#NAME?</definedName>
    <definedName name="_xlpm.rngE" hidden="1" xlm="1">#NAME?</definedName>
    <definedName name="_xlpm.rngF" hidden="1" xlm="1">#NAME?</definedName>
    <definedName name="_xlpm.rngG" hidden="1" xlm="1">#NAME?</definedName>
    <definedName name="_xlpm.rngH" hidden="1" xlm="1">#NAME?</definedName>
    <definedName name="_xlpm.rngI" hidden="1" xlm="1">#NAME?</definedName>
    <definedName name="_xlpm.rngJ" hidden="1" xlm="1">#NAME?</definedName>
    <definedName name="_xlpm.rowIdx" hidden="1" xlm="1">#NAME?</definedName>
    <definedName name="_xlpm.rows" hidden="1" xlm="1">#NAME?</definedName>
    <definedName name="_xlpm.runLen" hidden="1" xlm="1">#NAME?</definedName>
    <definedName name="_xlpm.seq" hidden="1" xlm="1">#NAME?</definedName>
    <definedName name="_xlpm.src" hidden="1" xlm="1">#NAME?</definedName>
    <definedName name="_xlpm.startRow" hidden="1" xlm="1">#NAME?</definedName>
    <definedName name="_xlpm.tiffLines" hidden="1" xlm="1">#NAME?</definedName>
    <definedName name="_xlpm.total" hidden="1" xlm="1">#NAME?</definedName>
    <definedName name="addID">Internal!$B$25</definedName>
    <definedName name="addInList">Internal!$D$25</definedName>
    <definedName name="addItem">Internal!$B$24</definedName>
    <definedName name="addName">Internal!$C$25</definedName>
    <definedName name="addOK">Internal!$A$25</definedName>
    <definedName name="buildingBlocks">Internal!$A$2:$A$9</definedName>
    <definedName name="caseName">Console!$F$10</definedName>
    <definedName name="caseOut">Console!$F$13</definedName>
    <definedName name="combinedPlans">Pl!$C$15</definedName>
    <definedName name="deployPlans">Pl!$C$13</definedName>
    <definedName name="folderList">Internal!$K$25:$K$36</definedName>
    <definedName name="growthScenarios">'De5'!$C$13</definedName>
    <definedName name="moveInList1">Internal!$D$31</definedName>
    <definedName name="moveInList2">Internal!$E$31</definedName>
    <definedName name="moveItem">Internal!$B$30</definedName>
    <definedName name="moveItem1">Internal!$D$31</definedName>
    <definedName name="moveItem2">Internal!$E$31</definedName>
    <definedName name="moveOK">Internal!$A$31</definedName>
    <definedName name="name1">Internal!$B$31</definedName>
    <definedName name="name2">Internal!$C$31</definedName>
    <definedName name="newName">Internal!$C$29</definedName>
    <definedName name="nStages">Pl!$C$16</definedName>
    <definedName name="pathCases">Console!$D$9</definedName>
    <definedName name="pathCatalog">Internal!$K$28</definedName>
    <definedName name="pathCountry">Internal!$K$29</definedName>
    <definedName name="pathFolders">Internal!$K$25:$K$36</definedName>
    <definedName name="pathOutputs">Console!$D$12</definedName>
    <definedName name="pathPlan">Internal!$K$30</definedName>
    <definedName name="pathProject">Console!$D$4</definedName>
    <definedName name="pricingPlans">Pl!$C$14</definedName>
    <definedName name="readTable">Internal!$A$100</definedName>
    <definedName name="removeInList">Internal!$D$27</definedName>
    <definedName name="removeItem">Internal!$B$26</definedName>
    <definedName name="removeOK">Internal!$A$27</definedName>
    <definedName name="renameInList">Internal!$D$29</definedName>
    <definedName name="renameItem">Internal!$B$28</definedName>
    <definedName name="renameOK">Internal!$A$29</definedName>
    <definedName name="startTable">Internal!$A$33</definedName>
    <definedName name="writeTable">Internal!$A$59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16" l="1"/>
  <c r="H56" i="2"/>
  <c r="L24" i="18"/>
  <c r="K24" i="18"/>
  <c r="L13" i="18"/>
  <c r="K13" i="18"/>
  <c r="B52" i="27"/>
  <c r="A52" i="27"/>
  <c r="B51" i="27"/>
  <c r="A51" i="27"/>
  <c r="B71" i="26"/>
  <c r="A71" i="26"/>
  <c r="B70" i="26"/>
  <c r="A70" i="26"/>
  <c r="B38" i="26"/>
  <c r="A38" i="26"/>
  <c r="B37" i="26"/>
  <c r="A37" i="26"/>
  <c r="B39" i="14"/>
  <c r="A39" i="14"/>
  <c r="B38" i="14"/>
  <c r="A38" i="14"/>
  <c r="G49" i="2"/>
  <c r="H49" i="2"/>
  <c r="H48" i="2"/>
  <c r="B19" i="16"/>
  <c r="A19" i="16"/>
  <c r="B18" i="16"/>
  <c r="A18" i="16"/>
  <c r="B17" i="16"/>
  <c r="A17" i="16"/>
  <c r="B26" i="12"/>
  <c r="A26" i="12"/>
  <c r="B25" i="12"/>
  <c r="A25" i="12"/>
  <c r="B24" i="12"/>
  <c r="A24" i="12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7" i="67" a="1"/>
  <c r="I27" i="67" s="1"/>
  <c r="I27" i="65" a="1"/>
  <c r="I27" i="65" s="1"/>
  <c r="B26" i="14"/>
  <c r="A26" i="14"/>
  <c r="A25" i="62" l="1"/>
  <c r="B27" i="60"/>
  <c r="B28" i="60"/>
  <c r="B29" i="60"/>
  <c r="B30" i="60"/>
  <c r="B31" i="60"/>
  <c r="B32" i="60"/>
  <c r="B33" i="60"/>
  <c r="B34" i="60"/>
  <c r="B35" i="60"/>
  <c r="B36" i="60"/>
  <c r="B26" i="60"/>
  <c r="B15" i="60"/>
  <c r="B16" i="60"/>
  <c r="B17" i="60"/>
  <c r="B18" i="60"/>
  <c r="B19" i="60"/>
  <c r="B20" i="60"/>
  <c r="B21" i="60"/>
  <c r="B22" i="60"/>
  <c r="B23" i="60"/>
  <c r="B24" i="60"/>
  <c r="B25" i="60"/>
  <c r="B14" i="60"/>
  <c r="B3" i="60"/>
  <c r="B4" i="60"/>
  <c r="B5" i="60"/>
  <c r="B6" i="60"/>
  <c r="B7" i="60"/>
  <c r="B8" i="60"/>
  <c r="B9" i="60"/>
  <c r="B10" i="60"/>
  <c r="B11" i="60"/>
  <c r="B12" i="60"/>
  <c r="B13" i="60"/>
  <c r="B2" i="60"/>
  <c r="K30" i="2"/>
  <c r="A88" i="2"/>
  <c r="K29" i="2"/>
  <c r="A76" i="2"/>
  <c r="K28" i="2"/>
  <c r="A63" i="2"/>
  <c r="A89" i="2"/>
  <c r="A90" i="2"/>
  <c r="A91" i="2"/>
  <c r="A92" i="2"/>
  <c r="A93" i="2"/>
  <c r="A94" i="2"/>
  <c r="A95" i="2"/>
  <c r="A96" i="2"/>
  <c r="A97" i="2"/>
  <c r="A87" i="2"/>
  <c r="A77" i="2"/>
  <c r="A78" i="2"/>
  <c r="A79" i="2"/>
  <c r="A80" i="2"/>
  <c r="A81" i="2"/>
  <c r="A82" i="2"/>
  <c r="A83" i="2"/>
  <c r="A84" i="2"/>
  <c r="A85" i="2"/>
  <c r="A86" i="2"/>
  <c r="A75" i="2"/>
  <c r="A64" i="2"/>
  <c r="A65" i="2"/>
  <c r="A66" i="2"/>
  <c r="A67" i="2"/>
  <c r="A68" i="2"/>
  <c r="A69" i="2"/>
  <c r="A70" i="2"/>
  <c r="A71" i="2"/>
  <c r="A72" i="2"/>
  <c r="A73" i="2"/>
  <c r="A74" i="2"/>
  <c r="A5" i="62"/>
  <c r="L6" i="62"/>
  <c r="Y14" i="16" l="1"/>
  <c r="B20" i="16"/>
  <c r="A20" i="16"/>
  <c r="B23" i="12"/>
  <c r="A23" i="12"/>
  <c r="B22" i="12"/>
  <c r="A22" i="12"/>
  <c r="B21" i="12"/>
  <c r="A21" i="12"/>
  <c r="B16" i="16"/>
  <c r="A16" i="16"/>
  <c r="B15" i="16"/>
  <c r="A15" i="16"/>
  <c r="B14" i="16"/>
  <c r="A14" i="16"/>
  <c r="E50" i="2"/>
  <c r="A62" i="2"/>
  <c r="A61" i="2"/>
  <c r="C31" i="35"/>
  <c r="B17" i="25" l="1"/>
  <c r="B14" i="25"/>
  <c r="D6" i="24" l="1"/>
  <c r="A68" i="62"/>
  <c r="A67" i="62"/>
  <c r="A66" i="62"/>
  <c r="A54" i="62"/>
  <c r="A53" i="62"/>
  <c r="A52" i="62"/>
  <c r="A50" i="62"/>
  <c r="A49" i="62"/>
  <c r="A17" i="62"/>
  <c r="E79" i="2"/>
  <c r="J16" i="21"/>
  <c r="G16" i="21"/>
  <c r="D16" i="21"/>
  <c r="M4" i="31"/>
  <c r="L4" i="31"/>
  <c r="K4" i="31"/>
  <c r="G44" i="35"/>
  <c r="G33" i="35"/>
  <c r="G15" i="35"/>
  <c r="K2" i="47" a="1"/>
  <c r="K2" i="47" s="1"/>
  <c r="H2" i="47" a="1"/>
  <c r="H2" i="47" s="1"/>
  <c r="A2" i="47" a="1"/>
  <c r="A2" i="47" s="1"/>
  <c r="C13" i="64" a="1"/>
  <c r="C13" i="64" s="1"/>
  <c r="E76" i="2"/>
  <c r="A51" i="62"/>
  <c r="H13" i="64" a="1"/>
  <c r="H13" i="64" s="1"/>
  <c r="G13" i="64" a="1"/>
  <c r="G13" i="64" s="1"/>
  <c r="F13" i="64" a="1"/>
  <c r="F13" i="64" s="1"/>
  <c r="A58" i="62"/>
  <c r="A57" i="62"/>
  <c r="A56" i="62"/>
  <c r="A20" i="62"/>
  <c r="C31" i="2"/>
  <c r="E31" i="2" s="1"/>
  <c r="D13" i="64" a="1"/>
  <c r="D13" i="64" s="1"/>
  <c r="A69" i="62" l="1" a="1"/>
  <c r="A69" i="62" s="1"/>
  <c r="A60" i="2"/>
  <c r="B2" i="48" a="1"/>
  <c r="B2" i="48" s="1"/>
  <c r="B2" i="49" a="1"/>
  <c r="B2" i="49" s="1"/>
  <c r="B2" i="50" a="1"/>
  <c r="B2" i="50" s="1"/>
  <c r="B2" i="51" a="1"/>
  <c r="B2" i="51" s="1"/>
  <c r="B2" i="52" a="1"/>
  <c r="B2" i="52" s="1"/>
  <c r="B2" i="53" a="1"/>
  <c r="B2" i="53" s="1"/>
  <c r="AD2" i="2" a="1"/>
  <c r="AD2" i="2" s="1"/>
  <c r="AC2" i="2" a="1"/>
  <c r="AC2" i="2" s="1"/>
  <c r="AB2" i="2" a="1"/>
  <c r="AB2" i="2" s="1"/>
  <c r="A6" i="62" s="1"/>
  <c r="AA2" i="2" a="1"/>
  <c r="AA2" i="2" s="1"/>
  <c r="A2" i="28" a="1"/>
  <c r="A2" i="28" s="1"/>
  <c r="K25" i="2"/>
  <c r="T2" i="2" a="1"/>
  <c r="T2" i="2" s="1"/>
  <c r="C2" i="51" a="1"/>
  <c r="C2" i="51" s="1"/>
  <c r="A2" i="29" a="1"/>
  <c r="A2" i="29" s="1"/>
  <c r="B2" i="29" a="1"/>
  <c r="B2" i="29" s="1"/>
  <c r="H2" i="59" a="1"/>
  <c r="H2" i="59" s="1"/>
  <c r="G2" i="59" a="1"/>
  <c r="G2" i="59" s="1"/>
  <c r="B2" i="57" a="1"/>
  <c r="B2" i="57" s="1"/>
  <c r="A2" i="57" a="1"/>
  <c r="A2" i="57" s="1"/>
  <c r="A2" i="56" a="1"/>
  <c r="A2" i="56" s="1"/>
  <c r="B2" i="56" a="1"/>
  <c r="B2" i="56" s="1"/>
  <c r="C2" i="55" a="1"/>
  <c r="C2" i="55" s="1"/>
  <c r="C2" i="54" a="1"/>
  <c r="C2" i="54" s="1"/>
  <c r="B2" i="55" a="1"/>
  <c r="B2" i="55" s="1"/>
  <c r="B2" i="54" a="1"/>
  <c r="B2" i="54" s="1"/>
  <c r="C2" i="28" a="1"/>
  <c r="C2" i="28" s="1"/>
  <c r="B2" i="28" a="1"/>
  <c r="B2" i="28" s="1"/>
  <c r="D2" i="53" a="1"/>
  <c r="D2" i="48" a="1"/>
  <c r="D2" i="50" a="1"/>
  <c r="D2" i="49" a="1"/>
  <c r="D2" i="52" a="1"/>
  <c r="D2" i="51" a="1"/>
  <c r="G2" i="50" a="1"/>
  <c r="K32" i="2" l="1"/>
  <c r="K36" i="2"/>
  <c r="K31" i="2"/>
  <c r="K27" i="2"/>
  <c r="K26" i="2"/>
  <c r="K33" i="2"/>
  <c r="K35" i="2"/>
  <c r="K34" i="2"/>
  <c r="A2" i="53" a="1"/>
  <c r="A2" i="53" s="1"/>
  <c r="A2" i="52" a="1"/>
  <c r="A2" i="52" s="1"/>
  <c r="A2" i="50" a="1"/>
  <c r="A2" i="50" s="1"/>
  <c r="A2" i="51" a="1"/>
  <c r="A2" i="51" s="1"/>
  <c r="A2" i="49" a="1"/>
  <c r="A2" i="49" s="1"/>
  <c r="A2" i="48" a="1"/>
  <c r="A2" i="48" s="1"/>
  <c r="A7" i="62"/>
  <c r="D2" i="48"/>
  <c r="D2" i="49"/>
  <c r="G2" i="50"/>
  <c r="D2" i="50"/>
  <c r="D2" i="51"/>
  <c r="D2" i="52"/>
  <c r="D2" i="53"/>
  <c r="B16" i="25"/>
  <c r="B24" i="25"/>
  <c r="B23" i="25"/>
  <c r="C62" i="2" l="1"/>
  <c r="C27" i="25"/>
  <c r="B27" i="25"/>
  <c r="C25" i="25"/>
  <c r="B25" i="25"/>
  <c r="B18" i="25"/>
  <c r="C18" i="25"/>
  <c r="B19" i="25"/>
  <c r="C19" i="25"/>
  <c r="B20" i="25"/>
  <c r="C20" i="25"/>
  <c r="B21" i="25"/>
  <c r="C21" i="25"/>
  <c r="B22" i="25"/>
  <c r="C22" i="25"/>
  <c r="B8" i="25"/>
  <c r="C8" i="25"/>
  <c r="B9" i="25"/>
  <c r="C9" i="25"/>
  <c r="B10" i="25"/>
  <c r="C10" i="25"/>
  <c r="B11" i="25"/>
  <c r="C11" i="25"/>
  <c r="B12" i="25"/>
  <c r="C12" i="25"/>
  <c r="B13" i="25"/>
  <c r="C13" i="25"/>
  <c r="B15" i="25"/>
  <c r="C15" i="25"/>
  <c r="C7" i="25"/>
  <c r="B5" i="25"/>
  <c r="C5" i="25"/>
  <c r="B6" i="25"/>
  <c r="C6" i="25"/>
  <c r="B4" i="25"/>
  <c r="B7" i="25"/>
  <c r="B3" i="25"/>
  <c r="B2" i="25"/>
  <c r="C61" i="2"/>
  <c r="E91" i="2"/>
  <c r="E93" i="2"/>
  <c r="E97" i="2"/>
  <c r="E92" i="2"/>
  <c r="E96" i="2"/>
  <c r="E94" i="2"/>
  <c r="F93" i="2"/>
  <c r="F97" i="2"/>
  <c r="F92" i="2"/>
  <c r="F96" i="2"/>
  <c r="C91" i="2"/>
  <c r="C30" i="60" s="1"/>
  <c r="C95" i="2"/>
  <c r="C34" i="60" s="1"/>
  <c r="C94" i="2"/>
  <c r="C33" i="60" s="1"/>
  <c r="C96" i="2"/>
  <c r="C35" i="60" s="1"/>
  <c r="C92" i="2"/>
  <c r="C31" i="60" s="1"/>
  <c r="C97" i="2"/>
  <c r="C36" i="60" s="1"/>
  <c r="C93" i="2"/>
  <c r="C32" i="60" s="1"/>
  <c r="A2" i="59" a="1"/>
  <c r="A2" i="59" s="1"/>
  <c r="B96" i="26"/>
  <c r="A12" i="62" s="1"/>
  <c r="F96" i="26"/>
  <c r="E96" i="26"/>
  <c r="D96" i="26"/>
  <c r="C96" i="26"/>
  <c r="C3" i="58"/>
  <c r="C2" i="58"/>
  <c r="B3" i="58"/>
  <c r="B2" i="58"/>
  <c r="B1" i="57" a="1"/>
  <c r="B1" i="57" s="1"/>
  <c r="B1" i="56" a="1"/>
  <c r="B1" i="56" s="1"/>
  <c r="A2" i="55" a="1"/>
  <c r="A2" i="55" s="1"/>
  <c r="C1" i="55" a="1"/>
  <c r="C1" i="55" s="1"/>
  <c r="A2" i="54" a="1"/>
  <c r="A2" i="54" s="1"/>
  <c r="C1" i="54" a="1"/>
  <c r="C1" i="54" s="1"/>
  <c r="E80" i="2"/>
  <c r="E84" i="2"/>
  <c r="E83" i="2"/>
  <c r="E85" i="2"/>
  <c r="E81" i="2"/>
  <c r="E82" i="2"/>
  <c r="C82" i="2"/>
  <c r="C21" i="60" s="1"/>
  <c r="C81" i="2"/>
  <c r="C20" i="60" s="1"/>
  <c r="C85" i="2"/>
  <c r="C24" i="60" s="1"/>
  <c r="C83" i="2"/>
  <c r="C22" i="60" s="1"/>
  <c r="C84" i="2"/>
  <c r="C23" i="60" s="1"/>
  <c r="C80" i="2"/>
  <c r="C19" i="60" s="1"/>
  <c r="C79" i="2"/>
  <c r="C18" i="60" s="1"/>
  <c r="C76" i="2"/>
  <c r="C15" i="60" s="1"/>
  <c r="E88" i="2"/>
  <c r="C90" i="2"/>
  <c r="C29" i="60" s="1"/>
  <c r="C88" i="2"/>
  <c r="C27" i="60" s="1"/>
  <c r="C6" i="46"/>
  <c r="B6" i="46"/>
  <c r="C5" i="46"/>
  <c r="B5" i="46"/>
  <c r="C4" i="46"/>
  <c r="B4" i="46"/>
  <c r="C3" i="46"/>
  <c r="B3" i="46"/>
  <c r="C2" i="46"/>
  <c r="B2" i="46"/>
  <c r="C7" i="46"/>
  <c r="B7" i="46"/>
  <c r="C9" i="46"/>
  <c r="B9" i="46"/>
  <c r="C8" i="46"/>
  <c r="B8" i="46"/>
  <c r="C89" i="2"/>
  <c r="C28" i="60" s="1"/>
  <c r="C87" i="2"/>
  <c r="C26" i="60" s="1"/>
  <c r="B2" i="45" a="1"/>
  <c r="B2" i="45" s="1"/>
  <c r="E87" i="2"/>
  <c r="C77" i="2"/>
  <c r="C16" i="60" s="1"/>
  <c r="C78" i="2"/>
  <c r="C17" i="60" s="1"/>
  <c r="F78" i="2"/>
  <c r="F77" i="2"/>
  <c r="E78" i="2"/>
  <c r="E77" i="2"/>
  <c r="D1" i="44" a="1"/>
  <c r="D1" i="44" s="1"/>
  <c r="D2" i="19" a="1"/>
  <c r="D2" i="19" s="1"/>
  <c r="D1" i="19" a="1"/>
  <c r="D1" i="19" s="1"/>
  <c r="E86" i="2"/>
  <c r="F86" i="2"/>
  <c r="C86" i="2"/>
  <c r="C25" i="60" s="1"/>
  <c r="D1" i="17" a="1"/>
  <c r="D1" i="17" s="1"/>
  <c r="E75" i="2"/>
  <c r="C75" i="2"/>
  <c r="C14" i="60" s="1"/>
  <c r="C72" i="2"/>
  <c r="C11" i="60" s="1"/>
  <c r="C74" i="2"/>
  <c r="C13" i="60" s="1"/>
  <c r="C71" i="2"/>
  <c r="C10" i="60" s="1"/>
  <c r="C70" i="2"/>
  <c r="C9" i="60" s="1"/>
  <c r="C73" i="2"/>
  <c r="C12" i="60" s="1"/>
  <c r="E70" i="2"/>
  <c r="E71" i="2"/>
  <c r="E74" i="2"/>
  <c r="E72" i="2"/>
  <c r="E73" i="2"/>
  <c r="O13" i="10"/>
  <c r="K13" i="10"/>
  <c r="G13" i="10"/>
  <c r="B12" i="5"/>
  <c r="A12" i="5"/>
  <c r="B12" i="4"/>
  <c r="A12" i="4"/>
  <c r="B12" i="3"/>
  <c r="A12" i="3"/>
  <c r="C2" i="36" a="1"/>
  <c r="C2" i="36" s="1"/>
  <c r="A11" i="3"/>
  <c r="F68" i="2"/>
  <c r="F69" i="2"/>
  <c r="F67" i="2"/>
  <c r="E67" i="2"/>
  <c r="E68" i="2"/>
  <c r="E69" i="2"/>
  <c r="C67" i="2"/>
  <c r="C6" i="60" s="1"/>
  <c r="C68" i="2"/>
  <c r="C7" i="60" s="1"/>
  <c r="C69" i="2"/>
  <c r="C8" i="60" s="1"/>
  <c r="C1" i="38" a="1"/>
  <c r="C1" i="38" s="1"/>
  <c r="C1" i="37" a="1"/>
  <c r="C1" i="37" s="1"/>
  <c r="C1" i="36" a="1"/>
  <c r="C1" i="36" s="1"/>
  <c r="C66" i="2"/>
  <c r="C5" i="60" s="1"/>
  <c r="F66" i="2"/>
  <c r="E66" i="2"/>
  <c r="C64" i="2"/>
  <c r="C3" i="60" s="1"/>
  <c r="C65" i="2"/>
  <c r="C4" i="60" s="1"/>
  <c r="C63" i="2"/>
  <c r="C2" i="60" s="1"/>
  <c r="F65" i="2"/>
  <c r="E65" i="2"/>
  <c r="F64" i="2"/>
  <c r="E64" i="2"/>
  <c r="F63" i="2"/>
  <c r="E63" i="2"/>
  <c r="O19" i="21" a="1"/>
  <c r="O19" i="21" s="1"/>
  <c r="D2" i="40" a="1"/>
  <c r="D2" i="44" a="1"/>
  <c r="E2" i="40" a="1"/>
  <c r="C2" i="40" a="1"/>
  <c r="C2" i="38" a="1"/>
  <c r="C2" i="44" a="1"/>
  <c r="D2" i="42" a="1"/>
  <c r="C2" i="19" a="1"/>
  <c r="C2" i="37" a="1"/>
  <c r="C2" i="42" a="1"/>
  <c r="C2" i="59" l="1" a="1"/>
  <c r="C2" i="59" s="1"/>
  <c r="A11" i="62"/>
  <c r="E2" i="59" a="1"/>
  <c r="E2" i="59" s="1"/>
  <c r="A10" i="62"/>
  <c r="C2" i="19"/>
  <c r="C2" i="44"/>
  <c r="D2" i="42"/>
  <c r="C2" i="42"/>
  <c r="E2" i="40"/>
  <c r="D2" i="40"/>
  <c r="C2" i="40"/>
  <c r="C2" i="37"/>
  <c r="C2" i="38"/>
  <c r="D2" i="44"/>
  <c r="A2" i="32" a="1"/>
  <c r="A2" i="32" s="1"/>
  <c r="A2" i="33" a="1"/>
  <c r="A2" i="33" s="1"/>
  <c r="G41" i="35"/>
  <c r="G39" i="35"/>
  <c r="G43" i="35"/>
  <c r="G37" i="35"/>
  <c r="G28" i="35"/>
  <c r="G32" i="35"/>
  <c r="G30" i="35"/>
  <c r="G12" i="35"/>
  <c r="G21" i="35"/>
  <c r="G20" i="35"/>
  <c r="G14" i="35"/>
  <c r="G10" i="35"/>
  <c r="F2" i="59" a="1"/>
  <c r="D2" i="59" a="1"/>
  <c r="E60" i="2" l="1"/>
  <c r="F2" i="59"/>
  <c r="D2" i="59"/>
  <c r="C17" i="35"/>
  <c r="P3" i="31"/>
  <c r="G3" i="31"/>
  <c r="V4" i="31" a="1"/>
  <c r="V4" i="31" s="1"/>
  <c r="M5" i="31" l="1" a="1"/>
  <c r="M5" i="31" s="1"/>
  <c r="L5" i="31" a="1"/>
  <c r="L5" i="31" s="1"/>
  <c r="K5" i="31" a="1"/>
  <c r="K5" i="31" s="1"/>
  <c r="L4" i="30" a="1"/>
  <c r="L4" i="30" s="1"/>
  <c r="B32" i="18"/>
  <c r="B31" i="18"/>
  <c r="B30" i="18"/>
  <c r="B29" i="18"/>
  <c r="B28" i="18"/>
  <c r="B27" i="18"/>
  <c r="B26" i="18"/>
  <c r="B25" i="18"/>
  <c r="B21" i="18"/>
  <c r="B20" i="18"/>
  <c r="B19" i="18"/>
  <c r="B18" i="18"/>
  <c r="B17" i="18"/>
  <c r="B16" i="18"/>
  <c r="B15" i="18"/>
  <c r="B2" i="44" l="1" a="1"/>
  <c r="B2" i="44" s="1"/>
  <c r="A2" i="44" s="1" a="1"/>
  <c r="A2" i="44" s="1"/>
  <c r="B65" i="26"/>
  <c r="B66" i="26"/>
  <c r="B67" i="26"/>
  <c r="B68" i="26"/>
  <c r="B69" i="26"/>
  <c r="A65" i="26"/>
  <c r="A66" i="26"/>
  <c r="A67" i="26"/>
  <c r="A68" i="26"/>
  <c r="C19" i="26" l="1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J24" i="18"/>
  <c r="J13" i="18"/>
  <c r="B50" i="27"/>
  <c r="A50" i="27"/>
  <c r="A69" i="26"/>
  <c r="B36" i="26"/>
  <c r="A36" i="26"/>
  <c r="B37" i="14"/>
  <c r="A37" i="14"/>
  <c r="D19" i="26" l="1"/>
  <c r="E19" i="26" s="1"/>
  <c r="B68" i="27"/>
  <c r="A68" i="27"/>
  <c r="B67" i="27"/>
  <c r="A67" i="27"/>
  <c r="B66" i="27"/>
  <c r="A66" i="27"/>
  <c r="B65" i="27"/>
  <c r="A65" i="27"/>
  <c r="B64" i="27"/>
  <c r="A64" i="27"/>
  <c r="B63" i="27"/>
  <c r="A63" i="27"/>
  <c r="B62" i="27"/>
  <c r="A62" i="27"/>
  <c r="B61" i="27"/>
  <c r="A61" i="27"/>
  <c r="B60" i="27"/>
  <c r="A60" i="27"/>
  <c r="B87" i="26"/>
  <c r="A87" i="26"/>
  <c r="B86" i="26"/>
  <c r="A86" i="26"/>
  <c r="B85" i="26"/>
  <c r="A85" i="26"/>
  <c r="B84" i="26"/>
  <c r="A84" i="26"/>
  <c r="B83" i="26"/>
  <c r="A83" i="26"/>
  <c r="B82" i="26"/>
  <c r="A82" i="26"/>
  <c r="B81" i="26"/>
  <c r="A81" i="26"/>
  <c r="B80" i="26"/>
  <c r="A80" i="26"/>
  <c r="B79" i="26"/>
  <c r="A79" i="26"/>
  <c r="B54" i="26"/>
  <c r="A54" i="26"/>
  <c r="B53" i="26"/>
  <c r="A53" i="26"/>
  <c r="B52" i="26"/>
  <c r="A52" i="26"/>
  <c r="B51" i="26"/>
  <c r="A51" i="26"/>
  <c r="B50" i="26"/>
  <c r="A50" i="26"/>
  <c r="B49" i="26"/>
  <c r="A49" i="26"/>
  <c r="B48" i="26"/>
  <c r="A48" i="26"/>
  <c r="B47" i="26"/>
  <c r="A47" i="26"/>
  <c r="B46" i="26"/>
  <c r="A46" i="26"/>
  <c r="B72" i="14"/>
  <c r="A72" i="14"/>
  <c r="B71" i="14"/>
  <c r="A71" i="14"/>
  <c r="B70" i="14"/>
  <c r="A70" i="14"/>
  <c r="B69" i="14"/>
  <c r="A69" i="14"/>
  <c r="B68" i="14"/>
  <c r="A68" i="14"/>
  <c r="B67" i="14"/>
  <c r="A67" i="14"/>
  <c r="B66" i="14"/>
  <c r="A66" i="14"/>
  <c r="B65" i="14"/>
  <c r="A65" i="14"/>
  <c r="B64" i="14"/>
  <c r="A64" i="14"/>
  <c r="B69" i="27"/>
  <c r="A69" i="27"/>
  <c r="B59" i="27"/>
  <c r="A59" i="27"/>
  <c r="B58" i="27"/>
  <c r="A58" i="27"/>
  <c r="B57" i="27"/>
  <c r="A57" i="27"/>
  <c r="B56" i="27"/>
  <c r="A56" i="27"/>
  <c r="B49" i="27"/>
  <c r="A49" i="27"/>
  <c r="B48" i="27"/>
  <c r="A48" i="27"/>
  <c r="B47" i="27"/>
  <c r="A47" i="27"/>
  <c r="B46" i="27"/>
  <c r="A46" i="27"/>
  <c r="B45" i="27"/>
  <c r="A45" i="27"/>
  <c r="B44" i="27"/>
  <c r="A44" i="27"/>
  <c r="B78" i="26"/>
  <c r="A78" i="26"/>
  <c r="B45" i="26"/>
  <c r="A45" i="26"/>
  <c r="B63" i="14"/>
  <c r="A63" i="14"/>
  <c r="A76" i="26"/>
  <c r="A77" i="26"/>
  <c r="A75" i="26"/>
  <c r="A43" i="26"/>
  <c r="A44" i="26"/>
  <c r="A55" i="26"/>
  <c r="A42" i="26"/>
  <c r="A64" i="26"/>
  <c r="A63" i="26"/>
  <c r="B63" i="26"/>
  <c r="A31" i="26"/>
  <c r="A32" i="26"/>
  <c r="A33" i="26"/>
  <c r="A34" i="26"/>
  <c r="A35" i="26"/>
  <c r="A30" i="26"/>
  <c r="B30" i="26"/>
  <c r="B33" i="26"/>
  <c r="B32" i="26"/>
  <c r="B27" i="26"/>
  <c r="B26" i="26"/>
  <c r="B77" i="26"/>
  <c r="B76" i="26"/>
  <c r="B75" i="26"/>
  <c r="B64" i="26"/>
  <c r="B44" i="26"/>
  <c r="B43" i="26"/>
  <c r="B42" i="26"/>
  <c r="B35" i="26"/>
  <c r="B34" i="26"/>
  <c r="B31" i="26"/>
  <c r="C4" i="25"/>
  <c r="C2" i="52" l="1" a="1"/>
  <c r="C2" i="52" s="1"/>
  <c r="C2" i="53" a="1"/>
  <c r="C2" i="53" s="1"/>
  <c r="B97" i="26" a="1"/>
  <c r="Y19" i="16"/>
  <c r="Z19" i="16" s="1"/>
  <c r="Y18" i="16"/>
  <c r="Y17" i="16"/>
  <c r="Y16" i="16"/>
  <c r="Y15" i="16"/>
  <c r="Y13" i="16"/>
  <c r="Y12" i="16"/>
  <c r="Y11" i="16"/>
  <c r="Y10" i="16"/>
  <c r="Q26" i="12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B94" i="14"/>
  <c r="A94" i="14"/>
  <c r="B93" i="14"/>
  <c r="A93" i="14"/>
  <c r="B92" i="14"/>
  <c r="A92" i="14"/>
  <c r="B91" i="14"/>
  <c r="A91" i="14"/>
  <c r="B90" i="14"/>
  <c r="A90" i="14"/>
  <c r="B89" i="14"/>
  <c r="A89" i="14"/>
  <c r="B88" i="14"/>
  <c r="A88" i="14"/>
  <c r="B87" i="14"/>
  <c r="A87" i="14"/>
  <c r="B86" i="14"/>
  <c r="A86" i="14"/>
  <c r="B85" i="14"/>
  <c r="A85" i="14"/>
  <c r="B84" i="14"/>
  <c r="A84" i="14"/>
  <c r="B83" i="14"/>
  <c r="A83" i="14"/>
  <c r="B82" i="14"/>
  <c r="A82" i="14"/>
  <c r="B81" i="14"/>
  <c r="A81" i="14"/>
  <c r="B80" i="14"/>
  <c r="A80" i="14"/>
  <c r="B79" i="14"/>
  <c r="A79" i="14"/>
  <c r="I24" i="18"/>
  <c r="H24" i="18"/>
  <c r="G24" i="18"/>
  <c r="F24" i="18"/>
  <c r="E24" i="18"/>
  <c r="D24" i="18"/>
  <c r="I13" i="18"/>
  <c r="H13" i="18"/>
  <c r="G13" i="18"/>
  <c r="F13" i="18"/>
  <c r="E13" i="18"/>
  <c r="D13" i="18"/>
  <c r="F9" i="16"/>
  <c r="E9" i="16"/>
  <c r="D9" i="16"/>
  <c r="AD12" i="5"/>
  <c r="AC12" i="5"/>
  <c r="AB12" i="5"/>
  <c r="AD12" i="4"/>
  <c r="AC12" i="4"/>
  <c r="AB12" i="4"/>
  <c r="AD12" i="3"/>
  <c r="AC12" i="3"/>
  <c r="AB12" i="3"/>
  <c r="E13" i="10"/>
  <c r="N13" i="10"/>
  <c r="J13" i="10"/>
  <c r="F13" i="10"/>
  <c r="M13" i="10"/>
  <c r="I13" i="10"/>
  <c r="B55" i="14"/>
  <c r="A55" i="14"/>
  <c r="B97" i="26" l="1"/>
  <c r="B2" i="59" a="1"/>
  <c r="B2" i="59" l="1"/>
  <c r="AD11" i="5"/>
  <c r="AD10" i="5"/>
  <c r="AD11" i="4"/>
  <c r="AD10" i="4"/>
  <c r="AD11" i="3"/>
  <c r="AD10" i="3"/>
  <c r="I56" i="2"/>
  <c r="B31" i="2" l="1"/>
  <c r="D31" i="2" s="1"/>
  <c r="B29" i="2"/>
  <c r="D29" i="2" s="1"/>
  <c r="C29" i="2"/>
  <c r="E29" i="2" s="1"/>
  <c r="B54" i="14" l="1"/>
  <c r="A54" i="14"/>
  <c r="B53" i="14"/>
  <c r="A53" i="14"/>
  <c r="B52" i="14"/>
  <c r="A52" i="14"/>
  <c r="B51" i="14"/>
  <c r="A51" i="14"/>
  <c r="B50" i="14"/>
  <c r="A50" i="14"/>
  <c r="B49" i="14"/>
  <c r="A49" i="14"/>
  <c r="B48" i="14"/>
  <c r="A48" i="14"/>
  <c r="B47" i="14"/>
  <c r="A47" i="14"/>
  <c r="B25" i="14"/>
  <c r="A25" i="14"/>
  <c r="B24" i="14"/>
  <c r="A24" i="14"/>
  <c r="B13" i="16"/>
  <c r="A13" i="16"/>
  <c r="B20" i="12"/>
  <c r="A20" i="12"/>
  <c r="A31" i="2" l="1"/>
  <c r="A29" i="2"/>
  <c r="E25" i="2" l="1"/>
  <c r="D25" i="2" s="1"/>
  <c r="D56" i="2" s="1"/>
  <c r="C25" i="2"/>
  <c r="B25" i="2"/>
  <c r="J7" i="1"/>
  <c r="J8" i="1"/>
  <c r="J9" i="1"/>
  <c r="J10" i="1"/>
  <c r="J11" i="1"/>
  <c r="J12" i="1"/>
  <c r="C55" i="2" l="1"/>
  <c r="C50" i="2"/>
  <c r="C54" i="2"/>
  <c r="C51" i="2"/>
  <c r="C53" i="2"/>
  <c r="C52" i="2"/>
  <c r="C43" i="2"/>
  <c r="C45" i="2"/>
  <c r="D49" i="2"/>
  <c r="D48" i="2"/>
  <c r="C44" i="2"/>
  <c r="C47" i="2"/>
  <c r="C46" i="2"/>
  <c r="C42" i="2"/>
  <c r="C36" i="2"/>
  <c r="D39" i="2"/>
  <c r="D38" i="2"/>
  <c r="C35" i="2"/>
  <c r="C34" i="2"/>
  <c r="D37" i="2"/>
  <c r="C40" i="2"/>
  <c r="C41" i="2"/>
  <c r="A25" i="2"/>
  <c r="J6" i="1" l="1"/>
  <c r="B14" i="18"/>
  <c r="B2" i="19" s="1" a="1"/>
  <c r="B2" i="19" s="1"/>
  <c r="A2" i="19" s="1" a="1"/>
  <c r="A2" i="19" s="1"/>
  <c r="B12" i="16"/>
  <c r="A12" i="16"/>
  <c r="B11" i="16"/>
  <c r="A11" i="16"/>
  <c r="B10" i="16"/>
  <c r="A10" i="16"/>
  <c r="B78" i="14"/>
  <c r="A78" i="14"/>
  <c r="B77" i="14"/>
  <c r="A77" i="14"/>
  <c r="B76" i="14"/>
  <c r="A76" i="14"/>
  <c r="B62" i="14"/>
  <c r="A62" i="14"/>
  <c r="B61" i="14"/>
  <c r="A61" i="14"/>
  <c r="B60" i="14"/>
  <c r="A60" i="14"/>
  <c r="B46" i="14"/>
  <c r="A46" i="14"/>
  <c r="B45" i="14"/>
  <c r="A45" i="14"/>
  <c r="B36" i="14"/>
  <c r="A36" i="14"/>
  <c r="B35" i="14"/>
  <c r="A35" i="14"/>
  <c r="B34" i="14"/>
  <c r="A34" i="14"/>
  <c r="B33" i="14"/>
  <c r="A33" i="14"/>
  <c r="B32" i="14"/>
  <c r="A32" i="14"/>
  <c r="B31" i="14"/>
  <c r="A31" i="14"/>
  <c r="B23" i="14"/>
  <c r="A23" i="14"/>
  <c r="B22" i="14"/>
  <c r="A22" i="14"/>
  <c r="B21" i="14"/>
  <c r="A21" i="14"/>
  <c r="B19" i="12"/>
  <c r="A19" i="12"/>
  <c r="B18" i="12"/>
  <c r="A18" i="12"/>
  <c r="B17" i="12"/>
  <c r="A17" i="12"/>
  <c r="B15" i="10"/>
  <c r="A15" i="10"/>
  <c r="B14" i="10"/>
  <c r="A14" i="10"/>
  <c r="B11" i="5"/>
  <c r="A11" i="5"/>
  <c r="B10" i="5"/>
  <c r="A10" i="5"/>
  <c r="B11" i="4"/>
  <c r="A11" i="4"/>
  <c r="B10" i="4"/>
  <c r="A10" i="4"/>
  <c r="B11" i="3"/>
  <c r="B10" i="3"/>
  <c r="A10" i="3"/>
  <c r="A2" i="42" a="1"/>
  <c r="A2" i="41" a="1"/>
  <c r="A2" i="40" a="1"/>
  <c r="A2" i="39" a="1"/>
  <c r="A2" i="7" l="1" a="1"/>
  <c r="A2" i="7" s="1"/>
  <c r="A2" i="13" a="1"/>
  <c r="A2" i="13" s="1"/>
  <c r="A2" i="40"/>
  <c r="A2" i="39"/>
  <c r="A2" i="41"/>
  <c r="A2" i="42"/>
  <c r="A2" i="15" a="1"/>
  <c r="A2" i="15" s="1"/>
  <c r="A2" i="17" a="1"/>
  <c r="A2" i="17" s="1"/>
  <c r="A2" i="8" a="1"/>
  <c r="A2" i="8" s="1"/>
  <c r="A2" i="6" a="1"/>
  <c r="A2" i="6" s="1"/>
  <c r="A2" i="36" a="1"/>
  <c r="A2" i="36" s="1"/>
  <c r="A2" i="37" a="1"/>
  <c r="A2" i="37" s="1"/>
  <c r="A2" i="38" a="1"/>
  <c r="A2" i="38" s="1"/>
  <c r="A2" i="11" a="1"/>
  <c r="A2" i="11" s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Y22" i="1"/>
  <c r="W22" i="1"/>
  <c r="U22" i="1"/>
  <c r="S22" i="1"/>
  <c r="Q22" i="1"/>
  <c r="O22" i="1"/>
  <c r="M22" i="1"/>
  <c r="K22" i="1"/>
  <c r="J22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H39" i="2" l="1"/>
  <c r="H38" i="2"/>
  <c r="H37" i="2"/>
  <c r="J20" i="2"/>
  <c r="P22" i="1" s="1"/>
  <c r="Z17" i="16" l="1"/>
  <c r="Z18" i="16"/>
  <c r="Z10" i="16"/>
  <c r="Z11" i="16"/>
  <c r="Z12" i="16"/>
  <c r="Z13" i="16"/>
  <c r="Z15" i="16"/>
  <c r="Z16" i="16"/>
  <c r="AC11" i="5" l="1"/>
  <c r="AB11" i="5"/>
  <c r="AC10" i="5"/>
  <c r="AB10" i="5"/>
  <c r="AC11" i="4"/>
  <c r="AB11" i="4"/>
  <c r="AC10" i="4"/>
  <c r="AB10" i="4"/>
  <c r="AA2" i="7" s="1" a="1"/>
  <c r="AA2" i="7" s="1"/>
  <c r="AC11" i="3"/>
  <c r="AB11" i="3"/>
  <c r="AA2" i="8" l="1" a="1"/>
  <c r="AA2" i="8" s="1"/>
  <c r="Q25" i="12" l="1"/>
  <c r="R25" i="12" s="1"/>
  <c r="Q24" i="12"/>
  <c r="R24" i="12" s="1"/>
  <c r="Q23" i="12"/>
  <c r="R23" i="12" s="1"/>
  <c r="Q22" i="12"/>
  <c r="R22" i="12" s="1"/>
  <c r="Q21" i="12"/>
  <c r="R21" i="12" s="1"/>
  <c r="Q20" i="12"/>
  <c r="R20" i="12" s="1"/>
  <c r="Q19" i="12"/>
  <c r="R19" i="12" s="1"/>
  <c r="Q18" i="12"/>
  <c r="R18" i="12" s="1"/>
  <c r="Q17" i="12"/>
  <c r="R17" i="12" s="1"/>
  <c r="AC10" i="3" l="1"/>
  <c r="AB10" i="3"/>
  <c r="AA2" i="6" s="1" a="1"/>
  <c r="AA2" i="6" s="1"/>
  <c r="X22" i="1" l="1"/>
  <c r="P20" i="2"/>
  <c r="V22" i="1" s="1"/>
  <c r="N20" i="2"/>
  <c r="T22" i="1" s="1"/>
  <c r="L20" i="2"/>
  <c r="R22" i="1" s="1"/>
  <c r="H20" i="2"/>
  <c r="N22" i="1" s="1"/>
  <c r="L22" i="1"/>
  <c r="C27" i="2"/>
  <c r="D27" i="2" s="1"/>
  <c r="F56" i="2" s="1"/>
  <c r="E55" i="2" l="1"/>
  <c r="E54" i="2"/>
  <c r="E53" i="2"/>
  <c r="E52" i="2"/>
  <c r="E51" i="2"/>
  <c r="E43" i="2"/>
  <c r="E47" i="2"/>
  <c r="E45" i="2"/>
  <c r="E46" i="2"/>
  <c r="E36" i="2"/>
  <c r="E35" i="2"/>
  <c r="E34" i="2"/>
  <c r="F39" i="2"/>
  <c r="F38" i="2"/>
  <c r="F37" i="2"/>
  <c r="E42" i="2"/>
  <c r="E40" i="2"/>
  <c r="E41" i="2"/>
  <c r="E44" i="2"/>
  <c r="F49" i="2"/>
  <c r="F48" i="2"/>
  <c r="A27" i="2"/>
  <c r="U5" i="31" l="1" a="1"/>
  <c r="C34" i="35" s="1"/>
  <c r="R5" i="31" a="1"/>
  <c r="R5" i="31" s="1"/>
  <c r="U5" i="31" l="1"/>
  <c r="C30" i="35" l="1"/>
  <c r="C29" i="35"/>
  <c r="C33" i="35" l="1"/>
  <c r="C32" i="35"/>
  <c r="C16" i="35"/>
  <c r="G7" i="35" s="1"/>
  <c r="C15" i="35"/>
  <c r="B8" i="35" s="1"/>
  <c r="B7" i="35" s="1"/>
  <c r="B4" i="35" s="1"/>
  <c r="C26" i="35" l="1"/>
  <c r="C25" i="35" s="1"/>
  <c r="C18" i="35"/>
  <c r="G17" i="35" s="1"/>
  <c r="G5" i="35"/>
  <c r="G8" i="35"/>
  <c r="G9" i="35" s="1"/>
  <c r="C42" i="35" l="1"/>
  <c r="G24" i="35" s="1"/>
  <c r="C43" i="35"/>
  <c r="G25" i="35" s="1"/>
  <c r="C41" i="35"/>
  <c r="G23" i="35" s="1"/>
  <c r="G18" i="35"/>
  <c r="J11" i="35" s="1"/>
  <c r="C40" i="35"/>
  <c r="C24" i="35"/>
  <c r="C44" i="35" l="1"/>
  <c r="G26" i="35" s="1"/>
  <c r="G27" i="35" s="1"/>
  <c r="J7" i="35" s="1"/>
  <c r="J17" i="35"/>
  <c r="J25" i="35"/>
  <c r="J21" i="35"/>
  <c r="G35" i="35"/>
  <c r="G36" i="35"/>
  <c r="C23" i="35"/>
  <c r="G40" i="35"/>
  <c r="G42" i="35"/>
  <c r="G38" i="35" l="1"/>
  <c r="J9" i="35" s="1"/>
  <c r="J19" i="35" s="1"/>
  <c r="G45" i="35"/>
  <c r="C22" i="35"/>
  <c r="C39" i="35"/>
  <c r="J26" i="35" l="1"/>
  <c r="J23" i="35"/>
  <c r="G31" i="35"/>
  <c r="G29" i="35"/>
  <c r="G19" i="35"/>
  <c r="G22" i="35" s="1"/>
  <c r="J5" i="35" s="1"/>
  <c r="C21" i="35"/>
  <c r="G34" i="35" l="1"/>
  <c r="C38" i="35"/>
  <c r="C20" i="35"/>
  <c r="C19" i="35" s="1"/>
  <c r="G4" i="35" s="1"/>
  <c r="G6" i="35" l="1"/>
  <c r="J4" i="35" s="1"/>
  <c r="J10" i="35"/>
  <c r="G13" i="35"/>
  <c r="G11" i="35"/>
  <c r="J12" i="35" l="1"/>
  <c r="J22" i="35" s="1"/>
  <c r="G16" i="35"/>
  <c r="J6" i="35" s="1"/>
  <c r="J8" i="35" s="1"/>
  <c r="J24" i="35"/>
  <c r="J20" i="35"/>
  <c r="J16" i="35"/>
  <c r="J18" i="35" l="1"/>
  <c r="J13" i="35"/>
  <c r="J14" i="35"/>
  <c r="J15" i="3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<sst xmlns="http://schemas.openxmlformats.org/spreadsheetml/2006/main" count="3730" uniqueCount="2291">
  <si>
    <t>Demand profiles</t>
  </si>
  <si>
    <t>Building types</t>
  </si>
  <si>
    <t>Social clusters</t>
  </si>
  <si>
    <t>Raw materials</t>
  </si>
  <si>
    <t>Fuels</t>
  </si>
  <si>
    <t>Appliances</t>
  </si>
  <si>
    <t>Technologies</t>
  </si>
  <si>
    <t>Supply chains</t>
  </si>
  <si>
    <t>Domestic</t>
  </si>
  <si>
    <t>Commercial</t>
  </si>
  <si>
    <t>Wood</t>
  </si>
  <si>
    <t>LPG</t>
  </si>
  <si>
    <t>Charcoal</t>
  </si>
  <si>
    <t>Pellets</t>
  </si>
  <si>
    <t>Biogas</t>
  </si>
  <si>
    <t>Com-Firewood</t>
  </si>
  <si>
    <t>Free-Firewood</t>
  </si>
  <si>
    <t>Free-Biomass</t>
  </si>
  <si>
    <t>Crops-Waste</t>
  </si>
  <si>
    <t>Livestock-Waste</t>
  </si>
  <si>
    <t>Charcoal-Local</t>
  </si>
  <si>
    <t>Firewood-Local</t>
  </si>
  <si>
    <t>Wood-Pellets</t>
  </si>
  <si>
    <t>Private-Biogas</t>
  </si>
  <si>
    <t>Electric_0</t>
  </si>
  <si>
    <t>Electric_1</t>
  </si>
  <si>
    <t>Electric_2</t>
  </si>
  <si>
    <t>Charcoal_0</t>
  </si>
  <si>
    <t>Charcoal_1</t>
  </si>
  <si>
    <t>Charcoal_2</t>
  </si>
  <si>
    <t>Firewood-Bio_0</t>
  </si>
  <si>
    <t>Firewood-Bio_1</t>
  </si>
  <si>
    <t>Firewood-Bio_2</t>
  </si>
  <si>
    <t>Com-Firewood_0</t>
  </si>
  <si>
    <t>Com-Firewood_1</t>
  </si>
  <si>
    <t>Com-Firewood_2</t>
  </si>
  <si>
    <t>Free-Biomass_0</t>
  </si>
  <si>
    <t>Free-Biomass_1</t>
  </si>
  <si>
    <t>Free-Biomass_2</t>
  </si>
  <si>
    <t>Free-Firewood_0</t>
  </si>
  <si>
    <t>Free-Firewood_2</t>
  </si>
  <si>
    <t>Case size definition</t>
  </si>
  <si>
    <t>ESRI</t>
  </si>
  <si>
    <t>De1</t>
  </si>
  <si>
    <t>kW</t>
  </si>
  <si>
    <t>Total</t>
  </si>
  <si>
    <t>Peak</t>
  </si>
  <si>
    <t>Mean</t>
  </si>
  <si>
    <t>De2</t>
  </si>
  <si>
    <t>p.u.</t>
  </si>
  <si>
    <t>Voltage</t>
  </si>
  <si>
    <t>Demand multipliers for building types</t>
  </si>
  <si>
    <t>electricity</t>
  </si>
  <si>
    <t>e-cooking</t>
  </si>
  <si>
    <t>De4</t>
  </si>
  <si>
    <t>size</t>
  </si>
  <si>
    <t>$</t>
  </si>
  <si>
    <t>budget</t>
  </si>
  <si>
    <t>WTP</t>
  </si>
  <si>
    <t>penalty</t>
  </si>
  <si>
    <t>better</t>
  </si>
  <si>
    <t>worse</t>
  </si>
  <si>
    <t>check</t>
  </si>
  <si>
    <t>Catalog of cooking technologies</t>
  </si>
  <si>
    <t>Ck1</t>
  </si>
  <si>
    <t>Diesel emissions</t>
  </si>
  <si>
    <t>km</t>
  </si>
  <si>
    <t>cost</t>
  </si>
  <si>
    <t>emissions</t>
  </si>
  <si>
    <t>price</t>
  </si>
  <si>
    <t>time-gender</t>
  </si>
  <si>
    <t>calorific value</t>
  </si>
  <si>
    <t>fuel</t>
  </si>
  <si>
    <t>raw material</t>
  </si>
  <si>
    <t>processing</t>
  </si>
  <si>
    <t>transportation</t>
  </si>
  <si>
    <t>$/km</t>
  </si>
  <si>
    <t>units/cook</t>
  </si>
  <si>
    <t>efficiency</t>
  </si>
  <si>
    <t>health</t>
  </si>
  <si>
    <t>cook</t>
  </si>
  <si>
    <t>cook/kWh</t>
  </si>
  <si>
    <t>appliance</t>
  </si>
  <si>
    <t>Ck2</t>
  </si>
  <si>
    <t>Free-Firewood_1</t>
  </si>
  <si>
    <t>`</t>
  </si>
  <si>
    <r>
      <rPr>
        <i/>
        <sz val="11"/>
        <color theme="1"/>
        <rFont val="Aptos"/>
        <family val="2"/>
      </rPr>
      <t>Purpose</t>
    </r>
    <r>
      <rPr>
        <sz val="11"/>
        <color theme="1"/>
        <rFont val="Aptos"/>
        <family val="2"/>
      </rPr>
      <t>: define total demand of each type of building through multipliers of basic demand profiles</t>
    </r>
  </si>
  <si>
    <r>
      <rPr>
        <i/>
        <sz val="11"/>
        <color theme="1"/>
        <rFont val="Aptos"/>
        <family val="2"/>
      </rPr>
      <t>Purpose:</t>
    </r>
    <r>
      <rPr>
        <sz val="11"/>
        <color theme="1"/>
        <rFont val="Aptos"/>
        <family val="2"/>
      </rPr>
      <t xml:space="preserve"> provide the hourly electric load from cooking uses</t>
    </r>
  </si>
  <si>
    <r>
      <rPr>
        <i/>
        <sz val="11"/>
        <color theme="1"/>
        <rFont val="Aptos"/>
        <family val="2"/>
      </rPr>
      <t>Purpose:</t>
    </r>
    <r>
      <rPr>
        <sz val="11"/>
        <color theme="1"/>
        <rFont val="Aptos"/>
        <family val="2"/>
      </rPr>
      <t xml:space="preserve"> provide the hourly electric load different from cooking and heating uses</t>
    </r>
  </si>
  <si>
    <r>
      <rPr>
        <i/>
        <sz val="11"/>
        <color theme="1"/>
        <rFont val="Aptos"/>
        <family val="2"/>
      </rPr>
      <t>Purpose:</t>
    </r>
    <r>
      <rPr>
        <sz val="11"/>
        <color theme="1"/>
        <rFont val="Aptos"/>
        <family val="2"/>
      </rPr>
      <t xml:space="preserve"> provide the hourly electric load from heating uses</t>
    </r>
  </si>
  <si>
    <t>(reminder) basic demand profiles are defined in files De1</t>
  </si>
  <si>
    <r>
      <t>Example:</t>
    </r>
    <r>
      <rPr>
        <sz val="11"/>
        <color theme="1"/>
        <rFont val="Aptos"/>
        <family val="2"/>
      </rPr>
      <t xml:space="preserve"> medium house (size=3), domestic electricity (1.0), domestic e-cooking (1.0), domestic e-heating (1.0)</t>
    </r>
  </si>
  <si>
    <t>Characteristics of social clusters for adopting technologies</t>
  </si>
  <si>
    <r>
      <t>Input Data:</t>
    </r>
    <r>
      <rPr>
        <sz val="11"/>
        <color theme="1"/>
        <rFont val="Aptos"/>
        <family val="2"/>
      </rPr>
      <t xml:space="preserve"> characteristics for each basic profile under each category of demand (electric, e-cooking, e-heating)</t>
    </r>
  </si>
  <si>
    <r>
      <rPr>
        <i/>
        <sz val="11"/>
        <color theme="1"/>
        <rFont val="Aptos"/>
        <family val="2"/>
      </rPr>
      <t>Purpose:</t>
    </r>
    <r>
      <rPr>
        <sz val="11"/>
        <color theme="1"/>
        <rFont val="Aptos"/>
        <family val="2"/>
      </rPr>
      <t xml:space="preserve"> provide characteristics of social clusters that are used for estimating  the adoption of echnologies</t>
    </r>
  </si>
  <si>
    <t>elasticity</t>
  </si>
  <si>
    <r>
      <t xml:space="preserve">Input data: </t>
    </r>
    <r>
      <rPr>
        <sz val="11"/>
        <color theme="1"/>
        <rFont val="Aptos"/>
        <family val="2"/>
      </rPr>
      <t>each column corresponds to a specific characteristic, except for the social factors, which are grouped together</t>
    </r>
  </si>
  <si>
    <t>▪   ensure that all multipliers are greater or equal than zero</t>
  </si>
  <si>
    <t>3 ∙ [1.0∙electricity(domestic) + 1.0∙e-cooking(domestic) + 1.0∙e-heating(domestic)]</t>
  </si>
  <si>
    <t>▪   each column represents an hour of the day in a 24-hour format</t>
  </si>
  <si>
    <t>▪   ensure that all values are greater or equal than zero</t>
  </si>
  <si>
    <t>voltage</t>
  </si>
  <si>
    <t>▪   "voltage" column corresponds to the connection voltage level</t>
  </si>
  <si>
    <t>▪   "size" column indicates the scale factor for the combination of basic profiles</t>
  </si>
  <si>
    <t>▪   "elasticity" defines the response of social clusters to adopt technologies</t>
  </si>
  <si>
    <t>▪   "rural/urban" indicates whether the cluster corresponds to urban or rural social clusters</t>
  </si>
  <si>
    <t>▪   "WTP" indicates the willingness-to-pay  per cooking unit</t>
  </si>
  <si>
    <t>▪   "budget" shows the purchasing capacity to adopt technologies</t>
  </si>
  <si>
    <t>▪   "penalty" is a factor to consider external circumstances that reduce the adoption of new technologies</t>
  </si>
  <si>
    <t>▪   "better/worse" are mutipliers to capture the sensitivity to adopt better or worse technologies</t>
  </si>
  <si>
    <t>▪   "social factors" defines the importance of each social factor within the social weight</t>
  </si>
  <si>
    <t>▪   "social weight" defines the weight of social factors vs economic costs; both economic and social equal 1</t>
  </si>
  <si>
    <t>deforestation</t>
  </si>
  <si>
    <t>social weight</t>
  </si>
  <si>
    <t>urban</t>
  </si>
  <si>
    <t>rural vs.</t>
  </si>
  <si>
    <t>Initial technology adoption per social cluster</t>
  </si>
  <si>
    <t>▪   each row corresponds to a social cluster</t>
  </si>
  <si>
    <t>▪   each column corresponds to a technology</t>
  </si>
  <si>
    <t>Price</t>
  </si>
  <si>
    <r>
      <t xml:space="preserve">Input Data: </t>
    </r>
    <r>
      <rPr>
        <sz val="11"/>
        <color theme="1"/>
        <rFont val="Aptos"/>
        <family val="2"/>
      </rPr>
      <t>electricity demand in kW for each hour</t>
    </r>
  </si>
  <si>
    <r>
      <t xml:space="preserve">Input Data: </t>
    </r>
    <r>
      <rPr>
        <sz val="11"/>
        <color theme="1"/>
        <rFont val="Aptos"/>
        <family val="2"/>
      </rPr>
      <t>e-cooking demand in kW for each hour</t>
    </r>
  </si>
  <si>
    <r>
      <t xml:space="preserve">Input Data: </t>
    </r>
    <r>
      <rPr>
        <sz val="11"/>
        <color theme="1"/>
        <rFont val="Aptos"/>
        <family val="2"/>
      </rPr>
      <t>e-heating demand in kW for each hour</t>
    </r>
  </si>
  <si>
    <r>
      <rPr>
        <i/>
        <sz val="11"/>
        <color theme="1"/>
        <rFont val="Aptos"/>
        <family val="2"/>
      </rPr>
      <t>Purpose:</t>
    </r>
    <r>
      <rPr>
        <sz val="11"/>
        <color theme="1"/>
        <rFont val="Aptos"/>
        <family val="2"/>
      </rPr>
      <t xml:space="preserve"> provide each technology initial adoption per social cluster</t>
    </r>
  </si>
  <si>
    <t>▪   first table shows multipliers for local fuel price</t>
  </si>
  <si>
    <t>▪   second table shows multipliers for local time-gender social cost</t>
  </si>
  <si>
    <t>▪   each column corresponds to a fuel</t>
  </si>
  <si>
    <t>Local fuel price and time-gender cost per land type</t>
  </si>
  <si>
    <t>(reminder) fuel characteristics are defined in file Ck1</t>
  </si>
  <si>
    <t>▪   each row corresponds to a land type</t>
  </si>
  <si>
    <t>costs</t>
  </si>
  <si>
    <t>kgCO2/km</t>
  </si>
  <si>
    <t>kgCO2/cook</t>
  </si>
  <si>
    <t>Binary</t>
  </si>
  <si>
    <r>
      <rPr>
        <i/>
        <sz val="11"/>
        <color theme="1"/>
        <rFont val="Aptos"/>
        <family val="2"/>
      </rPr>
      <t>Purpose:</t>
    </r>
    <r>
      <rPr>
        <sz val="11"/>
        <color theme="1"/>
        <rFont val="Aptos"/>
        <family val="2"/>
      </rPr>
      <t xml:space="preserve"> provide characteristics of raw materials, fuels, supply chains, appliances and technologies</t>
    </r>
  </si>
  <si>
    <r>
      <t>Input data:</t>
    </r>
    <r>
      <rPr>
        <sz val="11"/>
        <color theme="1"/>
        <rFont val="Aptos"/>
        <family val="2"/>
      </rPr>
      <t xml:space="preserve"> each type of data is defined in each table by its header, including unit</t>
    </r>
  </si>
  <si>
    <t>kgCO2/litre</t>
  </si>
  <si>
    <t>Transportation distance</t>
  </si>
  <si>
    <t>Last-mile distance</t>
  </si>
  <si>
    <t>retail price</t>
  </si>
  <si>
    <t>device cost</t>
  </si>
  <si>
    <t>lifetime</t>
  </si>
  <si>
    <t>transportation: cost, emissions</t>
  </si>
  <si>
    <t>▪   table "appliances"incliudes economic characteristics, efficiency, social costs per cook</t>
  </si>
  <si>
    <t>▪   table "technologies" defines a combination of fuel and appliance, identified by their index</t>
  </si>
  <si>
    <t>Charcoal-Remote</t>
  </si>
  <si>
    <t>Firewood-Remote</t>
  </si>
  <si>
    <t xml:space="preserve">Free-CropsWaste </t>
  </si>
  <si>
    <t>De1E</t>
  </si>
  <si>
    <t>De1C</t>
  </si>
  <si>
    <t>De1H</t>
  </si>
  <si>
    <t>Bm1</t>
  </si>
  <si>
    <t>CK1</t>
  </si>
  <si>
    <t>***</t>
  </si>
  <si>
    <t>id</t>
  </si>
  <si>
    <t>name</t>
  </si>
  <si>
    <t>after</t>
  </si>
  <si>
    <t>add element</t>
  </si>
  <si>
    <t>remove element</t>
  </si>
  <si>
    <t>addRow</t>
  </si>
  <si>
    <t>addCol</t>
  </si>
  <si>
    <t>removeRow</t>
  </si>
  <si>
    <t>removeCol</t>
  </si>
  <si>
    <t>sheetName</t>
  </si>
  <si>
    <t>initialRow</t>
  </si>
  <si>
    <t>finalRow</t>
  </si>
  <si>
    <t>Subroutines in module M_Events</t>
  </si>
  <si>
    <t>refer to cells in this section</t>
  </si>
  <si>
    <t>Land covers</t>
  </si>
  <si>
    <t>building block</t>
  </si>
  <si>
    <t>old name</t>
  </si>
  <si>
    <t>new name</t>
  </si>
  <si>
    <t>rename element</t>
  </si>
  <si>
    <t>move elements</t>
  </si>
  <si>
    <t>item 1</t>
  </si>
  <si>
    <t>item 2</t>
  </si>
  <si>
    <t>Nrows</t>
  </si>
  <si>
    <t>Ncols</t>
  </si>
  <si>
    <t>Industrial</t>
  </si>
  <si>
    <t>checkCol</t>
  </si>
  <si>
    <t>residential_S</t>
  </si>
  <si>
    <t>residential_M</t>
  </si>
  <si>
    <t>residential_L</t>
  </si>
  <si>
    <t>residential_XL</t>
  </si>
  <si>
    <t>commercial_L</t>
  </si>
  <si>
    <t>commercial_S</t>
  </si>
  <si>
    <t>industry_S-CC</t>
  </si>
  <si>
    <t>industry_L-CC</t>
  </si>
  <si>
    <t>education_S</t>
  </si>
  <si>
    <t>education_L</t>
  </si>
  <si>
    <t>restaurant_S</t>
  </si>
  <si>
    <t>restaurant_M</t>
  </si>
  <si>
    <t>restaurant_L</t>
  </si>
  <si>
    <t>hospital</t>
  </si>
  <si>
    <t>office</t>
  </si>
  <si>
    <t>airport</t>
  </si>
  <si>
    <t>residential_GR</t>
  </si>
  <si>
    <t>Ethanol</t>
  </si>
  <si>
    <t>adm_R</t>
  </si>
  <si>
    <t>com_R</t>
  </si>
  <si>
    <t>res_low_R</t>
  </si>
  <si>
    <t>res_med_R</t>
  </si>
  <si>
    <t>res_high_R</t>
  </si>
  <si>
    <t>adm_U</t>
  </si>
  <si>
    <t>com_U</t>
  </si>
  <si>
    <t>res_low_U</t>
  </si>
  <si>
    <t>res_med_U</t>
  </si>
  <si>
    <t>res_high_U</t>
  </si>
  <si>
    <t>Reference electricity plan</t>
  </si>
  <si>
    <t># supply areas</t>
  </si>
  <si>
    <t>Ref. capacity</t>
  </si>
  <si>
    <t>Identifier</t>
  </si>
  <si>
    <t>Name</t>
  </si>
  <si>
    <t>CAPEX</t>
  </si>
  <si>
    <t>ongrid</t>
  </si>
  <si>
    <t>urban ongrid</t>
  </si>
  <si>
    <t>$ MM/year</t>
  </si>
  <si>
    <t>$/kWh</t>
  </si>
  <si>
    <t>kgCO2/kWh</t>
  </si>
  <si>
    <t>emissions offgrid</t>
  </si>
  <si>
    <t>▪   "transportation distance" and "last-mile distance" for LPG chain</t>
  </si>
  <si>
    <t>Supply area</t>
  </si>
  <si>
    <r>
      <rPr>
        <i/>
        <sz val="11"/>
        <rFont val="Aptos"/>
        <family val="2"/>
      </rPr>
      <t>Input data:</t>
    </r>
    <r>
      <rPr>
        <sz val="11"/>
        <rFont val="Aptos"/>
        <family val="2"/>
      </rPr>
      <t xml:space="preserve"> local variation for each land type in p.u.</t>
    </r>
  </si>
  <si>
    <r>
      <rPr>
        <i/>
        <sz val="11"/>
        <rFont val="Aptos"/>
        <family val="2"/>
      </rPr>
      <t>Input data:</t>
    </r>
    <r>
      <rPr>
        <sz val="11"/>
        <rFont val="Aptos"/>
        <family val="2"/>
      </rPr>
      <t xml:space="preserve"> for each of the four states, which are combinations of rural and urban penetration of e-cooking and</t>
    </r>
  </si>
  <si>
    <t>e-heating, provides the following information per supply area, defined by its identifier and name</t>
  </si>
  <si>
    <t>▪   CAPEX: annualized capital (or fix) costs in supply area</t>
  </si>
  <si>
    <t>▪   OPEX offgrid: variable operation costs of off-grid systems in supply area</t>
  </si>
  <si>
    <t>OPEX offgrid</t>
  </si>
  <si>
    <t>▪   emissions offgrid: CO2 emissions of off-grid systems in supply area</t>
  </si>
  <si>
    <t>Nyarugenge</t>
  </si>
  <si>
    <t>Gasabo</t>
  </si>
  <si>
    <t>Kicukiro</t>
  </si>
  <si>
    <t>Nyanza</t>
  </si>
  <si>
    <t>Gisagara</t>
  </si>
  <si>
    <t>Nyaruguru</t>
  </si>
  <si>
    <t>Huye</t>
  </si>
  <si>
    <t>Nyamagabe</t>
  </si>
  <si>
    <t>Ruhango</t>
  </si>
  <si>
    <t>Muhanga</t>
  </si>
  <si>
    <t>Kamonyi</t>
  </si>
  <si>
    <t>Karongi</t>
  </si>
  <si>
    <t>Rutsiro</t>
  </si>
  <si>
    <t>Rubavu</t>
  </si>
  <si>
    <t>Nyabihu</t>
  </si>
  <si>
    <t>Ngororero</t>
  </si>
  <si>
    <t>Rusizi</t>
  </si>
  <si>
    <t>Nyamasheke</t>
  </si>
  <si>
    <t>Rulindo</t>
  </si>
  <si>
    <t>Gakenke</t>
  </si>
  <si>
    <t>Musanze</t>
  </si>
  <si>
    <t>Burera</t>
  </si>
  <si>
    <t>Gicumbi</t>
  </si>
  <si>
    <t>Rwamagana</t>
  </si>
  <si>
    <t>Nyagatare</t>
  </si>
  <si>
    <t>Gatsibo</t>
  </si>
  <si>
    <t>Kayonza</t>
  </si>
  <si>
    <t>Kirehe</t>
  </si>
  <si>
    <t>Ngoma</t>
  </si>
  <si>
    <t>Bugesera</t>
  </si>
  <si>
    <t>▪   ongrid: fraction of demand in supply area connected to the main grid</t>
  </si>
  <si>
    <t>▪   urban ongrid: fraction of urban demand in supply area connected to the main grid</t>
  </si>
  <si>
    <t>LPG1</t>
  </si>
  <si>
    <t>Reference LPG plan</t>
  </si>
  <si>
    <r>
      <rPr>
        <i/>
        <sz val="11"/>
        <rFont val="Aptos"/>
        <family val="2"/>
      </rPr>
      <t>Purpose:</t>
    </r>
    <r>
      <rPr>
        <sz val="11"/>
        <rFont val="Aptos"/>
        <family val="2"/>
      </rPr>
      <t xml:space="preserve"> provide information on the results from the LPG plan obtained offline</t>
    </r>
  </si>
  <si>
    <r>
      <rPr>
        <i/>
        <sz val="11"/>
        <rFont val="Aptos"/>
        <family val="2"/>
      </rPr>
      <t>Purpose:</t>
    </r>
    <r>
      <rPr>
        <sz val="11"/>
        <rFont val="Aptos"/>
        <family val="2"/>
      </rPr>
      <t xml:space="preserve"> provide information on the results from the electricity plan obtained offline</t>
    </r>
  </si>
  <si>
    <t>OPEX</t>
  </si>
  <si>
    <t>local distance</t>
  </si>
  <si>
    <r>
      <rPr>
        <i/>
        <sz val="11"/>
        <rFont val="Aptos"/>
        <family val="2"/>
      </rPr>
      <t>Input data:</t>
    </r>
    <r>
      <rPr>
        <sz val="11"/>
        <rFont val="Aptos"/>
        <family val="2"/>
      </rPr>
      <t xml:space="preserve"> for each of the three states, which are combinations of rural and urban penetration of LPG for</t>
    </r>
  </si>
  <si>
    <t>e-cooking and e-heating, provides the following information per supply area, defined by its identifier and name</t>
  </si>
  <si>
    <t>▪   OPEX: variable operation costs in supply area</t>
  </si>
  <si>
    <t>▪   local distance: last-mile distance to acquire LPG cylinders</t>
  </si>
  <si>
    <t>CAPEX-upstream</t>
  </si>
  <si>
    <t>OPEX-upstream</t>
  </si>
  <si>
    <t>upstream distance</t>
  </si>
  <si>
    <t>(only for state 4, same inputs for upstream logistic chain)</t>
  </si>
  <si>
    <t>-&gt; to bottling</t>
  </si>
  <si>
    <t>-&gt; to warehouse</t>
  </si>
  <si>
    <t>-&gt; to retailer</t>
  </si>
  <si>
    <t>Distance in logistic chain</t>
  </si>
  <si>
    <t>▪   distances in logistic chain from reference botting station or warehouse, average for retailers</t>
  </si>
  <si>
    <t>Kigali</t>
  </si>
  <si>
    <t>Urban</t>
  </si>
  <si>
    <t>Electricity</t>
  </si>
  <si>
    <t>sFolder</t>
  </si>
  <si>
    <t>Cooking technology</t>
  </si>
  <si>
    <t>COUNTRY DATA</t>
  </si>
  <si>
    <t>Territoty partition</t>
  </si>
  <si>
    <t>Local variations</t>
  </si>
  <si>
    <t>Scenario growth</t>
  </si>
  <si>
    <t>UTM zone</t>
  </si>
  <si>
    <t>36S</t>
  </si>
  <si>
    <t>Currency</t>
  </si>
  <si>
    <t>Exchange rate</t>
  </si>
  <si>
    <t>RWF</t>
  </si>
  <si>
    <t>Labor cost</t>
  </si>
  <si>
    <t>Diesel cost</t>
  </si>
  <si>
    <t>USD/liter</t>
  </si>
  <si>
    <t>USD/hour</t>
  </si>
  <si>
    <t>Very high voltage</t>
  </si>
  <si>
    <t>High voltage</t>
  </si>
  <si>
    <t>Medium voltage</t>
  </si>
  <si>
    <t>Low voltage</t>
  </si>
  <si>
    <t>kV</t>
  </si>
  <si>
    <t>Frequency</t>
  </si>
  <si>
    <t>Hz</t>
  </si>
  <si>
    <t>System peak load</t>
  </si>
  <si>
    <t>GW</t>
  </si>
  <si>
    <t>Electric demand</t>
  </si>
  <si>
    <t>TWh/year</t>
  </si>
  <si>
    <t>Distributed factor</t>
  </si>
  <si>
    <t>Emissions rate</t>
  </si>
  <si>
    <t>years</t>
  </si>
  <si>
    <t>Average grid lifetime</t>
  </si>
  <si>
    <t>Electricity adoption</t>
  </si>
  <si>
    <t>LPG adoption</t>
  </si>
  <si>
    <t>Electricity areas</t>
  </si>
  <si>
    <t>LPG areas</t>
  </si>
  <si>
    <t>Initial plan</t>
  </si>
  <si>
    <t>Main configuration</t>
  </si>
  <si>
    <t>Pl0</t>
  </si>
  <si>
    <t># of stages</t>
  </si>
  <si>
    <t>initial year</t>
  </si>
  <si>
    <t>Electricity margin</t>
  </si>
  <si>
    <t>LPG margin</t>
  </si>
  <si>
    <t>ID</t>
  </si>
  <si>
    <t>D0</t>
  </si>
  <si>
    <t>rural</t>
  </si>
  <si>
    <t>P0</t>
  </si>
  <si>
    <t>Deployment plans</t>
  </si>
  <si>
    <t>Pricing plans</t>
  </si>
  <si>
    <t>D1</t>
  </si>
  <si>
    <t>D2</t>
  </si>
  <si>
    <t>D3</t>
  </si>
  <si>
    <t>P1</t>
  </si>
  <si>
    <t>P2</t>
  </si>
  <si>
    <t>Combined plans</t>
  </si>
  <si>
    <t>High</t>
  </si>
  <si>
    <t>Low</t>
  </si>
  <si>
    <t>Stage</t>
  </si>
  <si>
    <t># stages</t>
  </si>
  <si>
    <t># pricing plans</t>
  </si>
  <si>
    <t># combined plans</t>
  </si>
  <si>
    <t># deploy plans</t>
  </si>
  <si>
    <t>Deploy</t>
  </si>
  <si>
    <t>PRICING PLANS</t>
  </si>
  <si>
    <t>DEPLOYMENT PLANS</t>
  </si>
  <si>
    <t>COMBINED PLANS</t>
  </si>
  <si>
    <t>access target</t>
  </si>
  <si>
    <t>maximum capacity</t>
  </si>
  <si>
    <t>price multipliers</t>
  </si>
  <si>
    <t>Definition of growth scenarios</t>
  </si>
  <si>
    <t>De5</t>
  </si>
  <si>
    <t>Growth patterns</t>
  </si>
  <si>
    <t>1</t>
  </si>
  <si>
    <t>2</t>
  </si>
  <si>
    <t>General</t>
  </si>
  <si>
    <t>Special</t>
  </si>
  <si>
    <t>demand multiplier</t>
  </si>
  <si>
    <t># growth scenarios</t>
  </si>
  <si>
    <t>demand elasticity</t>
  </si>
  <si>
    <t>cooking</t>
  </si>
  <si>
    <t>heating</t>
  </si>
  <si>
    <t>population growth</t>
  </si>
  <si>
    <t>income growth</t>
  </si>
  <si>
    <t>social factors</t>
  </si>
  <si>
    <t>gender</t>
  </si>
  <si>
    <t>transport</t>
  </si>
  <si>
    <t>cost variation</t>
  </si>
  <si>
    <t>e-heating</t>
  </si>
  <si>
    <t>Power losses factor</t>
  </si>
  <si>
    <t>Main grid reliability</t>
  </si>
  <si>
    <t>Aging of current grid</t>
  </si>
  <si>
    <t>Initial adoption rates</t>
  </si>
  <si>
    <t>Generation CAPEX</t>
  </si>
  <si>
    <t>Generation OPEX</t>
  </si>
  <si>
    <t>Tranmission TOTEX</t>
  </si>
  <si>
    <t>Distribution TOTEX</t>
  </si>
  <si>
    <t>Financial metrics per unit of delivered energy</t>
  </si>
  <si>
    <t>% of generation</t>
  </si>
  <si>
    <t>Support of distributed generation to peak load</t>
  </si>
  <si>
    <r>
      <rPr>
        <i/>
        <sz val="11"/>
        <color theme="1"/>
        <rFont val="Aptos"/>
        <family val="2"/>
      </rPr>
      <t>Purpose:</t>
    </r>
    <r>
      <rPr>
        <sz val="11"/>
        <color theme="1"/>
        <rFont val="Aptos"/>
        <family val="2"/>
      </rPr>
      <t xml:space="preserve"> provide data about deployment, pricing, and combined plans.</t>
    </r>
  </si>
  <si>
    <t>▪   stages represent divisions of the time scope used to combine plans.</t>
  </si>
  <si>
    <t>stage duration, years</t>
  </si>
  <si>
    <t>year</t>
  </si>
  <si>
    <t>▪   combined plans allow mixing deployment and pricing plans for each stage.</t>
  </si>
  <si>
    <t>▪   pricing plans are determined with different multipliers for fuels and appliances.</t>
  </si>
  <si>
    <t>Green light cells allow updating the</t>
  </si>
  <si>
    <t>number of plans (columns) or stages</t>
  </si>
  <si>
    <t>(cells) after clicking on the button</t>
  </si>
  <si>
    <t>Green light cells allow updating the number of</t>
  </si>
  <si>
    <t>patterns (columns) after clicking on the button</t>
  </si>
  <si>
    <t>%</t>
  </si>
  <si>
    <t>▪   variation of retail prices for fuels and appliances.</t>
  </si>
  <si>
    <t>hotel</t>
  </si>
  <si>
    <t>commercial-CC</t>
  </si>
  <si>
    <t>industry</t>
  </si>
  <si>
    <t>fileName</t>
  </si>
  <si>
    <t>CITY</t>
  </si>
  <si>
    <t>AGRO</t>
  </si>
  <si>
    <t>FORE</t>
  </si>
  <si>
    <t>Local fuel price multiplier</t>
  </si>
  <si>
    <t>Local time-gender multiplier</t>
  </si>
  <si>
    <t>Territory partition</t>
  </si>
  <si>
    <t>Code</t>
  </si>
  <si>
    <t>Level</t>
  </si>
  <si>
    <t>Latitude</t>
  </si>
  <si>
    <t>Longitude</t>
  </si>
  <si>
    <t>max</t>
  </si>
  <si>
    <t>min</t>
  </si>
  <si>
    <t># dep.</t>
  </si>
  <si>
    <t>Buildings file</t>
  </si>
  <si>
    <t>Rwanda</t>
  </si>
  <si>
    <t>RWND</t>
  </si>
  <si>
    <t>KGL</t>
  </si>
  <si>
    <t>NORT</t>
  </si>
  <si>
    <t>BURE</t>
  </si>
  <si>
    <t>SOUT</t>
  </si>
  <si>
    <t>HUYE</t>
  </si>
  <si>
    <t>BGSR</t>
  </si>
  <si>
    <t>KCKR</t>
  </si>
  <si>
    <t>GTSB</t>
  </si>
  <si>
    <t>RTSR</t>
  </si>
  <si>
    <t>KYNZ</t>
  </si>
  <si>
    <t>KIRE</t>
  </si>
  <si>
    <t>NGMA</t>
  </si>
  <si>
    <t>NYGT</t>
  </si>
  <si>
    <t>RWMG</t>
  </si>
  <si>
    <t>GSBO</t>
  </si>
  <si>
    <t>RBVU</t>
  </si>
  <si>
    <t>RSZI</t>
  </si>
  <si>
    <t>NYRG</t>
  </si>
  <si>
    <t>GKNK</t>
  </si>
  <si>
    <t>GCMB</t>
  </si>
  <si>
    <t>MSNZ</t>
  </si>
  <si>
    <t>RLND</t>
  </si>
  <si>
    <t>KRNG</t>
  </si>
  <si>
    <t>KMNY</t>
  </si>
  <si>
    <t>MHNG</t>
  </si>
  <si>
    <t>RHNG</t>
  </si>
  <si>
    <t>NGRR</t>
  </si>
  <si>
    <t>NYBH</t>
  </si>
  <si>
    <t>NYMS</t>
  </si>
  <si>
    <t>GSGR</t>
  </si>
  <si>
    <t>NYMG</t>
  </si>
  <si>
    <t>NYNZ</t>
  </si>
  <si>
    <t>RAGE</t>
  </si>
  <si>
    <t>Working days</t>
  </si>
  <si>
    <t>[days/year]</t>
  </si>
  <si>
    <t>[$]</t>
  </si>
  <si>
    <t>Capacity</t>
  </si>
  <si>
    <t>Vehicle cost</t>
  </si>
  <si>
    <t>Fuel consumption</t>
  </si>
  <si>
    <t>[L/100km]</t>
  </si>
  <si>
    <t>FOM</t>
  </si>
  <si>
    <t>VOM</t>
  </si>
  <si>
    <t>[$/km]</t>
  </si>
  <si>
    <t>Lifetime</t>
  </si>
  <si>
    <t>[year]</t>
  </si>
  <si>
    <t>Losses</t>
  </si>
  <si>
    <t>Average speed</t>
  </si>
  <si>
    <t>[km/h]</t>
  </si>
  <si>
    <t>Warehouse</t>
  </si>
  <si>
    <t>Overnight cost</t>
  </si>
  <si>
    <t>Max. capacity 12-kg cylinder</t>
  </si>
  <si>
    <t>[cylinder]</t>
  </si>
  <si>
    <t>[$/year]</t>
  </si>
  <si>
    <t>[$/ton]</t>
  </si>
  <si>
    <t>[ton/vehicle]</t>
  </si>
  <si>
    <t>WACC</t>
  </si>
  <si>
    <t>License fee</t>
  </si>
  <si>
    <t>License validity</t>
  </si>
  <si>
    <t>LPG IMPORT</t>
  </si>
  <si>
    <t>LPG DEPOT</t>
  </si>
  <si>
    <t>Installation fee</t>
  </si>
  <si>
    <t>Operation license fee</t>
  </si>
  <si>
    <t>Operation license validity</t>
  </si>
  <si>
    <t>BULK TRANSPORTATION</t>
  </si>
  <si>
    <t>BOTTLING STATION</t>
  </si>
  <si>
    <t>LPG CYLINDERS</t>
  </si>
  <si>
    <t>[kg]</t>
  </si>
  <si>
    <t>Requalification validity</t>
  </si>
  <si>
    <t>add rows for more types</t>
  </si>
  <si>
    <t>Size: small</t>
  </si>
  <si>
    <t>Size: medium</t>
  </si>
  <si>
    <t>Size: large</t>
  </si>
  <si>
    <t>Lifetime, small</t>
  </si>
  <si>
    <t>Lifetime, medium</t>
  </si>
  <si>
    <t>Lifetime, large</t>
  </si>
  <si>
    <t>Cost, small</t>
  </si>
  <si>
    <t>Cost, medium</t>
  </si>
  <si>
    <t>Cost, large</t>
  </si>
  <si>
    <t>PRIMARY TRANSPORTATION</t>
  </si>
  <si>
    <t>WAREHOUSE</t>
  </si>
  <si>
    <t>SECONDARY TRANSPORTATION</t>
  </si>
  <si>
    <t>LPG model: inputs</t>
  </si>
  <si>
    <t>Airport_15</t>
  </si>
  <si>
    <t>BIA_2_15</t>
  </si>
  <si>
    <t>Birembo_15</t>
  </si>
  <si>
    <t>Bugarama_15</t>
  </si>
  <si>
    <t>Bugesera_15</t>
  </si>
  <si>
    <t>Bugesera_HS0_15</t>
  </si>
  <si>
    <t>Bugesera_HS10_15</t>
  </si>
  <si>
    <t>Bugesera_HS11_15</t>
  </si>
  <si>
    <t>Bugesera_HS12_15</t>
  </si>
  <si>
    <t>Bugesera_HS13_15</t>
  </si>
  <si>
    <t>Bugesera_HS14_15</t>
  </si>
  <si>
    <t>Bugesera_HS15_15</t>
  </si>
  <si>
    <t>Bugesera_HS16_15</t>
  </si>
  <si>
    <t>Bugesera_HS17_15</t>
  </si>
  <si>
    <t>Bugesera_HS1_15</t>
  </si>
  <si>
    <t>Bugesera_HS2_15</t>
  </si>
  <si>
    <t>Bugesera_HS3_15</t>
  </si>
  <si>
    <t>Bugesera_HS4_15</t>
  </si>
  <si>
    <t>Bugesera_HS5_15</t>
  </si>
  <si>
    <t>Bugesera_HS6_15</t>
  </si>
  <si>
    <t>Bugesera_HS7_15</t>
  </si>
  <si>
    <t>Bugesera_HS8_15</t>
  </si>
  <si>
    <t>Bugesera_HS9_15</t>
  </si>
  <si>
    <t>Bugesera_IP_15</t>
  </si>
  <si>
    <t>Burera_HS0_15</t>
  </si>
  <si>
    <t>Burera_HS10_15</t>
  </si>
  <si>
    <t>Burera_HS11_15</t>
  </si>
  <si>
    <t>Burera_HS12_15</t>
  </si>
  <si>
    <t>Burera_HS13_15</t>
  </si>
  <si>
    <t>Burera_HS14_15</t>
  </si>
  <si>
    <t>Burera_HS1_15</t>
  </si>
  <si>
    <t>Burera_HS2_15</t>
  </si>
  <si>
    <t>Burera_HS3_15</t>
  </si>
  <si>
    <t>Burera_HS4_15</t>
  </si>
  <si>
    <t>Burera_HS5_15</t>
  </si>
  <si>
    <t>Burera_HS6_15</t>
  </si>
  <si>
    <t>Burera_HS7_15</t>
  </si>
  <si>
    <t>Burera_HS8_15</t>
  </si>
  <si>
    <t>Burera_HS9_15</t>
  </si>
  <si>
    <t>Camp_Belge_15</t>
  </si>
  <si>
    <t>Gabiro_15</t>
  </si>
  <si>
    <t>Gahanga_15</t>
  </si>
  <si>
    <t>Gakenke_HS0_15</t>
  </si>
  <si>
    <t>Gakenke_HS10_15</t>
  </si>
  <si>
    <t>Gakenke_HS11_15</t>
  </si>
  <si>
    <t>Gakenke_HS12_15</t>
  </si>
  <si>
    <t>Gakenke_HS13_15</t>
  </si>
  <si>
    <t>Gakenke_HS14_15</t>
  </si>
  <si>
    <t>Gakenke_HS15_15</t>
  </si>
  <si>
    <t>Gakenke_HS16_15</t>
  </si>
  <si>
    <t>Gakenke_HS17_15</t>
  </si>
  <si>
    <t>Gakenke_HS18_15</t>
  </si>
  <si>
    <t>Gakenke_HS19_15</t>
  </si>
  <si>
    <t>Gakenke_HS1_15</t>
  </si>
  <si>
    <t>Gakenke_HS20_15</t>
  </si>
  <si>
    <t>Gakenke_HS21_15</t>
  </si>
  <si>
    <t>Gakenke_HS22_15</t>
  </si>
  <si>
    <t>Gakenke_HS23_15</t>
  </si>
  <si>
    <t>Gakenke_HS2_15</t>
  </si>
  <si>
    <t>Gakenke_HS3_15</t>
  </si>
  <si>
    <t>Gakenke_HS4_15</t>
  </si>
  <si>
    <t>Gakenke_HS5_15</t>
  </si>
  <si>
    <t>Gakenke_HS6_15</t>
  </si>
  <si>
    <t>Gakenke_HS7_15</t>
  </si>
  <si>
    <t>Gakenke_HS8_15</t>
  </si>
  <si>
    <t>Gakenke_HS9_15</t>
  </si>
  <si>
    <t>Gasabo_HS0_15</t>
  </si>
  <si>
    <t>Gasabo_HS10_15</t>
  </si>
  <si>
    <t>Gasabo_HS11_15</t>
  </si>
  <si>
    <t>Gasabo_HS12_15</t>
  </si>
  <si>
    <t>Gasabo_HS13_15</t>
  </si>
  <si>
    <t>Gasabo_HS14_15</t>
  </si>
  <si>
    <t>Gasabo_HS15_15</t>
  </si>
  <si>
    <t>Gasabo_HS16_15</t>
  </si>
  <si>
    <t>Gasabo_HS17_15</t>
  </si>
  <si>
    <t>Gasabo_HS18_15</t>
  </si>
  <si>
    <t>Gasabo_HS19_15</t>
  </si>
  <si>
    <t>Gasabo_HS1_15</t>
  </si>
  <si>
    <t>Gasabo_HS20_15</t>
  </si>
  <si>
    <t>Gasabo_HS21_15</t>
  </si>
  <si>
    <t>Gasabo_HS22_15</t>
  </si>
  <si>
    <t>Gasabo_HS23_15</t>
  </si>
  <si>
    <t>Gasabo_HS24_15</t>
  </si>
  <si>
    <t>Gasabo_HS25_15</t>
  </si>
  <si>
    <t>Gasabo_HS26_15</t>
  </si>
  <si>
    <t>Gasabo_HS27_15</t>
  </si>
  <si>
    <t>Gasabo_HS28_15</t>
  </si>
  <si>
    <t>Gasabo_HS29_15</t>
  </si>
  <si>
    <t>Gasabo_HS2_15</t>
  </si>
  <si>
    <t>Gasabo_HS30_15</t>
  </si>
  <si>
    <t>Gasabo_HS31_15</t>
  </si>
  <si>
    <t>Gasabo_HS3_15</t>
  </si>
  <si>
    <t>Gasabo_HS4_15</t>
  </si>
  <si>
    <t>Gasabo_HS5_15</t>
  </si>
  <si>
    <t>Gasabo_HS6_15</t>
  </si>
  <si>
    <t>Gasabo_HS7_15</t>
  </si>
  <si>
    <t>Gasabo_HS8_15</t>
  </si>
  <si>
    <t>Gasabo_HS9_15</t>
  </si>
  <si>
    <t>Gasogi_15</t>
  </si>
  <si>
    <t>Gatsibo_HS0_15</t>
  </si>
  <si>
    <t>Gatsibo_HS10_15</t>
  </si>
  <si>
    <t>Gatsibo_HS11_15</t>
  </si>
  <si>
    <t>Gatsibo_HS12_15</t>
  </si>
  <si>
    <t>Gatsibo_HS13_15</t>
  </si>
  <si>
    <t>Gatsibo_HS14_15</t>
  </si>
  <si>
    <t>Gatsibo_HS15_15</t>
  </si>
  <si>
    <t>Gatsibo_HS16_15</t>
  </si>
  <si>
    <t>Gatsibo_HS17_15</t>
  </si>
  <si>
    <t>Gatsibo_HS18_15</t>
  </si>
  <si>
    <t>Gatsibo_HS19_15</t>
  </si>
  <si>
    <t>Gatsibo_HS1_15</t>
  </si>
  <si>
    <t>Gatsibo_HS20_15</t>
  </si>
  <si>
    <t>Gatsibo_HS21_15</t>
  </si>
  <si>
    <t>Gatsibo_HS22_15</t>
  </si>
  <si>
    <t>Gatsibo_HS23_15</t>
  </si>
  <si>
    <t>Gatsibo_HS2_15</t>
  </si>
  <si>
    <t>Gatsibo_HS3_15</t>
  </si>
  <si>
    <t>Gatsibo_HS4_15</t>
  </si>
  <si>
    <t>Gatsibo_HS5_15</t>
  </si>
  <si>
    <t>Gatsibo_HS6_15</t>
  </si>
  <si>
    <t>Gatsibo_HS7_15</t>
  </si>
  <si>
    <t>Gatsibo_HS8_15</t>
  </si>
  <si>
    <t>Gatsibo_HS9_15</t>
  </si>
  <si>
    <t>Gicumbi_HS0_15</t>
  </si>
  <si>
    <t>Gicumbi_HS10_15</t>
  </si>
  <si>
    <t>Gicumbi_HS11_15</t>
  </si>
  <si>
    <t>Gicumbi_HS12_15</t>
  </si>
  <si>
    <t>Gicumbi_HS13_15</t>
  </si>
  <si>
    <t>Gicumbi_HS14_15</t>
  </si>
  <si>
    <t>Gicumbi_HS15_15</t>
  </si>
  <si>
    <t>Gicumbi_HS16_15</t>
  </si>
  <si>
    <t>Gicumbi_HS17_15</t>
  </si>
  <si>
    <t>Gicumbi_HS18_15</t>
  </si>
  <si>
    <t>Gicumbi_HS19_15</t>
  </si>
  <si>
    <t>Gicumbi_HS1_15</t>
  </si>
  <si>
    <t>Gicumbi_HS20_15</t>
  </si>
  <si>
    <t>Gicumbi_HS21_15</t>
  </si>
  <si>
    <t>Gicumbi_HS22_15</t>
  </si>
  <si>
    <t>Gicumbi_HS2_15</t>
  </si>
  <si>
    <t>Gicumbi_HS3_15</t>
  </si>
  <si>
    <t>Gicumbi_HS4_15</t>
  </si>
  <si>
    <t>Gicumbi_HS5_15</t>
  </si>
  <si>
    <t>Gicumbi_HS6_15</t>
  </si>
  <si>
    <t>Gicumbi_HS7_15</t>
  </si>
  <si>
    <t>Gicumbi_HS8_15</t>
  </si>
  <si>
    <t>Gicumbi_HS9_15</t>
  </si>
  <si>
    <t>Gicumbi_SS_15</t>
  </si>
  <si>
    <t>Gifurwe_15</t>
  </si>
  <si>
    <t>Gikondo_15</t>
  </si>
  <si>
    <t>Gisagara_15</t>
  </si>
  <si>
    <t>Gisagara_HS0_15</t>
  </si>
  <si>
    <t>Gisagara_HS10_15</t>
  </si>
  <si>
    <t>Gisagara_HS11_15</t>
  </si>
  <si>
    <t>Gisagara_HS1_15</t>
  </si>
  <si>
    <t>Gisagara_HS2_15</t>
  </si>
  <si>
    <t>Gisagara_HS3_15</t>
  </si>
  <si>
    <t>Gisagara_HS4_15</t>
  </si>
  <si>
    <t>Gisagara_HS5_15</t>
  </si>
  <si>
    <t>Gisagara_HS6_15</t>
  </si>
  <si>
    <t>Gisagara_HS7_15</t>
  </si>
  <si>
    <t>Gisagara_HS8_15</t>
  </si>
  <si>
    <t>Gisagara_HS9_15</t>
  </si>
  <si>
    <t>Gishoma_15</t>
  </si>
  <si>
    <t>Huye_15</t>
  </si>
  <si>
    <t>Huye_HS0_15</t>
  </si>
  <si>
    <t>Huye_HS11_15</t>
  </si>
  <si>
    <t>Huye_HS12_15</t>
  </si>
  <si>
    <t>Huye_HS13_15</t>
  </si>
  <si>
    <t>Huye_HS14_15</t>
  </si>
  <si>
    <t>Huye_HS15_15</t>
  </si>
  <si>
    <t>Huye_HS1_15</t>
  </si>
  <si>
    <t>Huye_HS2_15</t>
  </si>
  <si>
    <t>Huye_HS3_15</t>
  </si>
  <si>
    <t>Huye_HS4_15</t>
  </si>
  <si>
    <t>Huye_HS5_15</t>
  </si>
  <si>
    <t>Huye_HS6_15</t>
  </si>
  <si>
    <t>Huye_HS7_15</t>
  </si>
  <si>
    <t>Huye_HS8_15</t>
  </si>
  <si>
    <t>Huye_HS9_15</t>
  </si>
  <si>
    <t>Jabana_I_15</t>
  </si>
  <si>
    <t>Kabarondo_15</t>
  </si>
  <si>
    <t>Kamonyi_HS0_15</t>
  </si>
  <si>
    <t>Kamonyi_HS10_15</t>
  </si>
  <si>
    <t>Kamonyi_HS11_15</t>
  </si>
  <si>
    <t>Kamonyi_HS12_15</t>
  </si>
  <si>
    <t>Kamonyi_HS13_15</t>
  </si>
  <si>
    <t>Kamonyi_HS14_15</t>
  </si>
  <si>
    <t>Kamonyi_HS15_15</t>
  </si>
  <si>
    <t>Kamonyi_HS16_15</t>
  </si>
  <si>
    <t>Kamonyi_HS17_15</t>
  </si>
  <si>
    <t>Kamonyi_HS18_15</t>
  </si>
  <si>
    <t>Kamonyi_HS19_15</t>
  </si>
  <si>
    <t>Kamonyi_HS1_15</t>
  </si>
  <si>
    <t>Kamonyi_HS2_15</t>
  </si>
  <si>
    <t>Kamonyi_HS3_15</t>
  </si>
  <si>
    <t>Kamonyi_HS4_15</t>
  </si>
  <si>
    <t>Kamonyi_HS5_15</t>
  </si>
  <si>
    <t>Kamonyi_HS6_15</t>
  </si>
  <si>
    <t>Kamonyi_HS7_15</t>
  </si>
  <si>
    <t>Kamonyi_HS8_15</t>
  </si>
  <si>
    <t>Kamonyi_HS9_15</t>
  </si>
  <si>
    <t>Karongi_15</t>
  </si>
  <si>
    <t>Karongi_HS0_15</t>
  </si>
  <si>
    <t>Karongi_HS10_15</t>
  </si>
  <si>
    <t>Karongi_HS11_15</t>
  </si>
  <si>
    <t>Karongi_HS12_15</t>
  </si>
  <si>
    <t>Karongi_HS13_15</t>
  </si>
  <si>
    <t>Karongi_HS14_15</t>
  </si>
  <si>
    <t>Karongi_HS15_15</t>
  </si>
  <si>
    <t>Karongi_HS16_15</t>
  </si>
  <si>
    <t>Karongi_HS17_15</t>
  </si>
  <si>
    <t>Karongi_HS1_15</t>
  </si>
  <si>
    <t>Karongi_HS2_15</t>
  </si>
  <si>
    <t>Karongi_HS3_15</t>
  </si>
  <si>
    <t>Karongi_HS4_15</t>
  </si>
  <si>
    <t>Karongi_HS5_15</t>
  </si>
  <si>
    <t>Karongi_HS6_15</t>
  </si>
  <si>
    <t>Karongi_HS7_15</t>
  </si>
  <si>
    <t>Karongi_HS8_15</t>
  </si>
  <si>
    <t>Karongi_HS9_15</t>
  </si>
  <si>
    <t>Kayonza_HS0_15</t>
  </si>
  <si>
    <t>Kayonza_HS10_15</t>
  </si>
  <si>
    <t>Kayonza_HS11_15</t>
  </si>
  <si>
    <t>Kayonza_HS12_15</t>
  </si>
  <si>
    <t>Kayonza_HS13_15</t>
  </si>
  <si>
    <t>Kayonza_HS14_15</t>
  </si>
  <si>
    <t>Kayonza_HS15_15</t>
  </si>
  <si>
    <t>Kayonza_HS16_15</t>
  </si>
  <si>
    <t>Kayonza_HS17_15</t>
  </si>
  <si>
    <t>Kayonza_HS18_15</t>
  </si>
  <si>
    <t>Kayonza_HS1_15</t>
  </si>
  <si>
    <t>Kayonza_HS2_15</t>
  </si>
  <si>
    <t>Kayonza_HS3_15</t>
  </si>
  <si>
    <t>Kayonza_HS4_15</t>
  </si>
  <si>
    <t>Kayonza_HS5_15</t>
  </si>
  <si>
    <t>Kayonza_HS6_15</t>
  </si>
  <si>
    <t>Kayonza_HS7_15</t>
  </si>
  <si>
    <t>Kayonza_HS8_15</t>
  </si>
  <si>
    <t>Kayonza_HS9_15</t>
  </si>
  <si>
    <t>Kibogora_15</t>
  </si>
  <si>
    <t>Kibuye_15</t>
  </si>
  <si>
    <t>Kicukiro_HS0_15</t>
  </si>
  <si>
    <t>Kicukiro_HS10_15</t>
  </si>
  <si>
    <t>Kicukiro_HS11_15</t>
  </si>
  <si>
    <t>Kicukiro_HS12_15</t>
  </si>
  <si>
    <t>Kicukiro_HS13_15</t>
  </si>
  <si>
    <t>Kicukiro_HS14_15</t>
  </si>
  <si>
    <t>Kicukiro_HS15_15</t>
  </si>
  <si>
    <t>Kicukiro_HS16_15</t>
  </si>
  <si>
    <t>Kicukiro_HS17_15</t>
  </si>
  <si>
    <t>Kicukiro_HS18_15</t>
  </si>
  <si>
    <t>Kicukiro_HS1_15</t>
  </si>
  <si>
    <t>Kicukiro_HS2_15</t>
  </si>
  <si>
    <t>Kicukiro_HS3_15</t>
  </si>
  <si>
    <t>Kicukiro_HS4_15</t>
  </si>
  <si>
    <t>Kicukiro_HS5_15</t>
  </si>
  <si>
    <t>Kicukiro_HS6_15</t>
  </si>
  <si>
    <t>Kicukiro_HS7_15</t>
  </si>
  <si>
    <t>Kicukiro_HS8_15</t>
  </si>
  <si>
    <t>Kicukiro_HS9_15</t>
  </si>
  <si>
    <t>Kigoma_15</t>
  </si>
  <si>
    <t>Kilinda_15</t>
  </si>
  <si>
    <t>Kirehe_15</t>
  </si>
  <si>
    <t>Kirehe_HS0_15</t>
  </si>
  <si>
    <t>Kirehe_HS10_15</t>
  </si>
  <si>
    <t>Kirehe_HS11_15</t>
  </si>
  <si>
    <t>Kirehe_HS12_15</t>
  </si>
  <si>
    <t>Kirehe_HS1_15</t>
  </si>
  <si>
    <t>Kirehe_HS2_15</t>
  </si>
  <si>
    <t>Kirehe_HS3_15</t>
  </si>
  <si>
    <t>Kirehe_HS4_15</t>
  </si>
  <si>
    <t>Kirehe_HS5_15</t>
  </si>
  <si>
    <t>Kirehe_HS6_15</t>
  </si>
  <si>
    <t>Kirehe_HS7_15</t>
  </si>
  <si>
    <t>Kirehe_HS8_15</t>
  </si>
  <si>
    <t>Kirehe_HS9_15</t>
  </si>
  <si>
    <t>Mamba_15</t>
  </si>
  <si>
    <t>Mashyuza_15</t>
  </si>
  <si>
    <t>Mont_Kigali_15</t>
  </si>
  <si>
    <t>Muhanga_15</t>
  </si>
  <si>
    <t>Muhanga_HS0_15</t>
  </si>
  <si>
    <t>Muhanga_HS10_15</t>
  </si>
  <si>
    <t>Muhanga_HS11_15</t>
  </si>
  <si>
    <t>Muhanga_HS12_15</t>
  </si>
  <si>
    <t>Muhanga_HS13_15</t>
  </si>
  <si>
    <t>Muhanga_HS14_15</t>
  </si>
  <si>
    <t>Muhanga_HS15_15</t>
  </si>
  <si>
    <t>Muhanga_HS16_15</t>
  </si>
  <si>
    <t>Muhanga_HS17_15</t>
  </si>
  <si>
    <t>Muhanga_HS1_15</t>
  </si>
  <si>
    <t>Muhanga_HS2_15</t>
  </si>
  <si>
    <t>Muhanga_HS3_15</t>
  </si>
  <si>
    <t>Muhanga_HS4_15</t>
  </si>
  <si>
    <t>Muhanga_HS5_15</t>
  </si>
  <si>
    <t>Muhanga_HS6_15</t>
  </si>
  <si>
    <t>Muhanga_HS7_15</t>
  </si>
  <si>
    <t>Muhanga_HS8_15</t>
  </si>
  <si>
    <t>Muhanga_HS9_15</t>
  </si>
  <si>
    <t>Mururu_II_15</t>
  </si>
  <si>
    <t>Mururu_I_15</t>
  </si>
  <si>
    <t>Musanze_15</t>
  </si>
  <si>
    <t>Musanze_HS0_15</t>
  </si>
  <si>
    <t>Musanze_HS10_15</t>
  </si>
  <si>
    <t>Musanze_HS11_15</t>
  </si>
  <si>
    <t>Musanze_HS12_15</t>
  </si>
  <si>
    <t>Musanze_HS13_15</t>
  </si>
  <si>
    <t>Musanze_HS1_15</t>
  </si>
  <si>
    <t>Musanze_HS2_15</t>
  </si>
  <si>
    <t>Musanze_HS3_15</t>
  </si>
  <si>
    <t>Musanze_HS4_15</t>
  </si>
  <si>
    <t>Musanze_HS5_15</t>
  </si>
  <si>
    <t>Musanze_HS6_15</t>
  </si>
  <si>
    <t>Musanze_HS7_15</t>
  </si>
  <si>
    <t>Musanze_HS8_15</t>
  </si>
  <si>
    <t>Musanze_HS9_15</t>
  </si>
  <si>
    <t>Musanze_IP_15</t>
  </si>
  <si>
    <t>Musha_15</t>
  </si>
  <si>
    <t>Ndera_15</t>
  </si>
  <si>
    <t>Ngoma_HS0_15</t>
  </si>
  <si>
    <t>Ngoma_HS10_15</t>
  </si>
  <si>
    <t>Ngoma_HS11_15</t>
  </si>
  <si>
    <t>Ngoma_HS12_15</t>
  </si>
  <si>
    <t>Ngoma_HS13_15</t>
  </si>
  <si>
    <t>Ngoma_HS14_15</t>
  </si>
  <si>
    <t>Ngoma_HS1_15</t>
  </si>
  <si>
    <t>Ngoma_HS2_15</t>
  </si>
  <si>
    <t>Ngoma_HS3_15</t>
  </si>
  <si>
    <t>Ngoma_HS4_15</t>
  </si>
  <si>
    <t>Ngoma_HS5_15</t>
  </si>
  <si>
    <t>Ngoma_HS6_15</t>
  </si>
  <si>
    <t>Ngoma_HS7_15</t>
  </si>
  <si>
    <t>Ngoma_HS8_15</t>
  </si>
  <si>
    <t>Ngoma_HS9_15</t>
  </si>
  <si>
    <t>Ngororero_HS0_15</t>
  </si>
  <si>
    <t>Ngororero_HS10_15</t>
  </si>
  <si>
    <t>Ngororero_HS11_15</t>
  </si>
  <si>
    <t>Ngororero_HS12_15</t>
  </si>
  <si>
    <t>Ngororero_HS13_15</t>
  </si>
  <si>
    <t>Ngororero_HS14_15</t>
  </si>
  <si>
    <t>Ngororero_HS15_15</t>
  </si>
  <si>
    <t>Ngororero_HS16_15</t>
  </si>
  <si>
    <t>Ngororero_HS17_15</t>
  </si>
  <si>
    <t>Ngororero_HS18_15</t>
  </si>
  <si>
    <t>Ngororero_HS19_15</t>
  </si>
  <si>
    <t>Ngororero_HS1_15</t>
  </si>
  <si>
    <t>Ngororero_HS20_15</t>
  </si>
  <si>
    <t>Ngororero_HS21_15</t>
  </si>
  <si>
    <t>Ngororero_HS22_15</t>
  </si>
  <si>
    <t>Ngororero_HS2_15</t>
  </si>
  <si>
    <t>Ngororero_HS3_15</t>
  </si>
  <si>
    <t>Ngororero_HS4_15</t>
  </si>
  <si>
    <t>Ngororero_HS5_15</t>
  </si>
  <si>
    <t>Ngororero_HS6_15</t>
  </si>
  <si>
    <t>Ngororero_HS7_15</t>
  </si>
  <si>
    <t>Ngororero_HS8_15</t>
  </si>
  <si>
    <t>Ngororero_HS9_15</t>
  </si>
  <si>
    <t>Ntendezi_15</t>
  </si>
  <si>
    <t>Nyabihu_15</t>
  </si>
  <si>
    <t>Nyabihu_HS0_15</t>
  </si>
  <si>
    <t>Nyabihu_HS10_15</t>
  </si>
  <si>
    <t>Nyabihu_HS1_15</t>
  </si>
  <si>
    <t>Nyabihu_HS2_15</t>
  </si>
  <si>
    <t>Nyabihu_HS3_15</t>
  </si>
  <si>
    <t>Nyabihu_HS4_15</t>
  </si>
  <si>
    <t>Nyabihu_HS5_15</t>
  </si>
  <si>
    <t>Nyabihu_HS6_15</t>
  </si>
  <si>
    <t>Nyabihu_HS7_15</t>
  </si>
  <si>
    <t>Nyabihu_HS8_15</t>
  </si>
  <si>
    <t>Nyabihu_HS9_15</t>
  </si>
  <si>
    <t>Nyagatare_HS0_15</t>
  </si>
  <si>
    <t>Nyagatare_HS10_15</t>
  </si>
  <si>
    <t>Nyagatare_HS11_15</t>
  </si>
  <si>
    <t>Nyagatare_HS12_15</t>
  </si>
  <si>
    <t>Nyagatare_HS13_15</t>
  </si>
  <si>
    <t>Nyagatare_HS14_15</t>
  </si>
  <si>
    <t>Nyagatare_HS15_15</t>
  </si>
  <si>
    <t>Nyagatare_HS16_15</t>
  </si>
  <si>
    <t>Nyagatare_HS17_15</t>
  </si>
  <si>
    <t>Nyagatare_HS18_15</t>
  </si>
  <si>
    <t>Nyagatare_HS19_15</t>
  </si>
  <si>
    <t>Nyagatare_HS1_15</t>
  </si>
  <si>
    <t>Nyagatare_HS20_15</t>
  </si>
  <si>
    <t>Nyagatare_HS21_15</t>
  </si>
  <si>
    <t>Nyagatare_HS22_15</t>
  </si>
  <si>
    <t>Nyagatare_HS23_15</t>
  </si>
  <si>
    <t>Nyagatare_HS24_15</t>
  </si>
  <si>
    <t>Nyagatare_HS25_15</t>
  </si>
  <si>
    <t>Nyagatare_HS26_15</t>
  </si>
  <si>
    <t>Nyagatare_HS27_15</t>
  </si>
  <si>
    <t>Nyagatare_HS28_15</t>
  </si>
  <si>
    <t>Nyagatare_HS2_15</t>
  </si>
  <si>
    <t>Nyagatare_HS3_15</t>
  </si>
  <si>
    <t>Nyagatare_HS4_15</t>
  </si>
  <si>
    <t>Nyagatare_HS5_15</t>
  </si>
  <si>
    <t>Nyagatare_HS6_15</t>
  </si>
  <si>
    <t>Nyagatare_HS7_15</t>
  </si>
  <si>
    <t>Nyagatare_HS8_15</t>
  </si>
  <si>
    <t>Nyagatare_HS9_15</t>
  </si>
  <si>
    <t>Nyamagabe_HS0_15</t>
  </si>
  <si>
    <t>Nyamagabe_HS10_15</t>
  </si>
  <si>
    <t>Nyamagabe_HS11_15</t>
  </si>
  <si>
    <t>Nyamagabe_HS12_15</t>
  </si>
  <si>
    <t>Nyamagabe_HS13_15</t>
  </si>
  <si>
    <t>Nyamagabe_HS14_15</t>
  </si>
  <si>
    <t>Nyamagabe_HS15_15</t>
  </si>
  <si>
    <t>Nyamagabe_HS16_15</t>
  </si>
  <si>
    <t>Nyamagabe_HS1_15</t>
  </si>
  <si>
    <t>Nyamagabe_HS2_15</t>
  </si>
  <si>
    <t>Nyamagabe_HS3_15</t>
  </si>
  <si>
    <t>Nyamagabe_HS4_15</t>
  </si>
  <si>
    <t>Nyamagabe_HS5_15</t>
  </si>
  <si>
    <t>Nyamagabe_HS6_15</t>
  </si>
  <si>
    <t>Nyamagabe_HS7_15</t>
  </si>
  <si>
    <t>Nyamagabe_HS8_15</t>
  </si>
  <si>
    <t>Nyamagabe_HS9_15</t>
  </si>
  <si>
    <t>Nyamasheke_HS0_15</t>
  </si>
  <si>
    <t>Nyamasheke_HS10_15</t>
  </si>
  <si>
    <t>Nyamasheke_HS11_15</t>
  </si>
  <si>
    <t>Nyamasheke_HS12_15</t>
  </si>
  <si>
    <t>Nyamasheke_HS13_15</t>
  </si>
  <si>
    <t>Nyamasheke_HS14_15</t>
  </si>
  <si>
    <t>Nyamasheke_HS1_15</t>
  </si>
  <si>
    <t>Nyamasheke_HS2_15</t>
  </si>
  <si>
    <t>Nyamasheke_HS3_15</t>
  </si>
  <si>
    <t>Nyamasheke_HS4_15</t>
  </si>
  <si>
    <t>Nyamasheke_HS5_15</t>
  </si>
  <si>
    <t>Nyamasheke_HS6_15</t>
  </si>
  <si>
    <t>Nyamasheke_HS7_15</t>
  </si>
  <si>
    <t>Nyamasheke_HS8_15</t>
  </si>
  <si>
    <t>Nyamasheke_HS9_15</t>
  </si>
  <si>
    <t>Nyamugali_15</t>
  </si>
  <si>
    <t>Nyanza_HS0_15</t>
  </si>
  <si>
    <t>Nyanza_HS10_15</t>
  </si>
  <si>
    <t>Nyanza_HS11_15</t>
  </si>
  <si>
    <t>Nyanza_HS12_15</t>
  </si>
  <si>
    <t>Nyanza_HS13_15</t>
  </si>
  <si>
    <t>Nyanza_HS14_15</t>
  </si>
  <si>
    <t>Nyanza_HS15_15</t>
  </si>
  <si>
    <t>Nyanza_HS16_15</t>
  </si>
  <si>
    <t>Nyanza_HS1_15</t>
  </si>
  <si>
    <t>Nyanza_HS2_15</t>
  </si>
  <si>
    <t>Nyanza_HS3_15</t>
  </si>
  <si>
    <t>Nyanza_HS4_15</t>
  </si>
  <si>
    <t>Nyanza_HS5_15</t>
  </si>
  <si>
    <t>Nyanza_HS6_15</t>
  </si>
  <si>
    <t>Nyanza_HS7_15</t>
  </si>
  <si>
    <t>Nyanza_HS8_15</t>
  </si>
  <si>
    <t>Nyanza_HS9_15</t>
  </si>
  <si>
    <t>Nyarugenge_HS0_15</t>
  </si>
  <si>
    <t>Nyarugenge_HS10_15</t>
  </si>
  <si>
    <t>Nyarugenge_HS11_15</t>
  </si>
  <si>
    <t>Nyarugenge_HS12_15</t>
  </si>
  <si>
    <t>Nyarugenge_HS13_15</t>
  </si>
  <si>
    <t>Nyarugenge_HS1_15</t>
  </si>
  <si>
    <t>Nyarugenge_HS2_15</t>
  </si>
  <si>
    <t>Nyarugenge_HS3_15</t>
  </si>
  <si>
    <t>Nyarugenge_HS4_15</t>
  </si>
  <si>
    <t>Nyarugenge_HS5_15</t>
  </si>
  <si>
    <t>Nyarugenge_HS6_15</t>
  </si>
  <si>
    <t>Nyarugenge_HS7_15</t>
  </si>
  <si>
    <t>Nyarugenge_HS8_15</t>
  </si>
  <si>
    <t>Nyarugenge_HS9_15</t>
  </si>
  <si>
    <t>Nyaruguru_HS0_15</t>
  </si>
  <si>
    <t>Nyaruguru_HS10_15</t>
  </si>
  <si>
    <t>Nyaruguru_HS11_15</t>
  </si>
  <si>
    <t>Nyaruguru_HS12_15</t>
  </si>
  <si>
    <t>Nyaruguru_HS13_15</t>
  </si>
  <si>
    <t>Nyaruguru_HS14_15</t>
  </si>
  <si>
    <t>Nyaruguru_HS15_15</t>
  </si>
  <si>
    <t>Nyaruguru_HS1_15</t>
  </si>
  <si>
    <t>Nyaruguru_HS2_15</t>
  </si>
  <si>
    <t>Nyaruguru_HS3_15</t>
  </si>
  <si>
    <t>Nyaruguru_HS4_15</t>
  </si>
  <si>
    <t>Nyaruguru_HS5_15</t>
  </si>
  <si>
    <t>Nyaruguru_HS6_15</t>
  </si>
  <si>
    <t>Nyaruguru_HS7_15</t>
  </si>
  <si>
    <t>Nyaruguru_HS8_15</t>
  </si>
  <si>
    <t>Nyaruguru_HS9_15</t>
  </si>
  <si>
    <t>Nzove_15</t>
  </si>
  <si>
    <t>Rubavu_15</t>
  </si>
  <si>
    <t>Rubavu_HS0_15</t>
  </si>
  <si>
    <t>Rubavu_HS10_15</t>
  </si>
  <si>
    <t>Rubavu_HS11_15</t>
  </si>
  <si>
    <t>Rubavu_HS12_15</t>
  </si>
  <si>
    <t>Rubavu_HS13_15</t>
  </si>
  <si>
    <t>Rubavu_HS14_15</t>
  </si>
  <si>
    <t>Rubavu_HS1_15</t>
  </si>
  <si>
    <t>Rubavu_HS2_15</t>
  </si>
  <si>
    <t>Rubavu_HS3_15</t>
  </si>
  <si>
    <t>Rubavu_HS4_15</t>
  </si>
  <si>
    <t>Rubavu_HS5_15</t>
  </si>
  <si>
    <t>Rubavu_HS6_15</t>
  </si>
  <si>
    <t>Rubavu_HS7_15</t>
  </si>
  <si>
    <t>Rubavu_HS8_15</t>
  </si>
  <si>
    <t>Rubavu_HS9_15</t>
  </si>
  <si>
    <t>Ruhango_HS0_15</t>
  </si>
  <si>
    <t>Ruhango_HS10_15</t>
  </si>
  <si>
    <t>Ruhango_HS11_15</t>
  </si>
  <si>
    <t>Ruhango_HS12_15</t>
  </si>
  <si>
    <t>Ruhango_HS13_15</t>
  </si>
  <si>
    <t>Ruhango_HS14_15</t>
  </si>
  <si>
    <t>Ruhango_HS15_15</t>
  </si>
  <si>
    <t>Ruhango_HS16_15</t>
  </si>
  <si>
    <t>Ruhango_HS17_15</t>
  </si>
  <si>
    <t>Ruhango_HS1_15</t>
  </si>
  <si>
    <t>Ruhango_HS2_15</t>
  </si>
  <si>
    <t>Ruhango_HS3_15</t>
  </si>
  <si>
    <t>Ruhango_HS4_15</t>
  </si>
  <si>
    <t>Ruhango_HS5_15</t>
  </si>
  <si>
    <t>Ruhango_HS6_15</t>
  </si>
  <si>
    <t>Ruhango_HS7_15</t>
  </si>
  <si>
    <t>Ruhango_HS8_15</t>
  </si>
  <si>
    <t>Ruhango_HS9_15</t>
  </si>
  <si>
    <t>Rukarara_15</t>
  </si>
  <si>
    <t>Rulindo_15</t>
  </si>
  <si>
    <t>Rulindo_HS0_15</t>
  </si>
  <si>
    <t>Rulindo_HS10_15</t>
  </si>
  <si>
    <t>Rulindo_HS11_15</t>
  </si>
  <si>
    <t>Rulindo_HS12_15</t>
  </si>
  <si>
    <t>Rulindo_HS13_15</t>
  </si>
  <si>
    <t>Rulindo_HS14_15</t>
  </si>
  <si>
    <t>Rulindo_HS15_15</t>
  </si>
  <si>
    <t>Rulindo_HS1_15</t>
  </si>
  <si>
    <t>Rulindo_HS2_15</t>
  </si>
  <si>
    <t>Rulindo_HS3_15</t>
  </si>
  <si>
    <t>Rulindo_HS4_15</t>
  </si>
  <si>
    <t>Rulindo_HS5_15</t>
  </si>
  <si>
    <t>Rulindo_HS6_15</t>
  </si>
  <si>
    <t>Rulindo_HS7_15</t>
  </si>
  <si>
    <t>Rulindo_HS8_15</t>
  </si>
  <si>
    <t>Rulindo_HS9_15</t>
  </si>
  <si>
    <t>Rusizi_HS0_15</t>
  </si>
  <si>
    <t>Rusizi_HS10_15</t>
  </si>
  <si>
    <t>Rusizi_HS11_15</t>
  </si>
  <si>
    <t>Rusizi_HS12_15</t>
  </si>
  <si>
    <t>Rusizi_HS1_15</t>
  </si>
  <si>
    <t>Rusizi_HS2_15</t>
  </si>
  <si>
    <t>Rusizi_HS3_15</t>
  </si>
  <si>
    <t>Rusizi_HS4_15</t>
  </si>
  <si>
    <t>Rusizi_HS5_15</t>
  </si>
  <si>
    <t>Rusizi_HS6_15</t>
  </si>
  <si>
    <t>Rusizi_HS7_15</t>
  </si>
  <si>
    <t>Rusizi_HS8_15</t>
  </si>
  <si>
    <t>Rusizi_HS9_15</t>
  </si>
  <si>
    <t>Rusizi_IP_SS_15</t>
  </si>
  <si>
    <t>Rusumo_Fall_15</t>
  </si>
  <si>
    <t>Rutsiro_HS0_15</t>
  </si>
  <si>
    <t>Rutsiro_HS10_15</t>
  </si>
  <si>
    <t>Rutsiro_HS11_15</t>
  </si>
  <si>
    <t>Rutsiro_HS12_15</t>
  </si>
  <si>
    <t>Rutsiro_HS13_15</t>
  </si>
  <si>
    <t>Rutsiro_HS14_15</t>
  </si>
  <si>
    <t>Rutsiro_HS15_15</t>
  </si>
  <si>
    <t>Rutsiro_HS16_15</t>
  </si>
  <si>
    <t>Rutsiro_HS1_15</t>
  </si>
  <si>
    <t>Rutsiro_HS2_15</t>
  </si>
  <si>
    <t>Rutsiro_HS3_15</t>
  </si>
  <si>
    <t>Rutsiro_HS4_15</t>
  </si>
  <si>
    <t>Rutsiro_HS5_15</t>
  </si>
  <si>
    <t>Rutsiro_HS6_15</t>
  </si>
  <si>
    <t>Rutsiro_HS7_15</t>
  </si>
  <si>
    <t>Rutsiro_HS8_15</t>
  </si>
  <si>
    <t>Rutsiro_HS9_15</t>
  </si>
  <si>
    <t>Rwabusoro_15</t>
  </si>
  <si>
    <t>Rwamagana_HS0_15</t>
  </si>
  <si>
    <t>Rwamagana_HS10_15</t>
  </si>
  <si>
    <t>Rwamagana_HS11_15</t>
  </si>
  <si>
    <t>Rwamagana_HS12_15</t>
  </si>
  <si>
    <t>Rwamagana_HS13_15</t>
  </si>
  <si>
    <t>Rwamagana_HS14_15</t>
  </si>
  <si>
    <t>Rwamagana_HS15_15</t>
  </si>
  <si>
    <t>Rwamagana_HS16_15</t>
  </si>
  <si>
    <t>Rwamagana_HS17_15</t>
  </si>
  <si>
    <t>Rwamagana_HS18_15</t>
  </si>
  <si>
    <t>Rwamagana_HS19_15</t>
  </si>
  <si>
    <t>Rwamagana_HS1_15</t>
  </si>
  <si>
    <t>Rwamagana_HS20_15</t>
  </si>
  <si>
    <t>Rwamagana_HS2_15</t>
  </si>
  <si>
    <t>Rwamagana_HS3_15</t>
  </si>
  <si>
    <t>Rwamagana_HS4_15</t>
  </si>
  <si>
    <t>Rwamagana_HS5_15</t>
  </si>
  <si>
    <t>Rwamagana_HS6_15</t>
  </si>
  <si>
    <t>Rwamagana_HS7_15</t>
  </si>
  <si>
    <t>Rwamagana_HS8_15</t>
  </si>
  <si>
    <t>Rwamagana_HS9_15</t>
  </si>
  <si>
    <t>Rwinkwavu_15</t>
  </si>
  <si>
    <t>Shango_15</t>
  </si>
  <si>
    <t>Bottling station</t>
  </si>
  <si>
    <t>Kabuga</t>
  </si>
  <si>
    <t>Jabana</t>
  </si>
  <si>
    <t>Gahanga</t>
  </si>
  <si>
    <t>Kamembe</t>
  </si>
  <si>
    <t>Distance from</t>
  </si>
  <si>
    <t>warehouse</t>
  </si>
  <si>
    <t>to bottling stations [km]</t>
  </si>
  <si>
    <t>LPG model and scenarios</t>
  </si>
  <si>
    <t>[ton]</t>
  </si>
  <si>
    <t>Fixed cost, local</t>
  </si>
  <si>
    <t>Variable cost, local</t>
  </si>
  <si>
    <t>Fixed cost, upstream</t>
  </si>
  <si>
    <t>Variable cost, upstream</t>
  </si>
  <si>
    <t>LPG molecule cost</t>
  </si>
  <si>
    <t>LPG logistics cost</t>
  </si>
  <si>
    <t>Driver salary</t>
  </si>
  <si>
    <t>DEMAND SCENARIO</t>
  </si>
  <si>
    <t>cook/day</t>
  </si>
  <si>
    <t>kWh/kg</t>
  </si>
  <si>
    <t>kg/year</t>
  </si>
  <si>
    <t>Tp1</t>
  </si>
  <si>
    <t>Adoption</t>
  </si>
  <si>
    <t># warehouses</t>
  </si>
  <si>
    <t>Case</t>
  </si>
  <si>
    <t>closest</t>
  </si>
  <si>
    <t>Buildings</t>
  </si>
  <si>
    <t># bottling stations</t>
  </si>
  <si>
    <t>to import [km]</t>
  </si>
  <si>
    <t>of total</t>
  </si>
  <si>
    <t>Cylinder</t>
  </si>
  <si>
    <t>Share of bottling</t>
  </si>
  <si>
    <t>Share of cylinders</t>
  </si>
  <si>
    <t>TRANSPORTATION</t>
  </si>
  <si>
    <t>Import to bottling</t>
  </si>
  <si>
    <t>Bottling to warehouse</t>
  </si>
  <si>
    <t>Warehouse to retailer</t>
  </si>
  <si>
    <t>hours</t>
  </si>
  <si>
    <t>Bulk fleet</t>
  </si>
  <si>
    <t>Primary fleet</t>
  </si>
  <si>
    <t>Secondary fleet</t>
  </si>
  <si>
    <t>share of total, small</t>
  </si>
  <si>
    <t>share of total, medium</t>
  </si>
  <si>
    <t>share of total, large</t>
  </si>
  <si>
    <t>COST NUMBERS</t>
  </si>
  <si>
    <t>LPG import</t>
  </si>
  <si>
    <t>DEMAND NUMBERS</t>
  </si>
  <si>
    <t>LPG deposit</t>
  </si>
  <si>
    <t>Primary transport</t>
  </si>
  <si>
    <t>Bulk transport</t>
  </si>
  <si>
    <t>Secondary transport</t>
  </si>
  <si>
    <t>Cylinder demand</t>
  </si>
  <si>
    <t>LPG demand [ton] at retail point</t>
  </si>
  <si>
    <t>Bulk at retail point</t>
  </si>
  <si>
    <t>LPG import cost</t>
  </si>
  <si>
    <t>LPG import total</t>
  </si>
  <si>
    <t>Overnight cost - 35kTon</t>
  </si>
  <si>
    <t>Total cylinder, small</t>
  </si>
  <si>
    <t>Total cylinder, medium</t>
  </si>
  <si>
    <t>Total cylinder, large</t>
  </si>
  <si>
    <t>Total cylinder</t>
  </si>
  <si>
    <t>kg/day</t>
  </si>
  <si>
    <t>LPG deposit fee</t>
  </si>
  <si>
    <t>LPG deposit license</t>
  </si>
  <si>
    <t>LPG deposit total</t>
  </si>
  <si>
    <t>$/year</t>
  </si>
  <si>
    <t>Bulk vehicle cost</t>
  </si>
  <si>
    <t>Bulk fuel cost</t>
  </si>
  <si>
    <t>Bulk vehicle FOM</t>
  </si>
  <si>
    <t>Bulk vehicle VOM</t>
  </si>
  <si>
    <t>Transport license</t>
  </si>
  <si>
    <t>Total bulk transport</t>
  </si>
  <si>
    <t>Bottling station CAPEX</t>
  </si>
  <si>
    <t>Bottling station FOM</t>
  </si>
  <si>
    <t>Bottling station VOM</t>
  </si>
  <si>
    <t>Operation license</t>
  </si>
  <si>
    <t>Total bottling station</t>
  </si>
  <si>
    <t>Primary vehicle cost</t>
  </si>
  <si>
    <t>Primary fuel cost</t>
  </si>
  <si>
    <t>Primary vehicle FOM</t>
  </si>
  <si>
    <t>Primary vehicle VOM</t>
  </si>
  <si>
    <t>Cylinders cost, small</t>
  </si>
  <si>
    <t>Cylinders cost, medium</t>
  </si>
  <si>
    <t>Cylinders cost, large</t>
  </si>
  <si>
    <t>Cylinder requalification</t>
  </si>
  <si>
    <t>Warehouse CAPEX</t>
  </si>
  <si>
    <t>Warehouse FOM</t>
  </si>
  <si>
    <t>Warehouse license</t>
  </si>
  <si>
    <t>Total warehouse</t>
  </si>
  <si>
    <t>Secondary vehicle cost</t>
  </si>
  <si>
    <t>Secondary fuel cost</t>
  </si>
  <si>
    <t>Secondary vehicle FOM</t>
  </si>
  <si>
    <t>Secondary vehicle VOM</t>
  </si>
  <si>
    <t>SUMMARY OF RESULTS</t>
  </si>
  <si>
    <t>ton</t>
  </si>
  <si>
    <t>$/kg</t>
  </si>
  <si>
    <t>Total cylinders</t>
  </si>
  <si>
    <t>Total primary transport</t>
  </si>
  <si>
    <t>Total secondary transport</t>
  </si>
  <si>
    <t>Total unitary cost</t>
  </si>
  <si>
    <t>Total cost of LPG importation</t>
  </si>
  <si>
    <t>Total cost of infrastructure</t>
  </si>
  <si>
    <t>Total cost of transportation</t>
  </si>
  <si>
    <t>Total cost of cylinders</t>
  </si>
  <si>
    <t>Total system cost</t>
  </si>
  <si>
    <t>Replacement rate</t>
  </si>
  <si>
    <t>13</t>
  </si>
  <si>
    <t>14</t>
  </si>
  <si>
    <t>15</t>
  </si>
  <si>
    <t>16</t>
  </si>
  <si>
    <t>17</t>
  </si>
  <si>
    <t>North</t>
  </si>
  <si>
    <t>East</t>
  </si>
  <si>
    <t>West</t>
  </si>
  <si>
    <t>South</t>
  </si>
  <si>
    <t>EAST</t>
  </si>
  <si>
    <t>WEST</t>
  </si>
  <si>
    <t>▪   expected growth of income and population, and technology progress,</t>
  </si>
  <si>
    <t>DemandProfile_id</t>
  </si>
  <si>
    <t>DemandProfile_name</t>
  </si>
  <si>
    <t>0:00</t>
  </si>
  <si>
    <t>1:00</t>
  </si>
  <si>
    <t>2:00</t>
  </si>
  <si>
    <t>3:00</t>
  </si>
  <si>
    <t>4:00</t>
  </si>
  <si>
    <t>5:00</t>
  </si>
  <si>
    <t>6:00</t>
  </si>
  <si>
    <t>7:00</t>
  </si>
  <si>
    <t>8:00</t>
  </si>
  <si>
    <t>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</si>
  <si>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</si>
  <si>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</si>
  <si>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</si>
  <si>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</si>
  <si>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</si>
  <si>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</si>
  <si>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</si>
  <si>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</si>
  <si>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</si>
  <si>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</si>
  <si>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</si>
  <si>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</si>
  <si>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</si>
  <si>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</si>
  <si>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BuildingType_Id</t>
  </si>
  <si>
    <t>BuildingType_Name</t>
  </si>
  <si>
    <t>Size</t>
  </si>
  <si>
    <t>De2-Config</t>
  </si>
  <si>
    <t>De1-Electric</t>
  </si>
  <si>
    <t>De1-Cooking</t>
  </si>
  <si>
    <t>De1-Heating</t>
  </si>
  <si>
    <t>Hourly load profile</t>
  </si>
  <si>
    <t>De2-Electric</t>
  </si>
  <si>
    <t>De2-Cooking</t>
  </si>
  <si>
    <t>De2-Heating</t>
  </si>
  <si>
    <t>fileType</t>
  </si>
  <si>
    <t>RawMat_id</t>
  </si>
  <si>
    <t>RawMat_name</t>
  </si>
  <si>
    <t>Cost</t>
  </si>
  <si>
    <t>Emissions</t>
  </si>
  <si>
    <t>Fuel_id</t>
  </si>
  <si>
    <t>Fuel_name</t>
  </si>
  <si>
    <t>Calorific_value</t>
  </si>
  <si>
    <t>Time_gender</t>
  </si>
  <si>
    <t>SupChain_id</t>
  </si>
  <si>
    <t>SupChain_name</t>
  </si>
  <si>
    <t>Efficiency</t>
  </si>
  <si>
    <t>Cost_processing</t>
  </si>
  <si>
    <t>Cost_transportation</t>
  </si>
  <si>
    <t>Emissions_processing</t>
  </si>
  <si>
    <t>Emissions_transportation</t>
  </si>
  <si>
    <t>Fuel_percentage</t>
  </si>
  <si>
    <t>FuelTransp_distance</t>
  </si>
  <si>
    <t>Appliance_id</t>
  </si>
  <si>
    <t>Appl_name</t>
  </si>
  <si>
    <t>Device_cost</t>
  </si>
  <si>
    <t>Transportation</t>
  </si>
  <si>
    <t>Cost_emissions</t>
  </si>
  <si>
    <t>Retail_price</t>
  </si>
  <si>
    <t>Health</t>
  </si>
  <si>
    <t>Technologies_id</t>
  </si>
  <si>
    <t>Tech_name</t>
  </si>
  <si>
    <t>weight in chain</t>
  </si>
  <si>
    <t>Ck1-RawMaterials</t>
  </si>
  <si>
    <t>Ck1-Fuels</t>
  </si>
  <si>
    <t>Ck1-SupChains</t>
  </si>
  <si>
    <t>Ck1-Appliances</t>
  </si>
  <si>
    <t>Ck1-Technologies</t>
  </si>
  <si>
    <t>SocClust_Id</t>
  </si>
  <si>
    <t>SocClust_Name</t>
  </si>
  <si>
    <t>Is_Urban</t>
  </si>
  <si>
    <t>Elasticity</t>
  </si>
  <si>
    <t>Budget</t>
  </si>
  <si>
    <t>Penalty</t>
  </si>
  <si>
    <t>Better</t>
  </si>
  <si>
    <t>Worse</t>
  </si>
  <si>
    <t>Social_weight</t>
  </si>
  <si>
    <t>Deforestation</t>
  </si>
  <si>
    <t>De4T</t>
  </si>
  <si>
    <t>urban/rural</t>
  </si>
  <si>
    <t>Ck2T</t>
  </si>
  <si>
    <t>BiomassPat_Id</t>
  </si>
  <si>
    <t>BiomassPat_Name</t>
  </si>
  <si>
    <t>Bm1-LocalPriceMult</t>
  </si>
  <si>
    <t>Each block of files corresponds to one of the sheets</t>
  </si>
  <si>
    <t>in this workbook. Names can be modified by the user.</t>
  </si>
  <si>
    <t>Hourly profiles De1E</t>
  </si>
  <si>
    <t>Hourly profiles De1C</t>
  </si>
  <si>
    <t>Hourly profiles De1H</t>
  </si>
  <si>
    <t>Voltage level and size multiplier</t>
  </si>
  <si>
    <t>Multipliers for electric demand</t>
  </si>
  <si>
    <t>Multipliers for e-cooking demand</t>
  </si>
  <si>
    <t>Multipliers for e-heating demand</t>
  </si>
  <si>
    <t>Bm1-LocalTimeGenMult</t>
  </si>
  <si>
    <t>Fuel price multiplier</t>
  </si>
  <si>
    <t>Time-gender multiplier</t>
  </si>
  <si>
    <t>Technology adoption parameters</t>
  </si>
  <si>
    <t>Initial technology adoption</t>
  </si>
  <si>
    <t>Specific country information</t>
  </si>
  <si>
    <t>Predominant voltage levels</t>
  </si>
  <si>
    <t>ElArea_Id</t>
  </si>
  <si>
    <t>SupArea_Name</t>
  </si>
  <si>
    <t>St1_CAPEX</t>
  </si>
  <si>
    <t>St1_OPEX_OG</t>
  </si>
  <si>
    <t>St1_Emissions_OG</t>
  </si>
  <si>
    <t>St1_U_OnGrid</t>
  </si>
  <si>
    <t>St1_OnGrid</t>
  </si>
  <si>
    <t>St2_CAPEX</t>
  </si>
  <si>
    <t>St2_OPEX_OG</t>
  </si>
  <si>
    <t>St2_Emissions_OG</t>
  </si>
  <si>
    <t>St2_U_OnGrid</t>
  </si>
  <si>
    <t>St2_OnGrid</t>
  </si>
  <si>
    <t>St3_CAPEX</t>
  </si>
  <si>
    <t>St3_OPEX_OG</t>
  </si>
  <si>
    <t>St3_Emissions_OG</t>
  </si>
  <si>
    <t>St3_U_OnGrid</t>
  </si>
  <si>
    <t>St3_OnGrid</t>
  </si>
  <si>
    <t>St4_CAPEX</t>
  </si>
  <si>
    <t>St4_OPEX_OG</t>
  </si>
  <si>
    <t>St4_Emissions_OG</t>
  </si>
  <si>
    <t>St4_U_OnGrid</t>
  </si>
  <si>
    <t>St4_OnGrid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</si>
  <si>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</si>
  <si>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</si>
  <si>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</si>
  <si>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</si>
  <si>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</si>
  <si>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</si>
  <si>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</si>
  <si>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</si>
  <si>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</si>
  <si>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</si>
  <si>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</si>
  <si>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</si>
  <si>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</si>
  <si>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</si>
  <si>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</si>
  <si>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</si>
  <si>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</si>
  <si>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</si>
  <si>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</si>
  <si>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</si>
  <si>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</si>
  <si>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</si>
  <si>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</si>
  <si>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</si>
  <si>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</si>
  <si>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</si>
  <si>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</si>
  <si>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</si>
  <si>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</si>
  <si>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</si>
  <si>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</si>
  <si>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</si>
  <si>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</si>
  <si>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</si>
  <si>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</si>
  <si>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</si>
  <si>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</si>
  <si>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</si>
  <si>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</si>
  <si>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</si>
  <si>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</si>
  <si>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</si>
  <si>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</si>
  <si>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</si>
  <si>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</si>
  <si>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</si>
  <si>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</si>
  <si>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</si>
  <si>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</si>
  <si>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</si>
  <si>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</si>
  <si>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</si>
  <si>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</si>
  <si>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</si>
  <si>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</si>
  <si>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</si>
  <si>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</si>
  <si>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</si>
  <si>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</si>
  <si>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</si>
  <si>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</si>
  <si>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</si>
  <si>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</si>
  <si>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</si>
  <si>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</si>
  <si>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</si>
  <si>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</si>
  <si>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</si>
  <si>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</si>
  <si>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</si>
  <si>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</si>
  <si>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</si>
  <si>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</si>
  <si>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</si>
  <si>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</si>
  <si>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</si>
  <si>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</si>
  <si>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</si>
  <si>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</si>
  <si>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</si>
  <si>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</si>
  <si>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</si>
  <si>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</si>
  <si>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</si>
  <si>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</si>
  <si>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</si>
  <si>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</si>
  <si>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</si>
  <si>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</si>
  <si>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</si>
  <si>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</si>
  <si>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</si>
  <si>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</si>
  <si>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</si>
  <si>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</si>
  <si>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</si>
  <si>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</si>
  <si>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</si>
  <si>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</si>
  <si>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</si>
  <si>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</si>
  <si>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</si>
  <si>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</si>
  <si>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</si>
  <si>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</si>
  <si>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</si>
  <si>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</si>
  <si>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</si>
  <si>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</si>
  <si>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</si>
  <si>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</si>
  <si>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</si>
  <si>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</si>
  <si>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</si>
  <si>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</si>
  <si>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</si>
  <si>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</si>
  <si>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</si>
  <si>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</si>
  <si>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</si>
  <si>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</si>
  <si>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</si>
  <si>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</si>
  <si>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</si>
  <si>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</si>
  <si>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</si>
  <si>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</si>
  <si>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</si>
  <si>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</si>
  <si>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</si>
  <si>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</si>
  <si>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</si>
  <si>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</si>
  <si>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</si>
  <si>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</si>
  <si>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</si>
  <si>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</si>
  <si>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</si>
  <si>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</si>
  <si>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</si>
  <si>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</si>
  <si>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</si>
  <si>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</si>
  <si>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</si>
  <si>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</si>
  <si>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</si>
  <si>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</si>
  <si>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</si>
  <si>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</si>
  <si>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</si>
  <si>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</si>
  <si>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</si>
  <si>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</si>
  <si>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</si>
  <si>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</si>
  <si>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</si>
  <si>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</si>
  <si>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</si>
  <si>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</si>
  <si>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</si>
  <si>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</si>
  <si>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</si>
  <si>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</si>
  <si>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</si>
  <si>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</si>
  <si>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</si>
  <si>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</si>
  <si>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</si>
  <si>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</si>
  <si>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</si>
  <si>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</si>
  <si>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</si>
  <si>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</si>
  <si>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</si>
  <si>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</si>
  <si>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</si>
  <si>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</si>
  <si>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</si>
  <si>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</si>
  <si>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</si>
  <si>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</si>
  <si>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</si>
  <si>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</si>
  <si>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</si>
  <si>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</si>
  <si>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</si>
  <si>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</si>
  <si>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</si>
  <si>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</si>
  <si>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</si>
  <si>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</si>
  <si>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</si>
  <si>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</si>
  <si>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</si>
  <si>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</si>
  <si>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</si>
  <si>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</si>
  <si>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</si>
  <si>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</si>
  <si>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</si>
  <si>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</si>
  <si>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</si>
  <si>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</si>
  <si>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</si>
  <si>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</si>
  <si>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</si>
  <si>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</si>
  <si>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</si>
  <si>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</si>
  <si>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</si>
  <si>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</si>
  <si>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</si>
  <si>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</si>
  <si>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</si>
  <si>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</si>
  <si>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</si>
  <si>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</si>
  <si>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</si>
  <si>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</si>
  <si>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</si>
  <si>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</si>
  <si>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</si>
  <si>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</si>
  <si>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</si>
  <si>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</si>
  <si>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</si>
  <si>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</si>
  <si>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</si>
  <si>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</si>
  <si>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</si>
  <si>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</si>
  <si>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</si>
  <si>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</si>
  <si>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</si>
  <si>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</si>
  <si>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</si>
  <si>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</si>
  <si>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</si>
  <si>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</si>
  <si>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</si>
  <si>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</si>
  <si>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</si>
  <si>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</si>
  <si>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</si>
  <si>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</si>
  <si>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</si>
  <si>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</si>
  <si>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</si>
  <si>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</si>
  <si>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</si>
  <si>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</si>
  <si>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</si>
  <si>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</si>
  <si>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</si>
  <si>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</si>
  <si>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</si>
  <si>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</si>
  <si>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</si>
  <si>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</si>
  <si>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</si>
  <si>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</si>
  <si>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</si>
  <si>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</si>
  <si>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</si>
  <si>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</si>
  <si>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</si>
  <si>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</si>
  <si>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</si>
  <si>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</si>
  <si>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</si>
  <si>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</si>
  <si>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</si>
  <si>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</si>
  <si>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</si>
  <si>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</si>
  <si>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</si>
  <si>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</si>
  <si>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</si>
  <si>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</si>
  <si>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</si>
  <si>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</si>
  <si>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</si>
  <si>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</si>
  <si>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</si>
  <si>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</si>
  <si>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</si>
  <si>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</si>
  <si>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</si>
  <si>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</si>
  <si>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</si>
  <si>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</si>
  <si>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</si>
  <si>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</si>
  <si>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</si>
  <si>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</si>
  <si>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</si>
  <si>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</si>
  <si>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</si>
  <si>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</si>
  <si>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</si>
  <si>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</si>
  <si>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</si>
  <si>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</si>
  <si>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</si>
  <si>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</si>
  <si>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</si>
  <si>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</si>
  <si>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</si>
  <si>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</si>
  <si>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</si>
  <si>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</si>
  <si>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</si>
  <si>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</si>
  <si>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</si>
  <si>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</si>
  <si>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</si>
  <si>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</si>
  <si>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</si>
  <si>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</si>
  <si>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</si>
  <si>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</si>
  <si>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</si>
  <si>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</si>
  <si>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</si>
  <si>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</si>
  <si>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</si>
  <si>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</si>
  <si>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</si>
  <si>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</si>
  <si>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</si>
  <si>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</si>
  <si>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</si>
  <si>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</si>
  <si>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</si>
  <si>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</si>
  <si>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</si>
  <si>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</si>
  <si>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</si>
  <si>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</si>
  <si>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</si>
  <si>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</si>
  <si>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</si>
  <si>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</si>
  <si>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</si>
  <si>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</si>
  <si>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</si>
  <si>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</si>
  <si>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</si>
  <si>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</si>
  <si>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</si>
  <si>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</si>
  <si>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</si>
  <si>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</si>
  <si>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</si>
  <si>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</si>
  <si>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</si>
  <si>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</si>
  <si>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</si>
  <si>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</si>
  <si>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</si>
  <si>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</si>
  <si>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</si>
  <si>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</si>
  <si>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</si>
  <si>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</si>
  <si>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</si>
  <si>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</si>
  <si>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</si>
  <si>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</si>
  <si>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</si>
  <si>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</si>
  <si>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</si>
  <si>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</si>
  <si>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</si>
  <si>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</si>
  <si>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</si>
  <si>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</si>
  <si>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</si>
  <si>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</si>
  <si>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</si>
  <si>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</si>
  <si>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</si>
  <si>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</si>
  <si>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</si>
  <si>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</si>
  <si>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</si>
  <si>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</si>
  <si>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</si>
  <si>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</si>
  <si>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</si>
  <si>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</si>
  <si>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</si>
  <si>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</si>
  <si>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</si>
  <si>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</si>
  <si>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</si>
  <si>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</si>
  <si>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</si>
  <si>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</si>
  <si>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</si>
  <si>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</si>
  <si>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</si>
  <si>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</si>
  <si>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</si>
  <si>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</si>
  <si>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</si>
  <si>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</si>
  <si>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</si>
  <si>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</si>
  <si>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</si>
  <si>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</si>
  <si>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</si>
  <si>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</si>
  <si>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</si>
  <si>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</si>
  <si>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</si>
  <si>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</si>
  <si>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</si>
  <si>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</si>
  <si>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</si>
  <si>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</si>
  <si>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</si>
  <si>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</si>
  <si>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</si>
  <si>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</si>
  <si>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</si>
  <si>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</si>
  <si>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</si>
  <si>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</si>
  <si>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</si>
  <si>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</si>
  <si>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</si>
  <si>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</si>
  <si>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</si>
  <si>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</si>
  <si>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</si>
  <si>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</si>
  <si>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</si>
  <si>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</si>
  <si>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</si>
  <si>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</si>
  <si>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</si>
  <si>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</si>
  <si>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</si>
  <si>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</si>
  <si>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</si>
  <si>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</si>
  <si>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</si>
  <si>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</si>
  <si>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</si>
  <si>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</si>
  <si>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</si>
  <si>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</si>
  <si>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</si>
  <si>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</si>
  <si>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</si>
  <si>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</si>
  <si>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</si>
  <si>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</si>
  <si>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</si>
  <si>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</si>
  <si>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</si>
  <si>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</si>
  <si>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</si>
  <si>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</si>
  <si>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</si>
  <si>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</si>
  <si>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</si>
  <si>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</si>
  <si>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</si>
  <si>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</si>
  <si>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</si>
  <si>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</si>
  <si>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</si>
  <si>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</si>
  <si>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</si>
  <si>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</si>
  <si>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</si>
  <si>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</si>
  <si>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</si>
  <si>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</si>
  <si>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</si>
  <si>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</si>
  <si>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</si>
  <si>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</si>
  <si>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</si>
  <si>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</si>
  <si>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</si>
  <si>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</si>
  <si>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</si>
  <si>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</si>
  <si>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</si>
  <si>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</si>
  <si>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</si>
  <si>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</si>
  <si>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</si>
  <si>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</si>
  <si>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</si>
  <si>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</si>
  <si>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</si>
  <si>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</si>
  <si>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</si>
  <si>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</si>
  <si>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</si>
  <si>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</si>
  <si>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</si>
  <si>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</si>
  <si>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</si>
  <si>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</si>
  <si>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</si>
  <si>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</si>
  <si>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</si>
  <si>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</si>
  <si>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</si>
  <si>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</si>
  <si>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</si>
  <si>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</si>
  <si>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</si>
  <si>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</si>
  <si>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</si>
  <si>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</si>
  <si>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</si>
  <si>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</si>
  <si>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</si>
  <si>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</si>
  <si>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</si>
  <si>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</si>
  <si>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</si>
  <si>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</si>
  <si>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</si>
  <si>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</si>
  <si>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</si>
  <si>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</si>
  <si>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</si>
  <si>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</si>
  <si>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</si>
  <si>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</si>
  <si>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</si>
  <si>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</si>
  <si>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</si>
  <si>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</si>
  <si>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</si>
  <si>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</si>
  <si>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</si>
  <si>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</si>
  <si>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</si>
  <si>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</si>
  <si>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</si>
  <si>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</si>
  <si>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</si>
  <si>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</si>
  <si>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</si>
  <si>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</si>
  <si>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</si>
  <si>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</si>
  <si>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</si>
  <si>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</si>
  <si>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</si>
  <si>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</si>
  <si>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</si>
  <si>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</si>
  <si>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</si>
  <si>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</si>
  <si>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</si>
  <si>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</si>
  <si>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</si>
  <si>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</si>
  <si>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</si>
  <si>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</si>
  <si>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</si>
  <si>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</si>
  <si>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</si>
  <si>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</si>
  <si>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</si>
  <si>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</si>
  <si>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</si>
  <si>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</si>
  <si>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</si>
  <si>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</si>
  <si>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</si>
  <si>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El1T</t>
  </si>
  <si>
    <t>Data</t>
  </si>
  <si>
    <t>Grid</t>
  </si>
  <si>
    <t>MicroG</t>
  </si>
  <si>
    <t>StAloneS</t>
  </si>
  <si>
    <t>OPEX_fraction_FIX</t>
  </si>
  <si>
    <t>Discount_rate</t>
  </si>
  <si>
    <t>Discount rate</t>
  </si>
  <si>
    <t>Grid extension</t>
  </si>
  <si>
    <t>Microgrid</t>
  </si>
  <si>
    <t>Standalone</t>
  </si>
  <si>
    <t>Lifetime, years</t>
  </si>
  <si>
    <t>El1</t>
  </si>
  <si>
    <t>El1-CostBreakdown</t>
  </si>
  <si>
    <t>LpgArea_Id</t>
  </si>
  <si>
    <t>St2_LocalDist</t>
  </si>
  <si>
    <t>St3_LocalDist</t>
  </si>
  <si>
    <t>St4_LocalDist</t>
  </si>
  <si>
    <t>CAPEX_upstream</t>
  </si>
  <si>
    <t>OPEX_upstream</t>
  </si>
  <si>
    <t>LocalDist_upstream</t>
  </si>
  <si>
    <t>DistTo_bottling</t>
  </si>
  <si>
    <t>DistTo_warehouse</t>
  </si>
  <si>
    <t>DistTo_retailer</t>
  </si>
  <si>
    <t>Upstream</t>
  </si>
  <si>
    <t>Local</t>
  </si>
  <si>
    <t>Transport_fraction_FIX</t>
  </si>
  <si>
    <t>Transport_fraction_VAR</t>
  </si>
  <si>
    <t>Process_fraction_FIX</t>
  </si>
  <si>
    <t>Process_fraction_VAR</t>
  </si>
  <si>
    <t>Lifetime_transport</t>
  </si>
  <si>
    <t>Lifetime_process</t>
  </si>
  <si>
    <t>Molecule fraction of VAR</t>
  </si>
  <si>
    <t>Transport fraction of VAR - upstream</t>
  </si>
  <si>
    <t>Process fraction of FIX - upstream</t>
  </si>
  <si>
    <t>Process fraction of VAR - upstream</t>
  </si>
  <si>
    <t>OPEX fraction of FIX - upstream</t>
  </si>
  <si>
    <t>Transport fraction of FIX - local</t>
  </si>
  <si>
    <t>Transport fraction of VAR - local</t>
  </si>
  <si>
    <t>Process fraction of FIX - local</t>
  </si>
  <si>
    <t>Process fraction of VAR - local</t>
  </si>
  <si>
    <t>OPEX fraction of FIX - local</t>
  </si>
  <si>
    <t>Transport fraction of FIX - upstream</t>
  </si>
  <si>
    <t>upstream</t>
  </si>
  <si>
    <t>local</t>
  </si>
  <si>
    <t>fraction of FIX</t>
  </si>
  <si>
    <t>Transport</t>
  </si>
  <si>
    <t>fraction of VAR</t>
  </si>
  <si>
    <t>Process</t>
  </si>
  <si>
    <t>LPG1T</t>
  </si>
  <si>
    <t>LPG1-CostBreakdown</t>
  </si>
  <si>
    <t>Electricity plan cost breakdown</t>
  </si>
  <si>
    <t>LPG plan cost breakdown</t>
  </si>
  <si>
    <t>Lpg1</t>
  </si>
  <si>
    <t>Code upstream</t>
  </si>
  <si>
    <t>Long_min</t>
  </si>
  <si>
    <t>Long_max</t>
  </si>
  <si>
    <t>Lat_min</t>
  </si>
  <si>
    <t>Lat_max</t>
  </si>
  <si>
    <t>Num_dep</t>
  </si>
  <si>
    <t>RegCode_Upstream</t>
  </si>
  <si>
    <t>regions</t>
  </si>
  <si>
    <t>Tp1-Rwanda</t>
  </si>
  <si>
    <t>GrowthPat_Id</t>
  </si>
  <si>
    <t>GrowthPat_Name</t>
  </si>
  <si>
    <t>Cooking</t>
  </si>
  <si>
    <t>Heating</t>
  </si>
  <si>
    <t>Income_growth</t>
  </si>
  <si>
    <t>Population_growth</t>
  </si>
  <si>
    <t>Technology_progress</t>
  </si>
  <si>
    <t>Time_gen</t>
  </si>
  <si>
    <t xml:space="preserve">Transport  </t>
  </si>
  <si>
    <t xml:space="preserve"> Molecule</t>
  </si>
  <si>
    <t>molecule</t>
  </si>
  <si>
    <t>De5-Config</t>
  </si>
  <si>
    <t>De5-DemandMult</t>
  </si>
  <si>
    <t>De5-SocClustPar</t>
  </si>
  <si>
    <t>De5-DepFuelsCostVariation</t>
  </si>
  <si>
    <t>De5-FuelsRetPrice</t>
  </si>
  <si>
    <t>De5-AppliancesRetPrice</t>
  </si>
  <si>
    <t>Definition</t>
  </si>
  <si>
    <t>Demand multipliers</t>
  </si>
  <si>
    <t>Demand elasticities</t>
  </si>
  <si>
    <t>Growth factors and social costs</t>
  </si>
  <si>
    <t>Main fuels cost variations</t>
  </si>
  <si>
    <t>Fuel retail price</t>
  </si>
  <si>
    <t>Appliances retail price</t>
  </si>
  <si>
    <t>De5-DemandElast</t>
  </si>
  <si>
    <t>DepPlan_id</t>
  </si>
  <si>
    <t>PricePlan_id</t>
  </si>
  <si>
    <t>Ref_capacity</t>
  </si>
  <si>
    <t>Margin</t>
  </si>
  <si>
    <t>Stage_id</t>
  </si>
  <si>
    <t>Year</t>
  </si>
  <si>
    <t>DepPlan_Name</t>
  </si>
  <si>
    <t>PricePlan_Name</t>
  </si>
  <si>
    <t>CombinedPlan_id</t>
  </si>
  <si>
    <t>CombinedPlan_Name</t>
  </si>
  <si>
    <t>Pl0-DepFuelsTarget</t>
  </si>
  <si>
    <t>Pl0-FuelMaxCap</t>
  </si>
  <si>
    <t>Pl0-ApplianceMaxCap</t>
  </si>
  <si>
    <t>Pl0-FuelPriceMult</t>
  </si>
  <si>
    <t>Pl0-AppliancePriceMult</t>
  </si>
  <si>
    <t>Pl0-DeployFuels</t>
  </si>
  <si>
    <t>Pl0-Config</t>
  </si>
  <si>
    <t>Deployment - access target</t>
  </si>
  <si>
    <t>Deployment - fuels maximum capacity</t>
  </si>
  <si>
    <t>Deployment - appliances maximum capacity</t>
  </si>
  <si>
    <t>Pricing - fuels multipliers</t>
  </si>
  <si>
    <t>Pricing - appliances multipliers</t>
  </si>
  <si>
    <t>Capacity margin of main fuels</t>
  </si>
  <si>
    <t>Combined plans: deployment &amp; pricing</t>
  </si>
  <si>
    <t>Description</t>
  </si>
  <si>
    <t>Folder</t>
  </si>
  <si>
    <t>File</t>
  </si>
  <si>
    <t>Electric_load</t>
  </si>
  <si>
    <t>E-Cooking_load</t>
  </si>
  <si>
    <t>E-Heating_load</t>
  </si>
  <si>
    <t>BuildTypes_config</t>
  </si>
  <si>
    <t>BuildTypes_electric</t>
  </si>
  <si>
    <t>BuildTypes_cooking</t>
  </si>
  <si>
    <t>BuildTypes_heating</t>
  </si>
  <si>
    <t>Cooking_technologies</t>
  </si>
  <si>
    <t>Cooking_appliances</t>
  </si>
  <si>
    <t>Cooking_fuels</t>
  </si>
  <si>
    <t>Cooking_rawMaterials</t>
  </si>
  <si>
    <t>Cooking_supplyChains</t>
  </si>
  <si>
    <t>Social_clusters</t>
  </si>
  <si>
    <t>Territory_partition</t>
  </si>
  <si>
    <t>LocBio_priceMult</t>
  </si>
  <si>
    <t>LocBio_timeGenMult</t>
  </si>
  <si>
    <t>ScenGrow_config</t>
  </si>
  <si>
    <t>ScenGrow_appRetPrice</t>
  </si>
  <si>
    <t>ScenGrow_demElast</t>
  </si>
  <si>
    <t>ScenGrow_demMult</t>
  </si>
  <si>
    <t>ScenGrow_depFuelCostVar</t>
  </si>
  <si>
    <t>ScenGrow_fuelRetPrice</t>
  </si>
  <si>
    <t>ScenGrow_socClus</t>
  </si>
  <si>
    <t>Initial_adoption_mix</t>
  </si>
  <si>
    <t>Electricity_areas</t>
  </si>
  <si>
    <t>LPG_areas</t>
  </si>
  <si>
    <t>Electricity_costBreakdown</t>
  </si>
  <si>
    <t>LPG_costBreakdown</t>
  </si>
  <si>
    <t>Plan_config</t>
  </si>
  <si>
    <t>Plan_appMaxCap</t>
  </si>
  <si>
    <t>Plan_appPriceMult</t>
  </si>
  <si>
    <t>Plan_depFuelsTarg</t>
  </si>
  <si>
    <t>Plan_depFuels</t>
  </si>
  <si>
    <t>Plan_fuelMaxCap</t>
  </si>
  <si>
    <t>Plan_fuelPriceMult</t>
  </si>
  <si>
    <t>Co0_routes_config</t>
  </si>
  <si>
    <t>Path to project</t>
  </si>
  <si>
    <t>Value</t>
  </si>
  <si>
    <t>Units</t>
  </si>
  <si>
    <t>UTM_zone</t>
  </si>
  <si>
    <t>Exchange_rate</t>
  </si>
  <si>
    <t>Labor_cost</t>
  </si>
  <si>
    <t>Diesel_cost</t>
  </si>
  <si>
    <t>Very_high_voltage</t>
  </si>
  <si>
    <t>High_voltage</t>
  </si>
  <si>
    <t>Medium_voltage</t>
  </si>
  <si>
    <t>Low_voltage</t>
  </si>
  <si>
    <t>Frecuency</t>
  </si>
  <si>
    <t>System_peak_load</t>
  </si>
  <si>
    <t>Electric_demand</t>
  </si>
  <si>
    <t xml:space="preserve">Distributed_factor </t>
  </si>
  <si>
    <t>Emissions_rate</t>
  </si>
  <si>
    <t>Main_grid_reliability</t>
  </si>
  <si>
    <t>Power_losses_factor</t>
  </si>
  <si>
    <t>Average_grid_lifetime</t>
  </si>
  <si>
    <t>Generation_CAPEX</t>
  </si>
  <si>
    <t>Generation_OPEX</t>
  </si>
  <si>
    <t>Transmission_TOTEX</t>
  </si>
  <si>
    <t>Distribution_TOTEX</t>
  </si>
  <si>
    <t>Electricity_adoption</t>
  </si>
  <si>
    <t>LPG_adoption</t>
  </si>
  <si>
    <t>Diesel_emissions</t>
  </si>
  <si>
    <t>WoodRawMaterial_Id</t>
  </si>
  <si>
    <t>Last_mile_distance</t>
  </si>
  <si>
    <t>Co0_general_config</t>
  </si>
  <si>
    <t xml:space="preserve"> </t>
  </si>
  <si>
    <t>path:</t>
  </si>
  <si>
    <t>logs:</t>
  </si>
  <si>
    <t xml:space="preserve">  logs:</t>
  </si>
  <si>
    <t xml:space="preserve">  format: "%(asctime)s - %(levelname)s - %(message)s"  # Logs format  </t>
  </si>
  <si>
    <t>C:/projectTesting/rwanda</t>
  </si>
  <si>
    <t>Definition of plans</t>
  </si>
  <si>
    <t>▪   deployment plans for electricity and LPG targets, while limiting the maximum capacity of fuels</t>
  </si>
  <si>
    <t>and appliances; each plan is an independent set of conditions</t>
  </si>
  <si>
    <t>For example, a plan in three stages (2025-2030-2040) can be made up of a combination of two (D0, D1)</t>
  </si>
  <si>
    <t>deployment plans and three (P0, P1, P2) pricing plans.</t>
  </si>
  <si>
    <t>Capacity margin over 100%</t>
  </si>
  <si>
    <t>▪   variation of processing and transport costs of reference fuels: electricity, LPG</t>
  </si>
  <si>
    <t>▪   variation in weights for each social factor and the aggregated weight of social factors,</t>
  </si>
  <si>
    <r>
      <rPr>
        <i/>
        <sz val="11"/>
        <color theme="1"/>
        <rFont val="Aptos"/>
        <family val="2"/>
      </rPr>
      <t>Purpose:</t>
    </r>
    <r>
      <rPr>
        <sz val="11"/>
        <color theme="1"/>
        <rFont val="Aptos"/>
        <family val="2"/>
      </rPr>
      <t xml:space="preserve"> provide informed evolution on relevant attributes for clean cooking adoption, within</t>
    </r>
  </si>
  <si>
    <t>▪   table "supply chain" first defines a combination of fuel and raw material, identified by their index; and second includes</t>
  </si>
  <si>
    <t>Water</t>
  </si>
  <si>
    <t>Trees</t>
  </si>
  <si>
    <t>FloodedVeg</t>
  </si>
  <si>
    <t>Crops</t>
  </si>
  <si>
    <t>BuiltArea</t>
  </si>
  <si>
    <t>BareGround</t>
  </si>
  <si>
    <t>Snow/Ice</t>
  </si>
  <si>
    <t>Clouds</t>
  </si>
  <si>
    <t>Rangeland</t>
  </si>
  <si>
    <t>List of folders</t>
  </si>
  <si>
    <t>Combined plan</t>
  </si>
  <si>
    <t>Growth scenario</t>
  </si>
  <si>
    <t>Combined name</t>
  </si>
  <si>
    <t>Combined ID</t>
  </si>
  <si>
    <t>Growth ID</t>
  </si>
  <si>
    <t>Growth name</t>
  </si>
  <si>
    <t>YAML</t>
  </si>
  <si>
    <t>config.yaml</t>
  </si>
  <si>
    <t>Interactive mode</t>
  </si>
  <si>
    <t>Pre-processing configuration</t>
  </si>
  <si>
    <t>Regions</t>
  </si>
  <si>
    <t>social</t>
  </si>
  <si>
    <t>used</t>
  </si>
  <si>
    <t>images</t>
  </si>
  <si>
    <t>multi buildings</t>
  </si>
  <si>
    <t>refugee_camp.shp</t>
  </si>
  <si>
    <t>label</t>
  </si>
  <si>
    <t>shapefile</t>
  </si>
  <si>
    <t>District</t>
  </si>
  <si>
    <t>Sector</t>
  </si>
  <si>
    <t>Village</t>
  </si>
  <si>
    <t>district.shp</t>
  </si>
  <si>
    <t>sector.shp</t>
  </si>
  <si>
    <t>village.shp</t>
  </si>
  <si>
    <t>for social clusters</t>
  </si>
  <si>
    <t>for productive uses</t>
  </si>
  <si>
    <t>primary division</t>
  </si>
  <si>
    <t>= type</t>
  </si>
  <si>
    <t>OpenStreetMap</t>
  </si>
  <si>
    <t>EPSG - UTM</t>
  </si>
  <si>
    <t>https://download.geofabrik.de/africa/rwanda-latest-free.shp.zip</t>
  </si>
  <si>
    <t>Default building type</t>
  </si>
  <si>
    <t>Default social cluster</t>
  </si>
  <si>
    <t>["elec","lpg"]</t>
  </si>
  <si>
    <t>Residential social cluster</t>
  </si>
  <si>
    <t>["S","M","L","XL"]</t>
  </si>
  <si>
    <t>categories in list_social</t>
  </si>
  <si>
    <t>Names for fuel areas</t>
  </si>
  <si>
    <t>textfile names in in/buildings/area</t>
  </si>
  <si>
    <t>crs_system:</t>
  </si>
  <si>
    <t># URLs for downloading shapefiles for GeoJSON files</t>
  </si>
  <si>
    <t>defaults:</t>
  </si>
  <si>
    <t>file_names:</t>
  </si>
  <si>
    <t>ESRI land covers</t>
  </si>
  <si>
    <t xml:space="preserve">Integrated Clean Cooking Plan Tool </t>
  </si>
  <si>
    <t>USD/kWh</t>
  </si>
  <si>
    <t>technology learning</t>
  </si>
  <si>
    <t>procurem.</t>
  </si>
  <si>
    <t>rural and urban contexts, and allows choosing one growth pattern for the run:</t>
  </si>
  <si>
    <t>Hourly profiles of electricity demand</t>
  </si>
  <si>
    <t>Hourly profiles of cooking demand</t>
  </si>
  <si>
    <t>Hourly profiles of heating demand</t>
  </si>
  <si>
    <t>USD</t>
  </si>
  <si>
    <t>USD/unit</t>
  </si>
  <si>
    <t>social factors proportions in %</t>
  </si>
  <si>
    <t>$/unit</t>
  </si>
  <si>
    <t>kgCO2/unit</t>
  </si>
  <si>
    <t>▪   table "raw materials" includes cost and emissions, per kg or kWh or liter depending on raw material</t>
  </si>
  <si>
    <t>kWh/unit</t>
  </si>
  <si>
    <t>▪   table "fuels" includes price, calorific value and gender social cost, per kg or kWh or liter depending on fuel</t>
  </si>
  <si>
    <t>gender cost</t>
  </si>
  <si>
    <t>p.u./unit</t>
  </si>
  <si>
    <t>$/unit∙km</t>
  </si>
  <si>
    <t>kgCO2/unit∙km</t>
  </si>
  <si>
    <t>efficiency transformation from raw material to fuel, costs and emissions from processing and transportation, per kg or</t>
  </si>
  <si>
    <t>liter depending on fuel, and fuel weight in chain to adjust cost and average transportation distance</t>
  </si>
  <si>
    <t>fuel / raw material</t>
  </si>
  <si>
    <r>
      <t xml:space="preserve">Input data: </t>
    </r>
    <r>
      <rPr>
        <sz val="11"/>
        <color theme="1"/>
        <rFont val="Aptos"/>
        <family val="2"/>
      </rPr>
      <t>level of adoption of each technology in %</t>
    </r>
  </si>
  <si>
    <r>
      <rPr>
        <i/>
        <sz val="11"/>
        <rFont val="Aptos"/>
        <family val="2"/>
      </rPr>
      <t>Purpose:</t>
    </r>
    <r>
      <rPr>
        <sz val="11"/>
        <rFont val="Aptos"/>
        <family val="2"/>
      </rPr>
      <t xml:space="preserve"> provide multipliers to modify the price [$/kg-kWh] or time-gender social cost</t>
    </r>
  </si>
  <si>
    <t>[units/kg] or [units/liter] of fuels per land type</t>
  </si>
  <si>
    <t>Requalification fee</t>
  </si>
  <si>
    <t>35M.tif</t>
  </si>
  <si>
    <t>36M.tif</t>
  </si>
  <si>
    <t xml:space="preserve">  level: "INFO"                                        # Log levels: DEBUG, INFO, WARNING, ERROR, CRITICAL</t>
  </si>
  <si>
    <t xml:space="preserve">  preprocess:                                           # Preprocess data files of the generated demand areas</t>
  </si>
  <si>
    <t xml:space="preserve">  latlon_epsg: "EPSG:4326"         # WGS84 for lat/lon conversion</t>
  </si>
  <si>
    <t xml:space="preserve">  nep_csv: "{region}_nep.csv"                     # building type CSV filename from national electrification plan</t>
  </si>
  <si>
    <t xml:space="preserve">  pue_csv: "{region}_pue.csv"                     # building type CSV filename from productive use of electricity</t>
  </si>
  <si>
    <t xml:space="preserve">  social_csv: "{region}_asset.csv"                # social percentage CSV filename by social region</t>
  </si>
  <si>
    <t xml:space="preserve">  geojson: "{region}_landuse.geojson"             # names for GeoJSON files</t>
  </si>
  <si>
    <t xml:space="preserve">  place_csv: "{region}_{bdg_type}.csv"            # building type CSV filename from Google Places</t>
  </si>
  <si>
    <t>Current system statistics</t>
  </si>
  <si>
    <t>State 1: business as usual without clean cooking, or minimal access</t>
  </si>
  <si>
    <r>
      <t xml:space="preserve">State 2: business as usual + (ref. capacity </t>
    </r>
    <r>
      <rPr>
        <b/>
        <sz val="11"/>
        <color theme="0"/>
        <rFont val="Aptos Narrow"/>
        <family val="2"/>
      </rPr>
      <t>∙</t>
    </r>
    <r>
      <rPr>
        <b/>
        <sz val="11"/>
        <color theme="0"/>
        <rFont val="Aptos"/>
        <family val="2"/>
      </rPr>
      <t xml:space="preserve"> urban:(e-cooking + e-heating))</t>
    </r>
  </si>
  <si>
    <r>
      <t xml:space="preserve">State 3: business as usual + (ref. capacity </t>
    </r>
    <r>
      <rPr>
        <b/>
        <sz val="11"/>
        <color theme="0"/>
        <rFont val="Aptos Narrow"/>
        <family val="2"/>
      </rPr>
      <t>∙</t>
    </r>
    <r>
      <rPr>
        <b/>
        <sz val="11"/>
        <color theme="0"/>
        <rFont val="Aptos"/>
        <family val="2"/>
      </rPr>
      <t xml:space="preserve"> rural:(e-cooking + e-heating))</t>
    </r>
  </si>
  <si>
    <r>
      <t xml:space="preserve">State 4: business as usual + (ref. capacity </t>
    </r>
    <r>
      <rPr>
        <b/>
        <sz val="11"/>
        <color theme="0"/>
        <rFont val="Aptos Narrow"/>
        <family val="2"/>
      </rPr>
      <t>∙</t>
    </r>
    <r>
      <rPr>
        <b/>
        <sz val="11"/>
        <color theme="0"/>
        <rFont val="Aptos"/>
        <family val="2"/>
      </rPr>
      <t xml:space="preserve"> [urban+rural]:(e-cooking + e-heating))</t>
    </r>
  </si>
  <si>
    <t>Fixed OPEX fraction</t>
  </si>
  <si>
    <t>Population</t>
  </si>
  <si>
    <t>eq. kg/year</t>
  </si>
  <si>
    <t>per capita</t>
  </si>
  <si>
    <t>to retailers in average [km]</t>
  </si>
  <si>
    <t>▪   variation in the elasticity of electricity demand,</t>
  </si>
  <si>
    <t>▪   variation in multipliers for different demand types,</t>
  </si>
  <si>
    <t>days/year</t>
  </si>
  <si>
    <t>Bulk driver</t>
  </si>
  <si>
    <t>Primary driver</t>
  </si>
  <si>
    <t>Secondary driver</t>
  </si>
  <si>
    <t xml:space="preserve">    input_data: "./preprocess/in"                  # Input directory</t>
  </si>
  <si>
    <t xml:space="preserve">    geo_info: "./preprocess/in/buildings/geo"      # Folder for building geolocation (GeoJSON format)</t>
  </si>
  <si>
    <t xml:space="preserve">    type_info: "./preprocess/in/buildings/type"    # Folder for building type (CSV format)</t>
  </si>
  <si>
    <t xml:space="preserve">    fuel_area: "./preprocess/in/buildings/area"    # Folder for building in fuel area (TXT format)</t>
  </si>
  <si>
    <t xml:space="preserve">    region: "./preprocess/in/region"               # Folder for regional geography (SHP format)</t>
  </si>
  <si>
    <t xml:space="preserve">    multiple: "./preprocess/in/multiple"           # Folder for building aggregation (SHP format)</t>
  </si>
  <si>
    <t xml:space="preserve">    raw_data: "./preprocess/in/raw"                # Folder for raw data</t>
  </si>
  <si>
    <t xml:space="preserve">    output_data: "./preprocess/out"                # Output directory</t>
  </si>
  <si>
    <t xml:space="preserve">    out_pre: "./preprocess/out/pre"                # Folder for preprocessed output data</t>
  </si>
  <si>
    <t xml:space="preserve">    out_post: "./preprocess/out/post"              # Folder for postprocessed output data</t>
  </si>
  <si>
    <t>C:/projectTesting/rwanda/cases</t>
  </si>
  <si>
    <t>case name</t>
  </si>
  <si>
    <t>rwanda_1</t>
  </si>
  <si>
    <t>Pl</t>
  </si>
  <si>
    <r>
      <t>base_scenario</t>
    </r>
    <r>
      <rPr>
        <sz val="8"/>
        <color rgb="FFCCCCCC"/>
        <rFont val="Consolas"/>
        <family val="3"/>
      </rPr>
      <t>:</t>
    </r>
  </si>
  <si>
    <t xml:space="preserve">  general_config: "./data/Co0_general_config.tsv"       # General configuration file.</t>
  </si>
  <si>
    <t xml:space="preserve">  routes_config: "./data/Co0_routes_config.tsv"         # File routes and file names.</t>
  </si>
  <si>
    <t xml:space="preserve">  output: "./data/outputs"                              # Output files  </t>
  </si>
  <si>
    <t xml:space="preserve">    general: "./logs/app.txt"                     # General log file</t>
  </si>
  <si>
    <t xml:space="preserve">    errors: "./logs/error.log"                    # Error log file</t>
  </si>
  <si>
    <t xml:space="preserve">  reports: "./reports/report.html"                # Report html file </t>
  </si>
  <si>
    <t xml:space="preserve">  tmp: "./data/tmp/"                              # Temporary files</t>
  </si>
  <si>
    <t>  state_id: 0</t>
  </si>
  <si>
    <t xml:space="preserve">  offline_data_files: "./data/offline_data_files"       # Offline preprocess folder for offline mode</t>
  </si>
  <si>
    <t xml:space="preserve">  summary_results: "./data/summary_results"             # Summary results folder</t>
  </si>
  <si>
    <t>demand/De3-30.tsv</t>
  </si>
  <si>
    <t>demand/De3-26.tsv</t>
  </si>
  <si>
    <t>demand/De3-27.tsv</t>
  </si>
  <si>
    <t>demand/De3-28.tsv</t>
  </si>
  <si>
    <t>demand/De3-29.tsv</t>
  </si>
  <si>
    <t>demand/De3-25.tsv</t>
  </si>
  <si>
    <t>demand/De3-24.tsv</t>
  </si>
  <si>
    <t>demand/De3-2.tsv</t>
  </si>
  <si>
    <t>demand/De3-3.tsv</t>
  </si>
  <si>
    <t>demand/De3-1.tsv</t>
  </si>
  <si>
    <t>demand/De3-22.tsv</t>
  </si>
  <si>
    <t>demand/De3-20.tsv</t>
  </si>
  <si>
    <t>demand/De3-23.tsv</t>
  </si>
  <si>
    <t>demand/De3-21.tsv</t>
  </si>
  <si>
    <t>demand/De3-19.tsv</t>
  </si>
  <si>
    <t>demand/De3-12.tsv</t>
  </si>
  <si>
    <t>demand/De3-16.tsv</t>
  </si>
  <si>
    <t>demand/De3-15.tsv</t>
  </si>
  <si>
    <t>demand/De3-18.tsv</t>
  </si>
  <si>
    <t>demand/De3-14.tsv</t>
  </si>
  <si>
    <t>demand/De3-17.tsv</t>
  </si>
  <si>
    <t>demand/De3-13.tsv</t>
  </si>
  <si>
    <t>demand/De3-5.tsv</t>
  </si>
  <si>
    <t>demand/De3-7.tsv</t>
  </si>
  <si>
    <t>demand/De3-11.tsv</t>
  </si>
  <si>
    <t>demand/De3-10.tsv</t>
  </si>
  <si>
    <t>demand/De3-8.tsv</t>
  </si>
  <si>
    <t>demand/De3-4.tsv</t>
  </si>
  <si>
    <t>demand/De3-6.tsv</t>
  </si>
  <si>
    <t>demand/De3-9.tsv</t>
  </si>
  <si>
    <t>Term</t>
  </si>
  <si>
    <t>Area</t>
  </si>
  <si>
    <t>Price [$/Cook]</t>
  </si>
  <si>
    <t>CostOfCooking.tsv</t>
  </si>
  <si>
    <t>Path to case</t>
  </si>
  <si>
    <t>firstCell</t>
  </si>
  <si>
    <t>first</t>
  </si>
  <si>
    <t>second</t>
  </si>
  <si>
    <t>Labels</t>
  </si>
  <si>
    <t>Technology</t>
  </si>
  <si>
    <t>CountryAdoptionPotentialByTech.tsv</t>
  </si>
  <si>
    <t>adoption</t>
  </si>
  <si>
    <t>Charts - cost of cooking</t>
  </si>
  <si>
    <t>Variation
[%]</t>
  </si>
  <si>
    <t>Expenditure [$/year]</t>
  </si>
  <si>
    <t>Charts - adoption of technologies</t>
  </si>
  <si>
    <t>EconomicAndSocial.tsv</t>
  </si>
  <si>
    <t>SocialImpact.tsv</t>
  </si>
  <si>
    <t>social-impact</t>
  </si>
  <si>
    <t>socioeconomic</t>
  </si>
  <si>
    <t>Grand</t>
  </si>
  <si>
    <t>Base</t>
  </si>
  <si>
    <t>Gender</t>
  </si>
  <si>
    <t>B27</t>
  </si>
  <si>
    <t>Charts - social impact of clean cooking</t>
  </si>
  <si>
    <t>C:/projectTesting/rwanda/CleanCooking_os</t>
  </si>
  <si>
    <t>data</t>
  </si>
  <si>
    <t>Charts - socioeconomic value of social factors</t>
  </si>
  <si>
    <t>update values after renaming, rearrangement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</si>
</sst>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00"/>
    <numFmt numFmtId="165" formatCode="hh:mm"/>
    <numFmt numFmtId="166" formatCode="0.0"/>
    <numFmt numFmtId="167" formatCode="_-* #,##0.00\ &quot;€&quot;_-;\-* #,##0.00\ &quot;€&quot;_-;_-* &quot;-&quot;??\ &quot;€&quot;_-;_-@_-"/>
    <numFmt numFmtId="168" formatCode="_-* #,##0.00_-;\-* #,##0.00_-;_-* &quot;-&quot;??_-;_-@_-"/>
    <numFmt numFmtId="169" formatCode="_(* #,##0_);_(* \(#,##0\);_(* &quot;-&quot;??_);_(@_)"/>
    <numFmt numFmtId="170" formatCode="0.0%"/>
    <numFmt numFmtId="171" formatCode="_(* #,##0.000_);_(* \(#,##0.000\);_(* &quot;-&quot;??_);_(@_)"/>
  </numFmts>
  <fonts count="52" x14ac:knownFonts="1">
    <font>
      <sz val="11"/>
      <color theme="1"/>
      <name val="Calibri Light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2"/>
      <color theme="0"/>
      <name val="Aptos"/>
      <family val="2"/>
    </font>
    <font>
      <sz val="11"/>
      <color theme="1"/>
      <name val="Aptos"/>
      <family val="2"/>
    </font>
    <font>
      <b/>
      <sz val="22"/>
      <color theme="0"/>
      <name val="Aptos"/>
      <family val="2"/>
    </font>
    <font>
      <b/>
      <sz val="11"/>
      <color theme="0"/>
      <name val="Aptos"/>
      <family val="2"/>
    </font>
    <font>
      <b/>
      <sz val="11"/>
      <color theme="1"/>
      <name val="Aptos"/>
      <family val="2"/>
    </font>
    <font>
      <sz val="11"/>
      <color rgb="FF9C5700"/>
      <name val="Calibri Light"/>
      <family val="2"/>
      <scheme val="minor"/>
    </font>
    <font>
      <i/>
      <sz val="11"/>
      <color theme="1"/>
      <name val="Aptos"/>
      <family val="2"/>
    </font>
    <font>
      <sz val="10"/>
      <color theme="1"/>
      <name val="Aptos"/>
      <family val="2"/>
    </font>
    <font>
      <sz val="11"/>
      <name val="Aptos"/>
      <family val="2"/>
    </font>
    <font>
      <sz val="11"/>
      <color theme="0" tint="-4.9989318521683403E-2"/>
      <name val="Aptos"/>
      <family val="2"/>
    </font>
    <font>
      <sz val="11"/>
      <color rgb="FFC00000"/>
      <name val="Aptos"/>
      <family val="2"/>
    </font>
    <font>
      <i/>
      <sz val="11"/>
      <name val="Aptos"/>
      <family val="2"/>
    </font>
    <font>
      <b/>
      <sz val="26"/>
      <color theme="0"/>
      <name val="Aptos"/>
      <family val="2"/>
    </font>
    <font>
      <sz val="10"/>
      <color rgb="FF9C5700"/>
      <name val="Aptos"/>
      <family val="2"/>
    </font>
    <font>
      <i/>
      <sz val="10"/>
      <color theme="1"/>
      <name val="Calibri"/>
      <family val="2"/>
    </font>
    <font>
      <sz val="11"/>
      <color theme="1"/>
      <name val="Calibri Light"/>
      <family val="2"/>
      <scheme val="minor"/>
    </font>
    <font>
      <sz val="12"/>
      <color theme="1"/>
      <name val="Calibri Light"/>
      <family val="2"/>
      <scheme val="minor"/>
    </font>
    <font>
      <sz val="11"/>
      <color theme="1"/>
      <name val="Aptos Narrow"/>
      <family val="2"/>
    </font>
    <font>
      <b/>
      <sz val="11"/>
      <color theme="0"/>
      <name val="Aptos Narrow"/>
      <family val="2"/>
    </font>
    <font>
      <sz val="10"/>
      <name val="Aptos"/>
      <family val="2"/>
    </font>
    <font>
      <sz val="9"/>
      <color theme="1"/>
      <name val="Aptos"/>
      <family val="2"/>
    </font>
    <font>
      <sz val="12"/>
      <color theme="3"/>
      <name val="Arial Narrow"/>
      <family val="2"/>
    </font>
    <font>
      <sz val="12"/>
      <color theme="0"/>
      <name val="Aptos"/>
      <family val="2"/>
    </font>
    <font>
      <sz val="12"/>
      <color theme="3"/>
      <name val="Aptos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 Light"/>
      <family val="2"/>
      <scheme val="minor"/>
    </font>
    <font>
      <b/>
      <sz val="13"/>
      <color theme="3"/>
      <name val="Calibri Light"/>
      <family val="2"/>
      <scheme val="minor"/>
    </font>
    <font>
      <b/>
      <sz val="11"/>
      <color theme="3"/>
      <name val="Calibri Light"/>
      <family val="2"/>
      <scheme val="minor"/>
    </font>
    <font>
      <sz val="11"/>
      <color rgb="FF006100"/>
      <name val="Calibri Light"/>
      <family val="2"/>
      <scheme val="minor"/>
    </font>
    <font>
      <sz val="11"/>
      <color rgb="FF9C0006"/>
      <name val="Calibri Light"/>
      <family val="2"/>
      <scheme val="minor"/>
    </font>
    <font>
      <sz val="11"/>
      <color rgb="FF3F3F76"/>
      <name val="Calibri Light"/>
      <family val="2"/>
      <scheme val="minor"/>
    </font>
    <font>
      <b/>
      <sz val="11"/>
      <color rgb="FF3F3F3F"/>
      <name val="Calibri Light"/>
      <family val="2"/>
      <scheme val="minor"/>
    </font>
    <font>
      <b/>
      <sz val="11"/>
      <color rgb="FFFA7D00"/>
      <name val="Calibri Light"/>
      <family val="2"/>
      <scheme val="minor"/>
    </font>
    <font>
      <sz val="11"/>
      <color rgb="FFFA7D0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i/>
      <sz val="11"/>
      <color rgb="FF7F7F7F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8"/>
      <name val="Calibri Light"/>
      <family val="2"/>
      <scheme val="minor"/>
    </font>
    <font>
      <sz val="11"/>
      <color theme="3"/>
      <name val="Aptos"/>
      <family val="2"/>
    </font>
    <font>
      <sz val="9"/>
      <color theme="1"/>
      <name val="Aptos Narrow"/>
      <family val="2"/>
    </font>
    <font>
      <sz val="12"/>
      <color theme="1"/>
      <name val="Aptos Display"/>
      <family val="2"/>
    </font>
    <font>
      <sz val="11"/>
      <color theme="4" tint="0.39997558519241921"/>
      <name val="Aptos"/>
      <family val="2"/>
    </font>
    <font>
      <sz val="11"/>
      <color theme="0"/>
      <name val="Aptos"/>
      <family val="2"/>
    </font>
    <font>
      <sz val="12"/>
      <color rgb="FF000000"/>
      <name val="Aptos"/>
      <family val="2"/>
    </font>
    <font>
      <sz val="8"/>
      <color rgb="FFCCCCCC"/>
      <name val="Consolas"/>
      <family val="3"/>
    </font>
    <font>
      <sz val="9"/>
      <color theme="0"/>
      <name val="Aptos"/>
      <family val="2"/>
    </font>
    <font>
      <i/>
      <sz val="9"/>
      <color theme="3" tint="9.9978637043366805E-2"/>
      <name val="Aptos"/>
      <family val="2"/>
    </font>
  </fonts>
  <fills count="5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EB9C"/>
      </patternFill>
    </fill>
    <fill>
      <patternFill patternType="lightUp">
        <bgColor rgb="FF0070C0"/>
      </patternFill>
    </fill>
    <fill>
      <patternFill patternType="lightUp">
        <bgColor theme="4" tint="0.79998168889431442"/>
      </patternFill>
    </fill>
    <fill>
      <patternFill patternType="lightUp">
        <bgColor theme="0"/>
      </patternFill>
    </fill>
    <fill>
      <patternFill patternType="lightUp">
        <bgColor theme="7" tint="0.79998168889431442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Up">
        <bgColor theme="0" tint="-4.9989318521683403E-2"/>
      </patternFill>
    </fill>
    <fill>
      <patternFill patternType="gray125">
        <bgColor theme="0" tint="-4.9989318521683403E-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9.9978637043366805E-2"/>
        <bgColor indexed="64"/>
      </patternFill>
    </fill>
    <fill>
      <patternFill patternType="lightGray">
        <fgColor theme="0" tint="-0.24994659260841701"/>
        <bgColor theme="0"/>
      </patternFill>
    </fill>
    <fill>
      <patternFill patternType="lightGray">
        <fgColor theme="0" tint="-0.24994659260841701"/>
        <bgColor theme="4" tint="0.79998168889431442"/>
      </patternFill>
    </fill>
    <fill>
      <patternFill patternType="solid">
        <fgColor theme="6" tint="0.59999389629810485"/>
        <bgColor indexed="64"/>
      </patternFill>
    </fill>
  </fills>
  <borders count="330">
    <border>
      <left/>
      <right/>
      <top/>
      <bottom/>
      <diagonal/>
    </border>
    <border>
      <left/>
      <right/>
      <top/>
      <bottom style="thick">
        <color theme="5"/>
      </bottom>
      <diagonal/>
    </border>
    <border>
      <left style="thick">
        <color theme="7" tint="-0.499984740745262"/>
      </left>
      <right style="thick">
        <color theme="7" tint="-0.499984740745262"/>
      </right>
      <top style="thick">
        <color theme="7" tint="-0.499984740745262"/>
      </top>
      <bottom style="medium">
        <color theme="7" tint="-0.499984740745262"/>
      </bottom>
      <diagonal/>
    </border>
    <border>
      <left style="thick">
        <color theme="7" tint="-0.499984740745262"/>
      </left>
      <right/>
      <top style="thick">
        <color theme="7" tint="-0.499984740745262"/>
      </top>
      <bottom style="medium">
        <color theme="7" tint="-0.499984740745262"/>
      </bottom>
      <diagonal/>
    </border>
    <border>
      <left/>
      <right/>
      <top style="thick">
        <color theme="7" tint="-0.499984740745262"/>
      </top>
      <bottom style="medium">
        <color theme="7" tint="-0.499984740745262"/>
      </bottom>
      <diagonal/>
    </border>
    <border>
      <left/>
      <right style="thick">
        <color theme="7" tint="-0.499984740745262"/>
      </right>
      <top style="thick">
        <color theme="7" tint="-0.499984740745262"/>
      </top>
      <bottom style="medium">
        <color theme="7" tint="-0.499984740745262"/>
      </bottom>
      <diagonal/>
    </border>
    <border>
      <left style="thick">
        <color theme="7" tint="-0.499984740745262"/>
      </left>
      <right/>
      <top style="thick">
        <color theme="7" tint="-0.499984740745262"/>
      </top>
      <bottom/>
      <diagonal/>
    </border>
    <border>
      <left/>
      <right/>
      <top style="thick">
        <color theme="7" tint="-0.499984740745262"/>
      </top>
      <bottom/>
      <diagonal/>
    </border>
    <border>
      <left/>
      <right style="thick">
        <color theme="7" tint="-0.499984740745262"/>
      </right>
      <top style="thick">
        <color theme="7" tint="-0.499984740745262"/>
      </top>
      <bottom/>
      <diagonal/>
    </border>
    <border>
      <left style="thick">
        <color theme="7" tint="-0.499984740745262"/>
      </left>
      <right/>
      <top style="medium">
        <color theme="7" tint="-0.499984740745262"/>
      </top>
      <bottom/>
      <diagonal/>
    </border>
    <border>
      <left/>
      <right/>
      <top style="medium">
        <color theme="7" tint="-0.499984740745262"/>
      </top>
      <bottom/>
      <diagonal/>
    </border>
    <border>
      <left/>
      <right style="thick">
        <color theme="7" tint="-0.499984740745262"/>
      </right>
      <top style="medium">
        <color theme="7" tint="-0.499984740745262"/>
      </top>
      <bottom/>
      <diagonal/>
    </border>
    <border>
      <left style="thick">
        <color theme="7" tint="-0.499984740745262"/>
      </left>
      <right/>
      <top/>
      <bottom/>
      <diagonal/>
    </border>
    <border>
      <left/>
      <right style="thick">
        <color theme="7" tint="-0.499984740745262"/>
      </right>
      <top/>
      <bottom/>
      <diagonal/>
    </border>
    <border>
      <left style="thick">
        <color theme="7" tint="-0.499984740745262"/>
      </left>
      <right/>
      <top/>
      <bottom style="thick">
        <color theme="7" tint="-0.499984740745262"/>
      </bottom>
      <diagonal/>
    </border>
    <border>
      <left/>
      <right/>
      <top/>
      <bottom style="thick">
        <color theme="7" tint="-0.499984740745262"/>
      </bottom>
      <diagonal/>
    </border>
    <border>
      <left/>
      <right style="thick">
        <color theme="7" tint="-0.499984740745262"/>
      </right>
      <top/>
      <bottom style="thick">
        <color theme="7" tint="-0.499984740745262"/>
      </bottom>
      <diagonal/>
    </border>
    <border>
      <left/>
      <right style="thick">
        <color theme="7" tint="-0.499984740745262"/>
      </right>
      <top/>
      <bottom style="medium">
        <color theme="7" tint="-0.499984740745262"/>
      </bottom>
      <diagonal/>
    </border>
    <border>
      <left style="thick">
        <color theme="7" tint="-0.499984740745262"/>
      </left>
      <right style="thick">
        <color theme="7" tint="-0.499984740745262"/>
      </right>
      <top/>
      <bottom style="thick">
        <color theme="7" tint="-0.499984740745262"/>
      </bottom>
      <diagonal/>
    </border>
    <border>
      <left style="thick">
        <color theme="7" tint="-0.499984740745262"/>
      </left>
      <right style="medium">
        <color theme="7" tint="-0.499984740745262"/>
      </right>
      <top style="thick">
        <color theme="7" tint="-0.499984740745262"/>
      </top>
      <bottom style="medium">
        <color theme="7" tint="-0.499984740745262"/>
      </bottom>
      <diagonal/>
    </border>
    <border>
      <left style="thick">
        <color theme="7" tint="-0.499984740745262"/>
      </left>
      <right style="medium">
        <color theme="7" tint="-0.499984740745262"/>
      </right>
      <top style="medium">
        <color theme="7" tint="-0.499984740745262"/>
      </top>
      <bottom/>
      <diagonal/>
    </border>
    <border>
      <left style="medium">
        <color theme="7" tint="-0.499984740745262"/>
      </left>
      <right/>
      <top style="medium">
        <color theme="7" tint="-0.499984740745262"/>
      </top>
      <bottom/>
      <diagonal/>
    </border>
    <border>
      <left style="thick">
        <color theme="7" tint="-0.499984740745262"/>
      </left>
      <right style="medium">
        <color theme="7" tint="-0.499984740745262"/>
      </right>
      <top/>
      <bottom style="thick">
        <color theme="7" tint="-0.499984740745262"/>
      </bottom>
      <diagonal/>
    </border>
    <border>
      <left style="medium">
        <color theme="7" tint="-0.499984740745262"/>
      </left>
      <right/>
      <top/>
      <bottom style="thick">
        <color theme="7" tint="-0.499984740745262"/>
      </bottom>
      <diagonal/>
    </border>
    <border>
      <left style="thick">
        <color theme="7" tint="-0.499984740745262"/>
      </left>
      <right style="medium">
        <color theme="7" tint="-0.499984740745262"/>
      </right>
      <top/>
      <bottom/>
      <diagonal/>
    </border>
    <border>
      <left style="medium">
        <color theme="7" tint="-0.499984740745262"/>
      </left>
      <right/>
      <top/>
      <bottom/>
      <diagonal/>
    </border>
    <border>
      <left style="thin">
        <color theme="7" tint="-0.499984740745262"/>
      </left>
      <right/>
      <top/>
      <bottom/>
      <diagonal/>
    </border>
    <border>
      <left/>
      <right style="thin">
        <color theme="7" tint="-0.499984740745262"/>
      </right>
      <top/>
      <bottom/>
      <diagonal/>
    </border>
    <border>
      <left/>
      <right style="medium">
        <color theme="7" tint="-0.499984740745262"/>
      </right>
      <top/>
      <bottom/>
      <diagonal/>
    </border>
    <border>
      <left style="thick">
        <color theme="7" tint="-0.499984740745262"/>
      </left>
      <right style="medium">
        <color theme="7" tint="-0.499984740745262"/>
      </right>
      <top style="thick">
        <color theme="7" tint="-0.499984740745262"/>
      </top>
      <bottom/>
      <diagonal/>
    </border>
    <border>
      <left style="thick">
        <color theme="7" tint="-0.499984740745262"/>
      </left>
      <right/>
      <top/>
      <bottom style="medium">
        <color theme="7" tint="-0.499984740745262"/>
      </bottom>
      <diagonal/>
    </border>
    <border>
      <left/>
      <right/>
      <top/>
      <bottom style="medium">
        <color theme="7" tint="-0.499984740745262"/>
      </bottom>
      <diagonal/>
    </border>
    <border>
      <left/>
      <right style="thin">
        <color theme="7" tint="-0.499984740745262"/>
      </right>
      <top style="thick">
        <color theme="7" tint="-0.499984740745262"/>
      </top>
      <bottom/>
      <diagonal/>
    </border>
    <border>
      <left style="thin">
        <color theme="7" tint="-0.499984740745262"/>
      </left>
      <right/>
      <top style="thick">
        <color theme="7" tint="-0.499984740745262"/>
      </top>
      <bottom/>
      <diagonal/>
    </border>
    <border>
      <left/>
      <right style="thin">
        <color theme="7" tint="-0.499984740745262"/>
      </right>
      <top/>
      <bottom style="medium">
        <color theme="7" tint="-0.499984740745262"/>
      </bottom>
      <diagonal/>
    </border>
    <border>
      <left style="thin">
        <color theme="7" tint="-0.499984740745262"/>
      </left>
      <right/>
      <top/>
      <bottom style="medium">
        <color theme="7" tint="-0.499984740745262"/>
      </bottom>
      <diagonal/>
    </border>
    <border>
      <left style="thick">
        <color theme="7" tint="-0.499984740745262"/>
      </left>
      <right style="thick">
        <color theme="7" tint="-0.499984740745262"/>
      </right>
      <top style="medium">
        <color theme="7" tint="-0.499984740745262"/>
      </top>
      <bottom/>
      <diagonal/>
    </border>
    <border>
      <left style="thick">
        <color theme="7" tint="-0.499984740745262"/>
      </left>
      <right style="thick">
        <color theme="7" tint="-0.499984740745262"/>
      </right>
      <top/>
      <bottom/>
      <diagonal/>
    </border>
    <border>
      <left style="thin">
        <color theme="1"/>
      </left>
      <right style="thick">
        <color theme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theme="7" tint="-0.499984740745262"/>
      </top>
      <bottom/>
      <diagonal/>
    </border>
    <border>
      <left/>
      <right style="thick">
        <color auto="1"/>
      </right>
      <top/>
      <bottom style="medium">
        <color theme="7" tint="-0.499984740745262"/>
      </bottom>
      <diagonal/>
    </border>
    <border>
      <left/>
      <right style="thick">
        <color auto="1"/>
      </right>
      <top/>
      <bottom/>
      <diagonal/>
    </border>
    <border>
      <left style="thick">
        <color theme="7" tint="-0.499984740745262"/>
      </left>
      <right style="medium">
        <color theme="7" tint="-0.499984740745262"/>
      </right>
      <top/>
      <bottom style="thick">
        <color auto="1"/>
      </bottom>
      <diagonal/>
    </border>
    <border>
      <left style="medium">
        <color theme="7" tint="-0.499984740745262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theme="7" tint="-0.499984740745262"/>
      </left>
      <right/>
      <top/>
      <bottom style="thick">
        <color auto="1"/>
      </bottom>
      <diagonal/>
    </border>
    <border>
      <left/>
      <right style="thin">
        <color theme="7" tint="-0.499984740745262"/>
      </right>
      <top/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theme="7" tint="-0.499984740745262"/>
      </left>
      <right style="medium">
        <color theme="7" tint="-0.499984740745262"/>
      </right>
      <top style="thick">
        <color theme="7" tint="-0.499984740745262"/>
      </top>
      <bottom/>
      <diagonal/>
    </border>
    <border>
      <left style="medium">
        <color theme="7" tint="-0.499984740745262"/>
      </left>
      <right style="thick">
        <color theme="7" tint="-0.499984740745262"/>
      </right>
      <top style="thick">
        <color theme="7" tint="-0.499984740745262"/>
      </top>
      <bottom/>
      <diagonal/>
    </border>
    <border>
      <left style="medium">
        <color theme="7" tint="-0.499984740745262"/>
      </left>
      <right style="medium">
        <color theme="7" tint="-0.499984740745262"/>
      </right>
      <top/>
      <bottom/>
      <diagonal/>
    </border>
    <border>
      <left style="medium">
        <color theme="7" tint="-0.499984740745262"/>
      </left>
      <right style="thick">
        <color theme="7" tint="-0.499984740745262"/>
      </right>
      <top/>
      <bottom/>
      <diagonal/>
    </border>
    <border>
      <left style="medium">
        <color theme="7" tint="-0.499984740745262"/>
      </left>
      <right style="thick">
        <color theme="7" tint="-0.499984740745262"/>
      </right>
      <top/>
      <bottom style="thick">
        <color theme="7" tint="-0.499984740745262"/>
      </bottom>
      <diagonal/>
    </border>
    <border>
      <left style="medium">
        <color theme="7" tint="-0.499984740745262"/>
      </left>
      <right/>
      <top style="thick">
        <color theme="7" tint="-0.499984740745262"/>
      </top>
      <bottom/>
      <diagonal/>
    </border>
    <border>
      <left style="thin">
        <color theme="7" tint="-0.499984740745262"/>
      </left>
      <right style="dotted">
        <color theme="7" tint="-0.499984740745262"/>
      </right>
      <top style="thick">
        <color theme="7" tint="-0.499984740745262"/>
      </top>
      <bottom/>
      <diagonal/>
    </border>
    <border>
      <left style="dotted">
        <color theme="7" tint="-0.499984740745262"/>
      </left>
      <right/>
      <top style="thick">
        <color theme="7" tint="-0.499984740745262"/>
      </top>
      <bottom/>
      <diagonal/>
    </border>
    <border>
      <left style="thin">
        <color theme="7" tint="-0.499984740745262"/>
      </left>
      <right style="dotted">
        <color theme="7" tint="-0.499984740745262"/>
      </right>
      <top/>
      <bottom style="medium">
        <color theme="7" tint="-0.499984740745262"/>
      </bottom>
      <diagonal/>
    </border>
    <border>
      <left style="dotted">
        <color theme="7" tint="-0.499984740745262"/>
      </left>
      <right/>
      <top/>
      <bottom style="medium">
        <color theme="7" tint="-0.499984740745262"/>
      </bottom>
      <diagonal/>
    </border>
    <border>
      <left style="thin">
        <color theme="7" tint="-0.499984740745262"/>
      </left>
      <right style="dotted">
        <color theme="7" tint="-0.499984740745262"/>
      </right>
      <top/>
      <bottom/>
      <diagonal/>
    </border>
    <border>
      <left style="dotted">
        <color theme="7" tint="-0.499984740745262"/>
      </left>
      <right/>
      <top/>
      <bottom/>
      <diagonal/>
    </border>
    <border>
      <left style="thin">
        <color theme="7" tint="-0.499984740745262"/>
      </left>
      <right style="dotted">
        <color theme="7" tint="-0.499984740745262"/>
      </right>
      <top/>
      <bottom style="thick">
        <color theme="7" tint="-0.499984740745262"/>
      </bottom>
      <diagonal/>
    </border>
    <border>
      <left style="dotted">
        <color theme="7" tint="-0.499984740745262"/>
      </left>
      <right/>
      <top/>
      <bottom style="thick">
        <color theme="7" tint="-0.499984740745262"/>
      </bottom>
      <diagonal/>
    </border>
    <border>
      <left style="thin">
        <color theme="1"/>
      </left>
      <right/>
      <top style="thick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ck">
        <color theme="1"/>
      </bottom>
      <diagonal/>
    </border>
    <border>
      <left style="thin">
        <color theme="1"/>
      </left>
      <right style="thick">
        <color theme="1"/>
      </right>
      <top style="thick">
        <color theme="7" tint="-0.499984740745262"/>
      </top>
      <bottom/>
      <diagonal/>
    </border>
    <border>
      <left style="thin">
        <color theme="1"/>
      </left>
      <right style="thick">
        <color theme="1"/>
      </right>
      <top/>
      <bottom style="thick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/>
      <bottom style="medium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/>
      <bottom/>
      <diagonal/>
    </border>
    <border>
      <left style="thin">
        <color theme="7" tint="-0.499984740745262"/>
      </left>
      <right style="thin">
        <color theme="7" tint="-0.499984740745262"/>
      </right>
      <top/>
      <bottom style="thick">
        <color auto="1"/>
      </bottom>
      <diagonal/>
    </border>
    <border>
      <left style="medium">
        <color theme="7" tint="-0.499984740745262"/>
      </left>
      <right/>
      <top style="thick">
        <color theme="7" tint="-0.499984740745262"/>
      </top>
      <bottom style="medium">
        <color theme="7" tint="-0.499984740745262"/>
      </bottom>
      <diagonal/>
    </border>
    <border>
      <left/>
      <right style="thin">
        <color theme="7" tint="-0.499984740745262"/>
      </right>
      <top style="thick">
        <color theme="7" tint="-0.499984740745262"/>
      </top>
      <bottom style="medium">
        <color theme="7" tint="-0.499984740745262"/>
      </bottom>
      <diagonal/>
    </border>
    <border>
      <left/>
      <right style="thin">
        <color theme="7" tint="-0.499984740745262"/>
      </right>
      <top style="medium">
        <color theme="7" tint="-0.499984740745262"/>
      </top>
      <bottom/>
      <diagonal/>
    </border>
    <border>
      <left style="thick">
        <color theme="7" tint="-0.499984740745262"/>
      </left>
      <right style="thin">
        <color theme="7" tint="-0.499984740745262"/>
      </right>
      <top style="thick">
        <color theme="7" tint="-0.499984740745262"/>
      </top>
      <bottom/>
      <diagonal/>
    </border>
    <border>
      <left/>
      <right style="thick">
        <color auto="1"/>
      </right>
      <top style="thick">
        <color theme="7" tint="-0.499984740745262"/>
      </top>
      <bottom style="medium">
        <color theme="7" tint="-0.499984740745262"/>
      </bottom>
      <diagonal/>
    </border>
    <border>
      <left/>
      <right style="thick">
        <color auto="1"/>
      </right>
      <top style="medium">
        <color theme="7" tint="-0.499984740745262"/>
      </top>
      <bottom/>
      <diagonal/>
    </border>
    <border>
      <left/>
      <right style="medium">
        <color theme="7" tint="-0.499984740745262"/>
      </right>
      <top style="thick">
        <color theme="7" tint="-0.499984740745262"/>
      </top>
      <bottom style="medium">
        <color theme="7" tint="-0.499984740745262"/>
      </bottom>
      <diagonal/>
    </border>
    <border>
      <left style="medium">
        <color rgb="FFFF9999"/>
      </left>
      <right/>
      <top style="medium">
        <color rgb="FFFF9999"/>
      </top>
      <bottom/>
      <diagonal/>
    </border>
    <border>
      <left/>
      <right style="medium">
        <color rgb="FFFF9999"/>
      </right>
      <top style="medium">
        <color rgb="FFFF9999"/>
      </top>
      <bottom/>
      <diagonal/>
    </border>
    <border>
      <left style="medium">
        <color rgb="FFFF9999"/>
      </left>
      <right/>
      <top/>
      <bottom style="medium">
        <color rgb="FFFF9999"/>
      </bottom>
      <diagonal/>
    </border>
    <border>
      <left/>
      <right style="medium">
        <color rgb="FFFF9999"/>
      </right>
      <top/>
      <bottom style="medium">
        <color rgb="FFFF9999"/>
      </bottom>
      <diagonal/>
    </border>
    <border>
      <left/>
      <right/>
      <top style="medium">
        <color rgb="FFFF9999"/>
      </top>
      <bottom/>
      <diagonal/>
    </border>
    <border>
      <left/>
      <right/>
      <top/>
      <bottom style="medium">
        <color rgb="FFFF9999"/>
      </bottom>
      <diagonal/>
    </border>
    <border>
      <left style="thick">
        <color theme="7" tint="-0.499984740745262"/>
      </left>
      <right/>
      <top style="medium">
        <color theme="7" tint="-0.499984740745262"/>
      </top>
      <bottom style="thick">
        <color theme="7" tint="-0.499984740745262"/>
      </bottom>
      <diagonal/>
    </border>
    <border>
      <left/>
      <right/>
      <top style="medium">
        <color theme="7" tint="-0.499984740745262"/>
      </top>
      <bottom style="thick">
        <color theme="7" tint="-0.499984740745262"/>
      </bottom>
      <diagonal/>
    </border>
    <border>
      <left/>
      <right style="medium">
        <color theme="7" tint="-0.499984740745262"/>
      </right>
      <top style="medium">
        <color theme="7" tint="-0.499984740745262"/>
      </top>
      <bottom style="thick">
        <color theme="7" tint="-0.499984740745262"/>
      </bottom>
      <diagonal/>
    </border>
    <border>
      <left style="medium">
        <color theme="7" tint="-0.499984740745262"/>
      </left>
      <right/>
      <top style="medium">
        <color theme="7" tint="-0.499984740745262"/>
      </top>
      <bottom style="thick">
        <color theme="7" tint="-0.499984740745262"/>
      </bottom>
      <diagonal/>
    </border>
    <border>
      <left style="medium">
        <color theme="7" tint="-0.499984740745262"/>
      </left>
      <right style="thick">
        <color theme="7" tint="-0.499984740745262"/>
      </right>
      <top style="thick">
        <color theme="7" tint="-0.499984740745262"/>
      </top>
      <bottom style="thick">
        <color theme="7" tint="-0.499984740745262"/>
      </bottom>
      <diagonal/>
    </border>
    <border>
      <left style="thick">
        <color theme="7" tint="-0.499984740745262"/>
      </left>
      <right style="thick">
        <color theme="7" tint="-0.499984740745262"/>
      </right>
      <top style="thick">
        <color theme="7" tint="-0.499984740745262"/>
      </top>
      <bottom style="thick">
        <color theme="7" tint="-0.499984740745262"/>
      </bottom>
      <diagonal/>
    </border>
    <border>
      <left style="thick">
        <color theme="7" tint="-0.499984740745262"/>
      </left>
      <right style="thin">
        <color theme="7" tint="-0.499984740745262"/>
      </right>
      <top style="thick">
        <color theme="7" tint="-0.499984740745262"/>
      </top>
      <bottom style="thick">
        <color theme="7" tint="-0.499984740745262"/>
      </bottom>
      <diagonal/>
    </border>
    <border>
      <left style="thin">
        <color theme="7" tint="-0.499984740745262"/>
      </left>
      <right style="thick">
        <color theme="7" tint="-0.499984740745262"/>
      </right>
      <top style="thick">
        <color theme="7" tint="-0.499984740745262"/>
      </top>
      <bottom style="thick">
        <color theme="7" tint="-0.499984740745262"/>
      </bottom>
      <diagonal/>
    </border>
    <border>
      <left/>
      <right/>
      <top/>
      <bottom style="thick">
        <color theme="9"/>
      </bottom>
      <diagonal/>
    </border>
    <border>
      <left/>
      <right style="medium">
        <color theme="7" tint="-0.499984740745262"/>
      </right>
      <top style="thick">
        <color theme="7" tint="-0.499984740745262"/>
      </top>
      <bottom/>
      <diagonal/>
    </border>
    <border>
      <left/>
      <right style="medium">
        <color theme="7" tint="-0.499984740745262"/>
      </right>
      <top/>
      <bottom style="medium">
        <color theme="7" tint="-0.499984740745262"/>
      </bottom>
      <diagonal/>
    </border>
    <border>
      <left/>
      <right style="medium">
        <color theme="7" tint="-0.499984740745262"/>
      </right>
      <top style="medium">
        <color theme="7" tint="-0.499984740745262"/>
      </top>
      <bottom/>
      <diagonal/>
    </border>
    <border>
      <left/>
      <right style="thin">
        <color auto="1"/>
      </right>
      <top style="thick">
        <color theme="7" tint="-0.499984740745262"/>
      </top>
      <bottom/>
      <diagonal/>
    </border>
    <border>
      <left/>
      <right style="thin">
        <color auto="1"/>
      </right>
      <top/>
      <bottom style="medium">
        <color theme="7" tint="-0.499984740745262"/>
      </bottom>
      <diagonal/>
    </border>
    <border>
      <left style="thin">
        <color auto="1"/>
      </left>
      <right/>
      <top/>
      <bottom style="medium">
        <color theme="7" tint="-0.499984740745262"/>
      </bottom>
      <diagonal/>
    </border>
    <border>
      <left/>
      <right style="thin">
        <color auto="1"/>
      </right>
      <top style="medium">
        <color theme="7" tint="-0.499984740745262"/>
      </top>
      <bottom/>
      <diagonal/>
    </border>
    <border>
      <left style="thin">
        <color auto="1"/>
      </left>
      <right/>
      <top style="medium">
        <color theme="7" tint="-0.499984740745262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medium">
        <color theme="7" tint="-0.499984740745262"/>
      </bottom>
      <diagonal/>
    </border>
    <border>
      <left style="hair">
        <color auto="1"/>
      </left>
      <right/>
      <top/>
      <bottom style="medium">
        <color theme="7" tint="-0.499984740745262"/>
      </bottom>
      <diagonal/>
    </border>
    <border>
      <left/>
      <right style="hair">
        <color auto="1"/>
      </right>
      <top style="medium">
        <color theme="7" tint="-0.499984740745262"/>
      </top>
      <bottom/>
      <diagonal/>
    </border>
    <border>
      <left style="hair">
        <color auto="1"/>
      </left>
      <right/>
      <top style="medium">
        <color theme="7" tint="-0.499984740745262"/>
      </top>
      <bottom/>
      <diagonal/>
    </border>
    <border>
      <left/>
      <right style="medium">
        <color auto="1"/>
      </right>
      <top style="medium">
        <color theme="7" tint="-0.499984740745262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theme="7" tint="-0.499984740745262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ck">
        <color theme="9" tint="0.79998168889431442"/>
      </bottom>
      <diagonal/>
    </border>
    <border>
      <left style="double">
        <color theme="3" tint="0.24994659260841701"/>
      </left>
      <right/>
      <top style="double">
        <color theme="3" tint="0.24994659260841701"/>
      </top>
      <bottom/>
      <diagonal/>
    </border>
    <border>
      <left/>
      <right/>
      <top style="double">
        <color theme="3" tint="0.24994659260841701"/>
      </top>
      <bottom/>
      <diagonal/>
    </border>
    <border>
      <left/>
      <right style="double">
        <color theme="3" tint="0.24994659260841701"/>
      </right>
      <top style="double">
        <color theme="3" tint="0.24994659260841701"/>
      </top>
      <bottom/>
      <diagonal/>
    </border>
    <border>
      <left style="double">
        <color theme="3" tint="0.24994659260841701"/>
      </left>
      <right/>
      <top/>
      <bottom/>
      <diagonal/>
    </border>
    <border>
      <left/>
      <right style="double">
        <color theme="3" tint="0.24994659260841701"/>
      </right>
      <top/>
      <bottom/>
      <diagonal/>
    </border>
    <border>
      <left style="double">
        <color theme="3" tint="0.24994659260841701"/>
      </left>
      <right/>
      <top/>
      <bottom style="double">
        <color theme="3" tint="0.24994659260841701"/>
      </bottom>
      <diagonal/>
    </border>
    <border>
      <left/>
      <right/>
      <top/>
      <bottom style="double">
        <color theme="3" tint="0.24994659260841701"/>
      </bottom>
      <diagonal/>
    </border>
    <border>
      <left/>
      <right style="double">
        <color theme="3" tint="0.24994659260841701"/>
      </right>
      <top/>
      <bottom style="double">
        <color theme="3" tint="0.24994659260841701"/>
      </bottom>
      <diagonal/>
    </border>
    <border>
      <left style="medium">
        <color theme="4" tint="0.59996337778862885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/>
      <top style="thin">
        <color theme="4" tint="0.59996337778862885"/>
      </top>
      <bottom/>
      <diagonal/>
    </border>
    <border>
      <left/>
      <right/>
      <top/>
      <bottom style="medium">
        <color theme="4" tint="0.59996337778862885"/>
      </bottom>
      <diagonal/>
    </border>
    <border>
      <left style="thin">
        <color theme="4" tint="0.59996337778862885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medium">
        <color theme="4" tint="0.59996337778862885"/>
      </top>
      <bottom style="thin">
        <color theme="4" tint="0.59996337778862885"/>
      </bottom>
      <diagonal/>
    </border>
    <border>
      <left style="thin">
        <color theme="4" tint="0.39994506668294322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39994506668294322"/>
      </right>
      <top style="medium">
        <color theme="4" tint="0.59996337778862885"/>
      </top>
      <bottom style="thin">
        <color theme="4" tint="0.59996337778862885"/>
      </bottom>
      <diagonal/>
    </border>
    <border>
      <left style="thin">
        <color theme="4" tint="0.39994506668294322"/>
      </left>
      <right/>
      <top style="thin">
        <color theme="4" tint="0.59996337778862885"/>
      </top>
      <bottom/>
      <diagonal/>
    </border>
    <border>
      <left/>
      <right style="thin">
        <color theme="4" tint="0.39994506668294322"/>
      </right>
      <top style="thin">
        <color theme="4" tint="0.59996337778862885"/>
      </top>
      <bottom/>
      <diagonal/>
    </border>
    <border>
      <left style="thin">
        <color theme="4" tint="0.39994506668294322"/>
      </left>
      <right/>
      <top/>
      <bottom/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4506668294322"/>
      </left>
      <right/>
      <top/>
      <bottom style="medium">
        <color theme="4" tint="0.59996337778862885"/>
      </bottom>
      <diagonal/>
    </border>
    <border>
      <left/>
      <right style="thin">
        <color theme="4" tint="0.39994506668294322"/>
      </right>
      <top/>
      <bottom style="medium">
        <color theme="4" tint="0.59996337778862885"/>
      </bottom>
      <diagonal/>
    </border>
    <border>
      <left/>
      <right style="thick">
        <color theme="7" tint="-0.499984740745262"/>
      </right>
      <top style="medium">
        <color theme="7" tint="-0.499984740745262"/>
      </top>
      <bottom style="thick">
        <color theme="7" tint="-0.499984740745262"/>
      </bottom>
      <diagonal/>
    </border>
    <border>
      <left style="thick">
        <color theme="7" tint="-0.499984740745262"/>
      </left>
      <right style="medium">
        <color indexed="64"/>
      </right>
      <top/>
      <bottom/>
      <diagonal/>
    </border>
    <border>
      <left style="thick">
        <color theme="7" tint="-0.499984740745262"/>
      </left>
      <right style="medium">
        <color indexed="64"/>
      </right>
      <top/>
      <bottom style="thick">
        <color theme="7" tint="-0.499984740745262"/>
      </bottom>
      <diagonal/>
    </border>
    <border>
      <left/>
      <right style="thick">
        <color auto="1"/>
      </right>
      <top/>
      <bottom style="thick">
        <color theme="7" tint="-0.499984740745262"/>
      </bottom>
      <diagonal/>
    </border>
    <border>
      <left style="thick">
        <color theme="7" tint="-0.499984740745262"/>
      </left>
      <right style="medium">
        <color indexed="64"/>
      </right>
      <top style="thick">
        <color theme="7" tint="-0.499984740745262"/>
      </top>
      <bottom/>
      <diagonal/>
    </border>
    <border>
      <left style="medium">
        <color indexed="64"/>
      </left>
      <right style="thick">
        <color theme="7" tint="-0.499984740745262"/>
      </right>
      <top style="thick">
        <color theme="7" tint="-0.499984740745262"/>
      </top>
      <bottom/>
      <diagonal/>
    </border>
    <border>
      <left style="medium">
        <color indexed="64"/>
      </left>
      <right style="thick">
        <color theme="7" tint="-0.499984740745262"/>
      </right>
      <top/>
      <bottom/>
      <diagonal/>
    </border>
    <border>
      <left style="medium">
        <color indexed="64"/>
      </left>
      <right style="thick">
        <color theme="7" tint="-0.499984740745262"/>
      </right>
      <top/>
      <bottom style="thick">
        <color theme="7" tint="-0.499984740745262"/>
      </bottom>
      <diagonal/>
    </border>
    <border>
      <left style="thick">
        <color theme="7" tint="-0.499984740745262"/>
      </left>
      <right style="medium">
        <color indexed="64"/>
      </right>
      <top style="thick">
        <color theme="7" tint="-0.499984740745262"/>
      </top>
      <bottom style="thick">
        <color theme="7" tint="-0.499984740745262"/>
      </bottom>
      <diagonal/>
    </border>
    <border>
      <left style="medium">
        <color indexed="64"/>
      </left>
      <right style="thick">
        <color theme="7" tint="-0.499984740745262"/>
      </right>
      <top style="thick">
        <color theme="7" tint="-0.499984740745262"/>
      </top>
      <bottom style="thick">
        <color theme="7" tint="-0.499984740745262"/>
      </bottom>
      <diagonal/>
    </border>
    <border>
      <left style="thick">
        <color theme="7" tint="-0.499984740745262"/>
      </left>
      <right/>
      <top style="thick">
        <color theme="7" tint="-0.499984740745262"/>
      </top>
      <bottom style="thick">
        <color theme="7" tint="-0.499984740745262"/>
      </bottom>
      <diagonal/>
    </border>
    <border>
      <left style="medium">
        <color indexed="64"/>
      </left>
      <right style="thick">
        <color indexed="64"/>
      </right>
      <top style="thick">
        <color theme="7" tint="-0.499984740745262"/>
      </top>
      <bottom/>
      <diagonal/>
    </border>
    <border>
      <left style="thick">
        <color indexed="64"/>
      </left>
      <right style="medium">
        <color indexed="64"/>
      </right>
      <top/>
      <bottom style="thick">
        <color theme="7" tint="-0.499984740745262"/>
      </bottom>
      <diagonal/>
    </border>
    <border>
      <left style="medium">
        <color indexed="64"/>
      </left>
      <right style="thick">
        <color indexed="64"/>
      </right>
      <top/>
      <bottom style="thick">
        <color theme="7" tint="-0.499984740745262"/>
      </bottom>
      <diagonal/>
    </border>
    <border>
      <left/>
      <right style="thick">
        <color theme="7" tint="-0.499984740745262"/>
      </right>
      <top style="thick">
        <color theme="7" tint="-0.499984740745262"/>
      </top>
      <bottom style="thick">
        <color theme="7" tint="-0.499984740745262"/>
      </bottom>
      <diagonal/>
    </border>
    <border>
      <left/>
      <right/>
      <top style="thick">
        <color theme="7" tint="-0.499984740745262"/>
      </top>
      <bottom style="thick">
        <color theme="7" tint="-0.499984740745262"/>
      </bottom>
      <diagonal/>
    </border>
    <border>
      <left style="thick">
        <color theme="7" tint="-0.499984740745262"/>
      </left>
      <right style="thick">
        <color theme="7" tint="-0.499984740745262"/>
      </right>
      <top style="thick">
        <color theme="7" tint="-0.499984740745262"/>
      </top>
      <bottom/>
      <diagonal/>
    </border>
    <border>
      <left style="medium">
        <color theme="7" tint="-0.499984740745262"/>
      </left>
      <right style="thin">
        <color theme="7" tint="-0.499984740745262"/>
      </right>
      <top/>
      <bottom style="thick">
        <color theme="7" tint="-0.499984740745262"/>
      </bottom>
      <diagonal/>
    </border>
    <border>
      <left style="thick">
        <color indexed="64"/>
      </left>
      <right style="thick">
        <color theme="7" tint="-0.499984740745262"/>
      </right>
      <top style="thick">
        <color indexed="64"/>
      </top>
      <bottom/>
      <diagonal/>
    </border>
    <border>
      <left style="thick">
        <color indexed="64"/>
      </left>
      <right style="thick">
        <color theme="7" tint="-0.499984740745262"/>
      </right>
      <top/>
      <bottom/>
      <diagonal/>
    </border>
    <border>
      <left style="thick">
        <color theme="7" tint="-0.499984740745262"/>
      </left>
      <right style="thick">
        <color theme="7" tint="-0.499984740745262"/>
      </right>
      <top/>
      <bottom style="medium">
        <color theme="7" tint="-0.499984740745262"/>
      </bottom>
      <diagonal/>
    </border>
    <border>
      <left style="medium">
        <color indexed="64"/>
      </left>
      <right style="thin">
        <color theme="7" tint="-0.499984740745262"/>
      </right>
      <top style="thick">
        <color theme="7" tint="-0.499984740745262"/>
      </top>
      <bottom/>
      <diagonal/>
    </border>
    <border>
      <left style="thin">
        <color theme="7" tint="-0.499984740745262"/>
      </left>
      <right style="thin">
        <color theme="7" tint="-0.499984740745262"/>
      </right>
      <top style="thick">
        <color theme="7" tint="-0.499984740745262"/>
      </top>
      <bottom/>
      <diagonal/>
    </border>
    <border>
      <left style="medium">
        <color indexed="64"/>
      </left>
      <right style="thin">
        <color theme="7" tint="-0.499984740745262"/>
      </right>
      <top/>
      <bottom style="thick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/>
      <bottom style="thick">
        <color theme="7" tint="-0.499984740745262"/>
      </bottom>
      <diagonal/>
    </border>
    <border>
      <left style="thick">
        <color theme="7" tint="-0.499984740745262"/>
      </left>
      <right style="thin">
        <color theme="7" tint="-0.499984740745262"/>
      </right>
      <top/>
      <bottom style="medium">
        <color theme="7" tint="-0.499984740745262"/>
      </bottom>
      <diagonal/>
    </border>
    <border>
      <left style="medium">
        <color theme="7" tint="-0.499984740745262"/>
      </left>
      <right style="thin">
        <color theme="7" tint="-0.499984740745262"/>
      </right>
      <top style="medium">
        <color theme="7" tint="-0.499984740745262"/>
      </top>
      <bottom/>
      <diagonal/>
    </border>
    <border>
      <left style="thin">
        <color theme="7" tint="-0.499984740745262"/>
      </left>
      <right style="thin">
        <color theme="7" tint="-0.499984740745262"/>
      </right>
      <top style="medium">
        <color theme="7" tint="-0.499984740745262"/>
      </top>
      <bottom/>
      <diagonal/>
    </border>
    <border>
      <left style="medium">
        <color theme="7" tint="-0.499984740745262"/>
      </left>
      <right style="thin">
        <color theme="7" tint="-0.499984740745262"/>
      </right>
      <top/>
      <bottom/>
      <diagonal/>
    </border>
    <border>
      <left style="medium">
        <color indexed="64"/>
      </left>
      <right style="thin">
        <color theme="7" tint="-0.499984740745262"/>
      </right>
      <top/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ck">
        <color theme="7" tint="-0.499984740745262"/>
      </left>
      <right/>
      <top/>
      <bottom style="thin">
        <color theme="7" tint="-0.499984740745262"/>
      </bottom>
      <diagonal/>
    </border>
    <border>
      <left style="medium">
        <color theme="7" tint="-0.499984740745262"/>
      </left>
      <right/>
      <top/>
      <bottom style="thin">
        <color theme="7" tint="-0.499984740745262"/>
      </bottom>
      <diagonal/>
    </border>
    <border>
      <left/>
      <right style="thick">
        <color theme="7" tint="-0.499984740745262"/>
      </right>
      <top/>
      <bottom style="thin">
        <color theme="7" tint="-0.499984740745262"/>
      </bottom>
      <diagonal/>
    </border>
    <border>
      <left style="thick">
        <color theme="7" tint="-0.499984740745262"/>
      </left>
      <right/>
      <top style="dashed">
        <color theme="7" tint="-0.499984740745262"/>
      </top>
      <bottom style="thick">
        <color theme="7" tint="-0.499984740745262"/>
      </bottom>
      <diagonal/>
    </border>
    <border>
      <left style="thin">
        <color theme="7" tint="-0.499984740745262"/>
      </left>
      <right/>
      <top/>
      <bottom style="thick">
        <color theme="7" tint="-0.499984740745262"/>
      </bottom>
      <diagonal/>
    </border>
    <border>
      <left style="thin">
        <color theme="7" tint="-0.499984740745262"/>
      </left>
      <right/>
      <top style="medium">
        <color theme="7" tint="-0.499984740745262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hair">
        <color auto="1"/>
      </right>
      <top style="thick">
        <color theme="7" tint="-0.499984740745262"/>
      </top>
      <bottom style="thick">
        <color theme="7" tint="-0.499984740745262"/>
      </bottom>
      <diagonal/>
    </border>
    <border>
      <left style="hair">
        <color auto="1"/>
      </left>
      <right/>
      <top style="thick">
        <color theme="7" tint="-0.499984740745262"/>
      </top>
      <bottom style="thick">
        <color theme="7" tint="-0.499984740745262"/>
      </bottom>
      <diagonal/>
    </border>
    <border>
      <left style="hair">
        <color auto="1"/>
      </left>
      <right style="thin">
        <color auto="1"/>
      </right>
      <top style="thick">
        <color theme="7" tint="-0.499984740745262"/>
      </top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ck">
        <color theme="7" tint="-0.499984740745262"/>
      </top>
      <bottom/>
      <diagonal/>
    </border>
    <border>
      <left style="hair">
        <color auto="1"/>
      </left>
      <right/>
      <top style="thick">
        <color theme="7" tint="-0.499984740745262"/>
      </top>
      <bottom/>
      <diagonal/>
    </border>
    <border>
      <left/>
      <right style="thick">
        <color auto="1"/>
      </right>
      <top style="thick">
        <color theme="7" tint="-0.499984740745262"/>
      </top>
      <bottom style="thick">
        <color theme="7" tint="-0.499984740745262"/>
      </bottom>
      <diagonal/>
    </border>
    <border>
      <left/>
      <right style="hair">
        <color auto="1"/>
      </right>
      <top style="thick">
        <color theme="7" tint="-0.499984740745262"/>
      </top>
      <bottom/>
      <diagonal/>
    </border>
    <border>
      <left style="thick">
        <color auto="1"/>
      </left>
      <right/>
      <top/>
      <bottom style="thick">
        <color indexed="64"/>
      </bottom>
      <diagonal/>
    </border>
    <border>
      <left style="thick">
        <color auto="1"/>
      </left>
      <right/>
      <top style="thick">
        <color theme="7" tint="-0.499984740745262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7" tint="-0.499984740745262"/>
      </left>
      <right style="thick">
        <color auto="1"/>
      </right>
      <top style="thick">
        <color theme="7" tint="-0.499984740745262"/>
      </top>
      <bottom/>
      <diagonal/>
    </border>
    <border>
      <left style="thick">
        <color auto="1"/>
      </left>
      <right style="hair">
        <color auto="1"/>
      </right>
      <top style="thick">
        <color indexed="64"/>
      </top>
      <bottom/>
      <diagonal/>
    </border>
    <border>
      <left style="hair">
        <color auto="1"/>
      </left>
      <right style="thick">
        <color auto="1"/>
      </right>
      <top style="thick">
        <color indexed="64"/>
      </top>
      <bottom/>
      <diagonal/>
    </border>
    <border>
      <left style="thick">
        <color auto="1"/>
      </left>
      <right style="hair">
        <color auto="1"/>
      </right>
      <top/>
      <bottom/>
      <diagonal/>
    </border>
    <border>
      <left style="hair">
        <color auto="1"/>
      </left>
      <right style="thick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theme="7" tint="-0.499984740745262"/>
      </left>
      <right style="thick">
        <color auto="1"/>
      </right>
      <top style="thick">
        <color indexed="64"/>
      </top>
      <bottom/>
      <diagonal/>
    </border>
    <border>
      <left style="medium">
        <color theme="7" tint="-0.499984740745262"/>
      </left>
      <right style="thick">
        <color auto="1"/>
      </right>
      <top/>
      <bottom/>
      <diagonal/>
    </border>
    <border>
      <left style="medium">
        <color theme="7" tint="-0.499984740745262"/>
      </left>
      <right style="thick">
        <color auto="1"/>
      </right>
      <top/>
      <bottom style="thick">
        <color theme="7" tint="-0.499984740745262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/>
      <right style="hair">
        <color auto="1"/>
      </right>
      <top style="thick">
        <color auto="1"/>
      </top>
      <bottom/>
      <diagonal/>
    </border>
    <border>
      <left style="thick">
        <color theme="7" tint="-0.499984740745262"/>
      </left>
      <right style="medium">
        <color theme="7" tint="-0.499984740745262"/>
      </right>
      <top style="thick">
        <color theme="7" tint="-0.499984740745262"/>
      </top>
      <bottom style="thin">
        <color theme="7" tint="-0.499984740745262"/>
      </bottom>
      <diagonal/>
    </border>
    <border>
      <left style="medium">
        <color theme="7" tint="-0.499984740745262"/>
      </left>
      <right style="thick">
        <color theme="7" tint="-0.499984740745262"/>
      </right>
      <top style="thick">
        <color theme="7" tint="-0.499984740745262"/>
      </top>
      <bottom style="thin">
        <color theme="7" tint="-0.499984740745262"/>
      </bottom>
      <diagonal/>
    </border>
    <border>
      <left style="thick">
        <color theme="7" tint="-0.499984740745262"/>
      </left>
      <right style="medium">
        <color theme="7" tint="-0.499984740745262"/>
      </right>
      <top style="thin">
        <color theme="7" tint="-0.499984740745262"/>
      </top>
      <bottom style="thick">
        <color theme="7" tint="-0.499984740745262"/>
      </bottom>
      <diagonal/>
    </border>
    <border>
      <left style="medium">
        <color theme="7" tint="-0.499984740745262"/>
      </left>
      <right style="thick">
        <color theme="7" tint="-0.499984740745262"/>
      </right>
      <top style="thin">
        <color theme="7" tint="-0.499984740745262"/>
      </top>
      <bottom style="thick">
        <color theme="7" tint="-0.499984740745262"/>
      </bottom>
      <diagonal/>
    </border>
    <border>
      <left style="thick">
        <color theme="7" tint="-0.499984740745262"/>
      </left>
      <right style="medium">
        <color theme="7" tint="-0.499984740745262"/>
      </right>
      <top style="thin">
        <color theme="7" tint="-0.499984740745262"/>
      </top>
      <bottom/>
      <diagonal/>
    </border>
    <border>
      <left style="medium">
        <color theme="7" tint="-0.499984740745262"/>
      </left>
      <right style="thick">
        <color theme="7" tint="-0.499984740745262"/>
      </right>
      <top style="thin">
        <color theme="7" tint="-0.499984740745262"/>
      </top>
      <bottom/>
      <diagonal/>
    </border>
    <border>
      <left style="thin">
        <color auto="1"/>
      </left>
      <right style="hair">
        <color auto="1"/>
      </right>
      <top style="thick">
        <color indexed="64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theme="7" tint="-0.499984740745262"/>
      </left>
      <right style="thin">
        <color theme="7" tint="-0.499984740745262"/>
      </right>
      <top style="thick">
        <color theme="7" tint="-0.499984740745262"/>
      </top>
      <bottom/>
      <diagonal/>
    </border>
    <border>
      <left style="thick">
        <color theme="7" tint="-0.499984740745262"/>
      </left>
      <right/>
      <top style="thick">
        <color indexed="64"/>
      </top>
      <bottom/>
      <diagonal/>
    </border>
    <border>
      <left style="medium">
        <color theme="7" tint="-0.499984740745262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7" tint="-0.499984740745262"/>
      </left>
      <right style="medium">
        <color theme="7" tint="-0.499984740745262"/>
      </right>
      <top/>
      <bottom style="thin">
        <color theme="7" tint="-0.499984740745262"/>
      </bottom>
      <diagonal/>
    </border>
    <border>
      <left style="thick">
        <color theme="7" tint="-0.499984740745262"/>
      </left>
      <right style="medium">
        <color indexed="64"/>
      </right>
      <top/>
      <bottom style="dotted">
        <color theme="7" tint="-0.499984740745262"/>
      </bottom>
      <diagonal/>
    </border>
    <border>
      <left style="medium">
        <color auto="1"/>
      </left>
      <right/>
      <top/>
      <bottom style="dotted">
        <color theme="7" tint="-0.499984740745262"/>
      </bottom>
      <diagonal/>
    </border>
    <border>
      <left/>
      <right style="thick">
        <color auto="1"/>
      </right>
      <top/>
      <bottom style="dotted">
        <color theme="7" tint="-0.499984740745262"/>
      </bottom>
      <diagonal/>
    </border>
    <border>
      <left style="medium">
        <color theme="4" tint="0.59996337778862885"/>
      </left>
      <right style="hair">
        <color theme="4" tint="0.59996337778862885"/>
      </right>
      <top style="thin">
        <color theme="4" tint="0.59996337778862885"/>
      </top>
      <bottom/>
      <diagonal/>
    </border>
    <border>
      <left style="hair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medium">
        <color theme="4" tint="0.59996337778862885"/>
      </left>
      <right style="hair">
        <color theme="4" tint="0.59996337778862885"/>
      </right>
      <top/>
      <bottom/>
      <diagonal/>
    </border>
    <border>
      <left style="hair">
        <color theme="4" tint="0.59996337778862885"/>
      </left>
      <right style="thin">
        <color theme="4" tint="0.59996337778862885"/>
      </right>
      <top/>
      <bottom/>
      <diagonal/>
    </border>
    <border>
      <left style="thin">
        <color theme="4" tint="0.59996337778862885"/>
      </left>
      <right style="hair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hair">
        <color theme="4" tint="0.59996337778862885"/>
      </right>
      <top/>
      <bottom/>
      <diagonal/>
    </border>
    <border>
      <left style="hair">
        <color theme="4" tint="0.59996337778862885"/>
      </left>
      <right style="thin">
        <color theme="4" tint="0.39994506668294322"/>
      </right>
      <top style="thin">
        <color theme="4" tint="0.59996337778862885"/>
      </top>
      <bottom/>
      <diagonal/>
    </border>
    <border>
      <left style="hair">
        <color theme="4" tint="0.59996337778862885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hair">
        <color theme="4" tint="0.39991454817346722"/>
      </right>
      <top/>
      <bottom/>
      <diagonal/>
    </border>
    <border>
      <left style="hair">
        <color theme="4" tint="0.39991454817346722"/>
      </left>
      <right style="thin">
        <color theme="4" tint="0.39994506668294322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theme="7" tint="-0.499984740745262"/>
      </left>
      <right style="medium">
        <color indexed="64"/>
      </right>
      <top style="hair">
        <color theme="7" tint="-0.499984740745262"/>
      </top>
      <bottom/>
      <diagonal/>
    </border>
    <border>
      <left style="medium">
        <color auto="1"/>
      </left>
      <right/>
      <top style="hair">
        <color theme="7" tint="-0.499984740745262"/>
      </top>
      <bottom/>
      <diagonal/>
    </border>
    <border>
      <left style="thick">
        <color theme="7" tint="-0.499984740745262"/>
      </left>
      <right style="medium">
        <color theme="7" tint="-0.499984740745262"/>
      </right>
      <top style="hair">
        <color theme="7" tint="-0.499984740745262"/>
      </top>
      <bottom/>
      <diagonal/>
    </border>
    <border>
      <left style="medium">
        <color theme="7" tint="-0.499984740745262"/>
      </left>
      <right style="medium">
        <color theme="7" tint="-0.499984740745262"/>
      </right>
      <top style="hair">
        <color theme="7" tint="-0.499984740745262"/>
      </top>
      <bottom/>
      <diagonal/>
    </border>
    <border>
      <left style="medium">
        <color theme="7" tint="-0.499984740745262"/>
      </left>
      <right style="thick">
        <color theme="7" tint="-0.499984740745262"/>
      </right>
      <top style="hair">
        <color theme="7" tint="-0.499984740745262"/>
      </top>
      <bottom/>
      <diagonal/>
    </border>
    <border>
      <left style="thick">
        <color theme="7" tint="-0.499984740745262"/>
      </left>
      <right style="thin">
        <color theme="7" tint="-0.499984740745262"/>
      </right>
      <top style="thick">
        <color theme="7" tint="-0.499984740745262"/>
      </top>
      <bottom style="medium">
        <color theme="7" tint="-0.499984740745262"/>
      </bottom>
      <diagonal/>
    </border>
    <border>
      <left style="thin">
        <color theme="7" tint="-0.499984740745262"/>
      </left>
      <right/>
      <top style="thick">
        <color theme="7" tint="-0.499984740745262"/>
      </top>
      <bottom style="medium">
        <color theme="7" tint="-0.499984740745262"/>
      </bottom>
      <diagonal/>
    </border>
    <border>
      <left style="thick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ck">
        <color theme="7" tint="-0.499984740745262"/>
      </left>
      <right style="medium">
        <color indexed="64"/>
      </right>
      <top/>
      <bottom style="hair">
        <color theme="7" tint="-0.499984740745262"/>
      </bottom>
      <diagonal/>
    </border>
    <border>
      <left style="medium">
        <color auto="1"/>
      </left>
      <right/>
      <top/>
      <bottom style="hair">
        <color theme="7" tint="-0.499984740745262"/>
      </bottom>
      <diagonal/>
    </border>
    <border>
      <left/>
      <right style="thick">
        <color auto="1"/>
      </right>
      <top/>
      <bottom style="hair">
        <color theme="7" tint="-0.499984740745262"/>
      </bottom>
      <diagonal/>
    </border>
    <border>
      <left style="thick">
        <color auto="1"/>
      </left>
      <right/>
      <top style="hair">
        <color theme="7" tint="-0.499984740745262"/>
      </top>
      <bottom style="hair">
        <color theme="7" tint="-0.499984740745262"/>
      </bottom>
      <diagonal/>
    </border>
    <border>
      <left/>
      <right/>
      <top style="hair">
        <color theme="7" tint="-0.499984740745262"/>
      </top>
      <bottom style="hair">
        <color theme="7" tint="-0.499984740745262"/>
      </bottom>
      <diagonal/>
    </border>
    <border>
      <left style="thick">
        <color auto="1"/>
      </left>
      <right/>
      <top style="hair">
        <color theme="7" tint="-0.499984740745262"/>
      </top>
      <bottom/>
      <diagonal/>
    </border>
    <border>
      <left/>
      <right/>
      <top style="hair">
        <color theme="7" tint="-0.499984740745262"/>
      </top>
      <bottom/>
      <diagonal/>
    </border>
    <border>
      <left/>
      <right style="thick">
        <color auto="1"/>
      </right>
      <top style="hair">
        <color theme="7" tint="-0.499984740745262"/>
      </top>
      <bottom/>
      <diagonal/>
    </border>
    <border>
      <left style="thick">
        <color auto="1"/>
      </left>
      <right/>
      <top/>
      <bottom style="hair">
        <color theme="7" tint="-0.499984740745262"/>
      </bottom>
      <diagonal/>
    </border>
    <border>
      <left/>
      <right/>
      <top/>
      <bottom style="hair">
        <color theme="7" tint="-0.499984740745262"/>
      </bottom>
      <diagonal/>
    </border>
    <border>
      <left/>
      <right style="thick">
        <color auto="1"/>
      </right>
      <top style="medium">
        <color auto="1"/>
      </top>
      <bottom/>
      <diagonal/>
    </border>
    <border>
      <left style="thick">
        <color theme="7" tint="-0.499984740745262"/>
      </left>
      <right/>
      <top style="thick">
        <color theme="7" tint="-0.499984740745262"/>
      </top>
      <bottom style="medium">
        <color auto="1"/>
      </bottom>
      <diagonal/>
    </border>
    <border>
      <left/>
      <right/>
      <top style="thick">
        <color theme="7" tint="-0.499984740745262"/>
      </top>
      <bottom style="medium">
        <color auto="1"/>
      </bottom>
      <diagonal/>
    </border>
    <border>
      <left/>
      <right style="thick">
        <color theme="7" tint="-0.499984740745262"/>
      </right>
      <top style="thick">
        <color theme="7" tint="-0.499984740745262"/>
      </top>
      <bottom style="medium">
        <color auto="1"/>
      </bottom>
      <diagonal/>
    </border>
    <border>
      <left style="thick">
        <color theme="7" tint="-0.499984740745262"/>
      </left>
      <right style="medium">
        <color theme="7" tint="-0.499984740745262"/>
      </right>
      <top/>
      <bottom style="hair">
        <color theme="7" tint="-0.499984740745262"/>
      </bottom>
      <diagonal/>
    </border>
    <border>
      <left style="medium">
        <color theme="7" tint="-0.499984740745262"/>
      </left>
      <right style="thick">
        <color theme="7" tint="-0.499984740745262"/>
      </right>
      <top/>
      <bottom style="hair">
        <color theme="7" tint="-0.499984740745262"/>
      </bottom>
      <diagonal/>
    </border>
    <border>
      <left style="thick">
        <color theme="7" tint="-0.499984740745262"/>
      </left>
      <right style="medium">
        <color theme="7" tint="-0.499984740745262"/>
      </right>
      <top style="hair">
        <color theme="7" tint="-0.499984740745262"/>
      </top>
      <bottom style="hair">
        <color theme="7" tint="-0.499984740745262"/>
      </bottom>
      <diagonal/>
    </border>
    <border>
      <left style="medium">
        <color theme="7" tint="-0.499984740745262"/>
      </left>
      <right style="thick">
        <color theme="7" tint="-0.499984740745262"/>
      </right>
      <top style="hair">
        <color theme="7" tint="-0.499984740745262"/>
      </top>
      <bottom style="hair">
        <color theme="7" tint="-0.499984740745262"/>
      </bottom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 style="thick">
        <color theme="7" tint="-0.499984740745262"/>
      </top>
      <bottom/>
      <diagonal/>
    </border>
    <border>
      <left style="mediumDashed">
        <color auto="1"/>
      </left>
      <right/>
      <top style="thick">
        <color theme="7" tint="-0.499984740745262"/>
      </top>
      <bottom/>
      <diagonal/>
    </border>
    <border>
      <left/>
      <right style="mediumDashed">
        <color auto="1"/>
      </right>
      <top/>
      <bottom style="medium">
        <color theme="7" tint="-0.499984740745262"/>
      </bottom>
      <diagonal/>
    </border>
    <border>
      <left style="mediumDashed">
        <color auto="1"/>
      </left>
      <right/>
      <top/>
      <bottom style="medium">
        <color theme="7" tint="-0.499984740745262"/>
      </bottom>
      <diagonal/>
    </border>
    <border>
      <left style="medium">
        <color auto="1"/>
      </left>
      <right/>
      <top/>
      <bottom style="thick">
        <color theme="7" tint="-0.499984740745262"/>
      </bottom>
      <diagonal/>
    </border>
    <border>
      <left style="medium">
        <color auto="1"/>
      </left>
      <right/>
      <top style="thick">
        <color theme="7" tint="-0.499984740745262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auto="1"/>
      </left>
      <right/>
      <top style="thick">
        <color theme="7" tint="-0.499984740745262"/>
      </top>
      <bottom style="thick">
        <color theme="7" tint="-0.499984740745262"/>
      </bottom>
      <diagonal/>
    </border>
    <border>
      <left style="thick">
        <color auto="1"/>
      </left>
      <right style="medium">
        <color auto="1"/>
      </right>
      <top style="thick">
        <color theme="7" tint="-0.499984740745262"/>
      </top>
      <bottom/>
      <diagonal/>
    </border>
    <border>
      <left style="thick">
        <color theme="7" tint="-0.499984740745262"/>
      </left>
      <right style="thick">
        <color theme="7" tint="-0.499984740745262"/>
      </right>
      <top style="thick">
        <color theme="7" tint="-0.499984740745262"/>
      </top>
      <bottom style="hair">
        <color theme="7" tint="-0.499984740745262"/>
      </bottom>
      <diagonal/>
    </border>
    <border>
      <left/>
      <right style="thick">
        <color theme="7" tint="-0.499984740745262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theme="7" tint="-0.499984740745262"/>
      </top>
      <bottom style="thick">
        <color theme="7" tint="-0.499984740745262"/>
      </bottom>
      <diagonal/>
    </border>
    <border>
      <left style="medium">
        <color theme="7" tint="-0.499984740745262"/>
      </left>
      <right style="medium">
        <color theme="7" tint="-0.499984740745262"/>
      </right>
      <top/>
      <bottom style="hair">
        <color theme="7" tint="-0.499984740745262"/>
      </bottom>
      <diagonal/>
    </border>
    <border>
      <left style="thick">
        <color theme="7" tint="-0.499984740745262"/>
      </left>
      <right style="medium">
        <color indexed="64"/>
      </right>
      <top style="hair">
        <color theme="7" tint="-0.499984740745262"/>
      </top>
      <bottom style="hair">
        <color theme="7" tint="-0.499984740745262"/>
      </bottom>
      <diagonal/>
    </border>
    <border>
      <left style="medium">
        <color auto="1"/>
      </left>
      <right/>
      <top style="hair">
        <color theme="7" tint="-0.499984740745262"/>
      </top>
      <bottom style="hair">
        <color theme="7" tint="-0.499984740745262"/>
      </bottom>
      <diagonal/>
    </border>
    <border>
      <left/>
      <right style="thick">
        <color auto="1"/>
      </right>
      <top style="hair">
        <color theme="7" tint="-0.499984740745262"/>
      </top>
      <bottom style="hair">
        <color theme="7" tint="-0.499984740745262"/>
      </bottom>
      <diagonal/>
    </border>
    <border>
      <left style="thick">
        <color theme="7" tint="-0.499984740745262"/>
      </left>
      <right style="medium">
        <color theme="7" tint="-0.499984740745262"/>
      </right>
      <top/>
      <bottom style="thin">
        <color theme="0"/>
      </bottom>
      <diagonal/>
    </border>
    <border>
      <left style="medium">
        <color theme="7" tint="-0.499984740745262"/>
      </left>
      <right/>
      <top/>
      <bottom style="thin">
        <color theme="0"/>
      </bottom>
      <diagonal/>
    </border>
    <border>
      <left/>
      <right style="thick">
        <color auto="1"/>
      </right>
      <top/>
      <bottom style="thin">
        <color theme="0"/>
      </bottom>
      <diagonal/>
    </border>
    <border>
      <left style="thick">
        <color theme="7" tint="-0.499984740745262"/>
      </left>
      <right style="medium">
        <color theme="7" tint="-0.499984740745262"/>
      </right>
      <top style="thin">
        <color theme="0"/>
      </top>
      <bottom/>
      <diagonal/>
    </border>
    <border>
      <left style="medium">
        <color theme="7" tint="-0.499984740745262"/>
      </left>
      <right/>
      <top style="thin">
        <color theme="0"/>
      </top>
      <bottom/>
      <diagonal/>
    </border>
    <border>
      <left/>
      <right style="thick">
        <color auto="1"/>
      </right>
      <top style="thin">
        <color theme="0"/>
      </top>
      <bottom/>
      <diagonal/>
    </border>
    <border>
      <left/>
      <right style="thick">
        <color auto="1"/>
      </right>
      <top/>
      <bottom style="thin">
        <color theme="7" tint="-0.499984740745262"/>
      </bottom>
      <diagonal/>
    </border>
    <border>
      <left style="medium">
        <color theme="7" tint="-0.499984740745262"/>
      </left>
      <right/>
      <top style="thin">
        <color theme="7" tint="-0.499984740745262"/>
      </top>
      <bottom/>
      <diagonal/>
    </border>
    <border>
      <left/>
      <right style="thick">
        <color auto="1"/>
      </right>
      <top style="thin">
        <color theme="7" tint="-0.499984740745262"/>
      </top>
      <bottom/>
      <diagonal/>
    </border>
    <border>
      <left/>
      <right style="hair">
        <color theme="7" tint="-0.499984740745262"/>
      </right>
      <top style="thick">
        <color theme="7" tint="-0.499984740745262"/>
      </top>
      <bottom/>
      <diagonal/>
    </border>
    <border>
      <left style="hair">
        <color theme="7" tint="-0.499984740745262"/>
      </left>
      <right/>
      <top style="thick">
        <color theme="7" tint="-0.499984740745262"/>
      </top>
      <bottom/>
      <diagonal/>
    </border>
    <border>
      <left style="thick">
        <color theme="7" tint="-0.499984740745262"/>
      </left>
      <right style="thick">
        <color theme="7" tint="-0.499984740745262"/>
      </right>
      <top style="thick">
        <color auto="1"/>
      </top>
      <bottom/>
      <diagonal/>
    </border>
    <border>
      <left style="thick">
        <color theme="7" tint="-0.499984740745262"/>
      </left>
      <right/>
      <top/>
      <bottom style="thick">
        <color auto="1"/>
      </bottom>
      <diagonal/>
    </border>
    <border>
      <left style="hair">
        <color auto="1"/>
      </left>
      <right/>
      <top style="thick">
        <color indexed="64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/>
      <right style="hair">
        <color auto="1"/>
      </right>
      <top style="medium">
        <color auto="1"/>
      </top>
      <bottom/>
      <diagonal/>
    </border>
    <border>
      <left style="hair">
        <color auto="1"/>
      </left>
      <right/>
      <top style="medium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double">
        <color theme="3" tint="0.2499465926084170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double">
        <color theme="3" tint="0.24994659260841701"/>
      </right>
      <top/>
      <bottom style="thin">
        <color theme="0"/>
      </bottom>
      <diagonal/>
    </border>
    <border>
      <left style="double">
        <color theme="3" tint="0.24994659260841701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double">
        <color theme="3" tint="0.24994659260841701"/>
      </right>
      <top style="thin">
        <color theme="0"/>
      </top>
      <bottom/>
      <diagonal/>
    </border>
    <border>
      <left style="medium">
        <color theme="4" tint="0.59996337778862885"/>
      </left>
      <right/>
      <top/>
      <bottom style="medium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/>
      <top/>
      <bottom style="medium">
        <color theme="4" tint="0.59996337778862885"/>
      </bottom>
      <diagonal/>
    </border>
  </borders>
  <cellStyleXfs count="47">
    <xf numFmtId="0" fontId="0" fillId="0" borderId="0"/>
    <xf numFmtId="0" fontId="8" fillId="9" borderId="0" applyNumberFormat="0" applyBorder="0" applyAlignment="0" applyProtection="0"/>
    <xf numFmtId="168" fontId="18" fillId="0" borderId="0" applyFont="0" applyFill="0" applyBorder="0" applyAlignment="0" applyProtection="0"/>
    <xf numFmtId="167" fontId="18" fillId="0" borderId="0" applyFont="0" applyFill="0" applyBorder="0" applyAlignment="0" applyProtection="0"/>
    <xf numFmtId="0" fontId="19" fillId="0" borderId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198" applyNumberFormat="0" applyFill="0" applyAlignment="0" applyProtection="0"/>
    <xf numFmtId="0" fontId="29" fillId="0" borderId="199" applyNumberFormat="0" applyFill="0" applyAlignment="0" applyProtection="0"/>
    <xf numFmtId="0" fontId="30" fillId="0" borderId="200" applyNumberFormat="0" applyFill="0" applyAlignment="0" applyProtection="0"/>
    <xf numFmtId="0" fontId="30" fillId="0" borderId="0" applyNumberFormat="0" applyFill="0" applyBorder="0" applyAlignment="0" applyProtection="0"/>
    <xf numFmtId="0" fontId="31" fillId="23" borderId="0" applyNumberFormat="0" applyBorder="0" applyAlignment="0" applyProtection="0"/>
    <xf numFmtId="0" fontId="32" fillId="24" borderId="0" applyNumberFormat="0" applyBorder="0" applyAlignment="0" applyProtection="0"/>
    <xf numFmtId="0" fontId="33" fillId="25" borderId="201" applyNumberFormat="0" applyAlignment="0" applyProtection="0"/>
    <xf numFmtId="0" fontId="34" fillId="26" borderId="202" applyNumberFormat="0" applyAlignment="0" applyProtection="0"/>
    <xf numFmtId="0" fontId="35" fillId="26" borderId="201" applyNumberFormat="0" applyAlignment="0" applyProtection="0"/>
    <xf numFmtId="0" fontId="36" fillId="0" borderId="203" applyNumberFormat="0" applyFill="0" applyAlignment="0" applyProtection="0"/>
    <xf numFmtId="0" fontId="37" fillId="27" borderId="204" applyNumberFormat="0" applyAlignment="0" applyProtection="0"/>
    <xf numFmtId="0" fontId="38" fillId="0" borderId="0" applyNumberFormat="0" applyFill="0" applyBorder="0" applyAlignment="0" applyProtection="0"/>
    <xf numFmtId="0" fontId="18" fillId="28" borderId="205" applyNumberFormat="0" applyFont="0" applyAlignment="0" applyProtection="0"/>
    <xf numFmtId="0" fontId="39" fillId="0" borderId="0" applyNumberFormat="0" applyFill="0" applyBorder="0" applyAlignment="0" applyProtection="0"/>
    <xf numFmtId="0" fontId="40" fillId="0" borderId="206" applyNumberFormat="0" applyFill="0" applyAlignment="0" applyProtection="0"/>
    <xf numFmtId="0" fontId="41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0" fontId="41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6" borderId="0" applyNumberFormat="0" applyBorder="0" applyAlignment="0" applyProtection="0"/>
    <xf numFmtId="0" fontId="41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0" borderId="0" applyNumberFormat="0" applyBorder="0" applyAlignment="0" applyProtection="0"/>
    <xf numFmtId="0" fontId="41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4" borderId="0" applyNumberFormat="0" applyBorder="0" applyAlignment="0" applyProtection="0"/>
    <xf numFmtId="0" fontId="41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48" borderId="0" applyNumberFormat="0" applyBorder="0" applyAlignment="0" applyProtection="0"/>
    <xf numFmtId="0" fontId="41" fillId="49" borderId="0" applyNumberFormat="0" applyBorder="0" applyAlignment="0" applyProtection="0"/>
    <xf numFmtId="0" fontId="18" fillId="50" borderId="0" applyNumberFormat="0" applyBorder="0" applyAlignment="0" applyProtection="0"/>
    <xf numFmtId="0" fontId="18" fillId="51" borderId="0" applyNumberFormat="0" applyBorder="0" applyAlignment="0" applyProtection="0"/>
    <xf numFmtId="0" fontId="18" fillId="52" borderId="0" applyNumberFormat="0" applyBorder="0" applyAlignment="0" applyProtection="0"/>
  </cellStyleXfs>
  <cellXfs count="913">
    <xf numFmtId="0" fontId="0" fillId="0" borderId="0" xfId="0"/>
    <xf numFmtId="0" fontId="1" fillId="0" borderId="0" xfId="0" applyFont="1" applyAlignment="1">
      <alignment horizontal="center" vertical="center"/>
    </xf>
    <xf numFmtId="0" fontId="4" fillId="7" borderId="0" xfId="0" applyFont="1" applyFill="1" applyAlignment="1">
      <alignment vertical="center"/>
    </xf>
    <xf numFmtId="0" fontId="5" fillId="3" borderId="1" xfId="0" applyFont="1" applyFill="1" applyBorder="1" applyAlignment="1">
      <alignment horizontal="left" vertical="center" indent="2"/>
    </xf>
    <xf numFmtId="0" fontId="4" fillId="3" borderId="1" xfId="0" applyFont="1" applyFill="1" applyBorder="1" applyAlignment="1">
      <alignment vertical="center"/>
    </xf>
    <xf numFmtId="0" fontId="4" fillId="7" borderId="0" xfId="0" applyFont="1" applyFill="1" applyAlignment="1">
      <alignment horizontal="right" vertical="center"/>
    </xf>
    <xf numFmtId="0" fontId="4" fillId="7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 indent="1"/>
    </xf>
    <xf numFmtId="0" fontId="4" fillId="2" borderId="0" xfId="0" applyFont="1" applyFill="1" applyAlignment="1">
      <alignment vertical="center"/>
    </xf>
    <xf numFmtId="0" fontId="6" fillId="3" borderId="1" xfId="0" applyFont="1" applyFill="1" applyBorder="1" applyAlignment="1">
      <alignment horizontal="left" vertical="center" indent="3"/>
    </xf>
    <xf numFmtId="0" fontId="7" fillId="2" borderId="19" xfId="0" applyFont="1" applyFill="1" applyBorder="1" applyAlignment="1">
      <alignment horizontal="left" vertical="center" indent="1"/>
    </xf>
    <xf numFmtId="165" fontId="6" fillId="5" borderId="4" xfId="0" applyNumberFormat="1" applyFont="1" applyFill="1" applyBorder="1" applyAlignment="1">
      <alignment horizontal="center" vertical="center"/>
    </xf>
    <xf numFmtId="165" fontId="6" fillId="5" borderId="5" xfId="0" applyNumberFormat="1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left" vertical="center" indent="1"/>
    </xf>
    <xf numFmtId="0" fontId="6" fillId="5" borderId="24" xfId="0" applyFont="1" applyFill="1" applyBorder="1" applyAlignment="1">
      <alignment horizontal="left" vertical="center" indent="1"/>
    </xf>
    <xf numFmtId="165" fontId="6" fillId="5" borderId="6" xfId="0" applyNumberFormat="1" applyFont="1" applyFill="1" applyBorder="1" applyAlignment="1">
      <alignment horizontal="center" vertical="center"/>
    </xf>
    <xf numFmtId="165" fontId="6" fillId="5" borderId="7" xfId="0" applyNumberFormat="1" applyFont="1" applyFill="1" applyBorder="1" applyAlignment="1">
      <alignment horizontal="center" vertical="center"/>
    </xf>
    <xf numFmtId="165" fontId="6" fillId="5" borderId="32" xfId="0" applyNumberFormat="1" applyFont="1" applyFill="1" applyBorder="1" applyAlignment="1">
      <alignment horizontal="center" vertical="center"/>
    </xf>
    <xf numFmtId="165" fontId="6" fillId="5" borderId="33" xfId="0" applyNumberFormat="1" applyFont="1" applyFill="1" applyBorder="1" applyAlignment="1">
      <alignment horizontal="left" vertical="center" indent="1"/>
    </xf>
    <xf numFmtId="165" fontId="6" fillId="5" borderId="7" xfId="0" applyNumberFormat="1" applyFont="1" applyFill="1" applyBorder="1" applyAlignment="1">
      <alignment horizontal="left" vertical="center"/>
    </xf>
    <xf numFmtId="165" fontId="6" fillId="5" borderId="8" xfId="0" applyNumberFormat="1" applyFont="1" applyFill="1" applyBorder="1" applyAlignment="1">
      <alignment horizontal="left" vertical="center"/>
    </xf>
    <xf numFmtId="165" fontId="6" fillId="5" borderId="30" xfId="0" applyNumberFormat="1" applyFont="1" applyFill="1" applyBorder="1" applyAlignment="1">
      <alignment horizontal="center" vertical="center"/>
    </xf>
    <xf numFmtId="165" fontId="6" fillId="5" borderId="31" xfId="0" applyNumberFormat="1" applyFont="1" applyFill="1" applyBorder="1" applyAlignment="1">
      <alignment horizontal="center" vertical="center"/>
    </xf>
    <xf numFmtId="165" fontId="6" fillId="5" borderId="34" xfId="0" applyNumberFormat="1" applyFont="1" applyFill="1" applyBorder="1" applyAlignment="1">
      <alignment horizontal="center" vertical="center"/>
    </xf>
    <xf numFmtId="165" fontId="6" fillId="5" borderId="35" xfId="0" applyNumberFormat="1" applyFont="1" applyFill="1" applyBorder="1" applyAlignment="1">
      <alignment horizontal="center" vertical="center"/>
    </xf>
    <xf numFmtId="165" fontId="6" fillId="5" borderId="17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left" vertical="center" indent="1"/>
    </xf>
    <xf numFmtId="0" fontId="6" fillId="5" borderId="6" xfId="0" applyFont="1" applyFill="1" applyBorder="1" applyAlignment="1">
      <alignment horizontal="left" vertical="center" indent="1"/>
    </xf>
    <xf numFmtId="0" fontId="6" fillId="5" borderId="12" xfId="0" applyFont="1" applyFill="1" applyBorder="1" applyAlignment="1">
      <alignment horizontal="left" vertical="center" indent="1"/>
    </xf>
    <xf numFmtId="0" fontId="6" fillId="5" borderId="14" xfId="0" applyFont="1" applyFill="1" applyBorder="1" applyAlignment="1">
      <alignment horizontal="left" vertical="center" indent="1"/>
    </xf>
    <xf numFmtId="165" fontId="6" fillId="5" borderId="40" xfId="0" applyNumberFormat="1" applyFont="1" applyFill="1" applyBorder="1" applyAlignment="1">
      <alignment horizontal="center" vertical="center"/>
    </xf>
    <xf numFmtId="165" fontId="6" fillId="5" borderId="41" xfId="0" applyNumberFormat="1" applyFont="1" applyFill="1" applyBorder="1" applyAlignment="1">
      <alignment horizontal="center" vertical="center"/>
    </xf>
    <xf numFmtId="165" fontId="6" fillId="5" borderId="3" xfId="0" applyNumberFormat="1" applyFont="1" applyFill="1" applyBorder="1" applyAlignment="1">
      <alignment horizontal="center" vertical="center"/>
    </xf>
    <xf numFmtId="0" fontId="6" fillId="10" borderId="22" xfId="0" applyFont="1" applyFill="1" applyBorder="1" applyAlignment="1">
      <alignment horizontal="left" vertical="center" indent="1"/>
    </xf>
    <xf numFmtId="164" fontId="4" fillId="11" borderId="23" xfId="0" applyNumberFormat="1" applyFont="1" applyFill="1" applyBorder="1" applyAlignment="1">
      <alignment horizontal="center" vertical="center"/>
    </xf>
    <xf numFmtId="164" fontId="4" fillId="11" borderId="15" xfId="0" applyNumberFormat="1" applyFont="1" applyFill="1" applyBorder="1" applyAlignment="1">
      <alignment horizontal="center" vertical="center"/>
    </xf>
    <xf numFmtId="164" fontId="4" fillId="11" borderId="16" xfId="0" applyNumberFormat="1" applyFont="1" applyFill="1" applyBorder="1" applyAlignment="1">
      <alignment horizontal="center" vertical="center"/>
    </xf>
    <xf numFmtId="164" fontId="4" fillId="6" borderId="21" xfId="0" applyNumberFormat="1" applyFont="1" applyFill="1" applyBorder="1" applyAlignment="1" applyProtection="1">
      <alignment horizontal="center" vertical="center"/>
      <protection locked="0"/>
    </xf>
    <xf numFmtId="164" fontId="4" fillId="6" borderId="0" xfId="0" applyNumberFormat="1" applyFont="1" applyFill="1" applyAlignment="1" applyProtection="1">
      <alignment horizontal="center" vertical="center"/>
      <protection locked="0"/>
    </xf>
    <xf numFmtId="164" fontId="4" fillId="6" borderId="13" xfId="0" applyNumberFormat="1" applyFont="1" applyFill="1" applyBorder="1" applyAlignment="1" applyProtection="1">
      <alignment horizontal="center" vertical="center"/>
      <protection locked="0"/>
    </xf>
    <xf numFmtId="164" fontId="4" fillId="6" borderId="25" xfId="0" applyNumberFormat="1" applyFont="1" applyFill="1" applyBorder="1" applyAlignment="1" applyProtection="1">
      <alignment horizontal="center" vertical="center"/>
      <protection locked="0"/>
    </xf>
    <xf numFmtId="164" fontId="4" fillId="12" borderId="14" xfId="0" applyNumberFormat="1" applyFont="1" applyFill="1" applyBorder="1" applyAlignment="1">
      <alignment horizontal="center" vertical="center"/>
    </xf>
    <xf numFmtId="164" fontId="4" fillId="12" borderId="15" xfId="0" applyNumberFormat="1" applyFont="1" applyFill="1" applyBorder="1" applyAlignment="1">
      <alignment horizontal="center" vertical="center"/>
    </xf>
    <xf numFmtId="164" fontId="4" fillId="12" borderId="16" xfId="0" applyNumberFormat="1" applyFont="1" applyFill="1" applyBorder="1" applyAlignment="1">
      <alignment horizontal="center" vertical="center"/>
    </xf>
    <xf numFmtId="0" fontId="4" fillId="2" borderId="48" xfId="0" applyFont="1" applyFill="1" applyBorder="1" applyAlignment="1">
      <alignment horizontal="left" vertical="center" indent="2"/>
    </xf>
    <xf numFmtId="0" fontId="4" fillId="2" borderId="49" xfId="0" applyFont="1" applyFill="1" applyBorder="1" applyAlignment="1">
      <alignment vertical="center"/>
    </xf>
    <xf numFmtId="0" fontId="4" fillId="2" borderId="50" xfId="0" applyFont="1" applyFill="1" applyBorder="1" applyAlignment="1">
      <alignment vertical="center"/>
    </xf>
    <xf numFmtId="0" fontId="4" fillId="2" borderId="52" xfId="0" applyFont="1" applyFill="1" applyBorder="1" applyAlignment="1">
      <alignment vertical="center"/>
    </xf>
    <xf numFmtId="0" fontId="4" fillId="2" borderId="51" xfId="0" applyFont="1" applyFill="1" applyBorder="1" applyAlignment="1">
      <alignment horizontal="left" vertical="center" indent="3"/>
    </xf>
    <xf numFmtId="0" fontId="4" fillId="2" borderId="54" xfId="0" applyFont="1" applyFill="1" applyBorder="1" applyAlignment="1">
      <alignment vertical="center"/>
    </xf>
    <xf numFmtId="0" fontId="4" fillId="2" borderId="55" xfId="0" applyFont="1" applyFill="1" applyBorder="1" applyAlignment="1">
      <alignment vertical="center"/>
    </xf>
    <xf numFmtId="0" fontId="9" fillId="2" borderId="51" xfId="0" applyFont="1" applyFill="1" applyBorder="1" applyAlignment="1">
      <alignment horizontal="left" vertical="center" indent="2"/>
    </xf>
    <xf numFmtId="0" fontId="4" fillId="2" borderId="53" xfId="0" applyFont="1" applyFill="1" applyBorder="1" applyAlignment="1">
      <alignment horizontal="left" vertical="center" indent="3"/>
    </xf>
    <xf numFmtId="0" fontId="10" fillId="2" borderId="51" xfId="0" applyFont="1" applyFill="1" applyBorder="1" applyAlignment="1">
      <alignment horizontal="left" vertical="center" indent="3"/>
    </xf>
    <xf numFmtId="1" fontId="4" fillId="11" borderId="23" xfId="0" applyNumberFormat="1" applyFont="1" applyFill="1" applyBorder="1" applyAlignment="1">
      <alignment horizontal="center" vertical="center"/>
    </xf>
    <xf numFmtId="166" fontId="4" fillId="11" borderId="15" xfId="0" applyNumberFormat="1" applyFont="1" applyFill="1" applyBorder="1" applyAlignment="1">
      <alignment horizontal="center" vertical="center"/>
    </xf>
    <xf numFmtId="0" fontId="11" fillId="2" borderId="51" xfId="0" applyFont="1" applyFill="1" applyBorder="1" applyAlignment="1">
      <alignment horizontal="left" vertical="center" indent="3"/>
    </xf>
    <xf numFmtId="0" fontId="12" fillId="7" borderId="0" xfId="0" applyFont="1" applyFill="1" applyAlignment="1">
      <alignment vertical="center"/>
    </xf>
    <xf numFmtId="166" fontId="4" fillId="6" borderId="0" xfId="0" applyNumberFormat="1" applyFont="1" applyFill="1" applyAlignment="1" applyProtection="1">
      <alignment horizontal="center" vertical="center"/>
      <protection locked="0"/>
    </xf>
    <xf numFmtId="166" fontId="4" fillId="6" borderId="25" xfId="0" applyNumberFormat="1" applyFont="1" applyFill="1" applyBorder="1" applyAlignment="1" applyProtection="1">
      <alignment horizontal="center" vertical="center"/>
      <protection locked="0"/>
    </xf>
    <xf numFmtId="165" fontId="6" fillId="5" borderId="64" xfId="0" applyNumberFormat="1" applyFont="1" applyFill="1" applyBorder="1" applyAlignment="1">
      <alignment horizontal="center" vertical="center"/>
    </xf>
    <xf numFmtId="165" fontId="6" fillId="5" borderId="65" xfId="0" applyNumberFormat="1" applyFont="1" applyFill="1" applyBorder="1" applyAlignment="1">
      <alignment horizontal="left" vertical="center" indent="1"/>
    </xf>
    <xf numFmtId="165" fontId="6" fillId="5" borderId="66" xfId="0" applyNumberFormat="1" applyFont="1" applyFill="1" applyBorder="1" applyAlignment="1">
      <alignment horizontal="center" vertical="center"/>
    </xf>
    <xf numFmtId="165" fontId="6" fillId="5" borderId="67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2" fontId="4" fillId="8" borderId="13" xfId="0" applyNumberFormat="1" applyFont="1" applyFill="1" applyBorder="1" applyAlignment="1">
      <alignment horizontal="center" vertical="center"/>
    </xf>
    <xf numFmtId="1" fontId="4" fillId="11" borderId="15" xfId="0" applyNumberFormat="1" applyFont="1" applyFill="1" applyBorder="1" applyAlignment="1">
      <alignment horizontal="center" vertical="center"/>
    </xf>
    <xf numFmtId="2" fontId="4" fillId="11" borderId="15" xfId="0" applyNumberFormat="1" applyFont="1" applyFill="1" applyBorder="1" applyAlignment="1">
      <alignment horizontal="center" vertical="center"/>
    </xf>
    <xf numFmtId="166" fontId="4" fillId="11" borderId="70" xfId="0" applyNumberFormat="1" applyFont="1" applyFill="1" applyBorder="1" applyAlignment="1">
      <alignment horizontal="center" vertical="center"/>
    </xf>
    <xf numFmtId="2" fontId="4" fillId="13" borderId="71" xfId="0" applyNumberFormat="1" applyFont="1" applyFill="1" applyBorder="1" applyAlignment="1">
      <alignment horizontal="center" vertical="center"/>
    </xf>
    <xf numFmtId="2" fontId="4" fillId="13" borderId="15" xfId="0" applyNumberFormat="1" applyFont="1" applyFill="1" applyBorder="1" applyAlignment="1">
      <alignment horizontal="center" vertical="center"/>
    </xf>
    <xf numFmtId="2" fontId="4" fillId="13" borderId="16" xfId="0" applyNumberFormat="1" applyFont="1" applyFill="1" applyBorder="1" applyAlignment="1">
      <alignment horizontal="center" vertical="center"/>
    </xf>
    <xf numFmtId="164" fontId="4" fillId="12" borderId="18" xfId="0" applyNumberFormat="1" applyFont="1" applyFill="1" applyBorder="1" applyAlignment="1">
      <alignment horizontal="center" vertical="center"/>
    </xf>
    <xf numFmtId="165" fontId="6" fillId="5" borderId="0" xfId="0" applyNumberFormat="1" applyFont="1" applyFill="1" applyAlignment="1">
      <alignment horizontal="center" vertical="center"/>
    </xf>
    <xf numFmtId="1" fontId="4" fillId="6" borderId="0" xfId="0" applyNumberFormat="1" applyFont="1" applyFill="1" applyAlignment="1" applyProtection="1">
      <alignment horizontal="center" vertical="center"/>
      <protection locked="0"/>
    </xf>
    <xf numFmtId="2" fontId="4" fillId="6" borderId="0" xfId="0" applyNumberFormat="1" applyFont="1" applyFill="1" applyAlignment="1" applyProtection="1">
      <alignment horizontal="center" vertical="center"/>
      <protection locked="0"/>
    </xf>
    <xf numFmtId="2" fontId="4" fillId="6" borderId="21" xfId="0" applyNumberFormat="1" applyFont="1" applyFill="1" applyBorder="1" applyAlignment="1" applyProtection="1">
      <alignment horizontal="center" vertical="center"/>
      <protection locked="0"/>
    </xf>
    <xf numFmtId="2" fontId="4" fillId="6" borderId="10" xfId="0" applyNumberFormat="1" applyFont="1" applyFill="1" applyBorder="1" applyAlignment="1" applyProtection="1">
      <alignment horizontal="center" vertical="center"/>
      <protection locked="0"/>
    </xf>
    <xf numFmtId="2" fontId="4" fillId="6" borderId="25" xfId="0" applyNumberFormat="1" applyFont="1" applyFill="1" applyBorder="1" applyAlignment="1" applyProtection="1">
      <alignment horizontal="center" vertical="center"/>
      <protection locked="0"/>
    </xf>
    <xf numFmtId="2" fontId="4" fillId="11" borderId="23" xfId="0" applyNumberFormat="1" applyFont="1" applyFill="1" applyBorder="1" applyAlignment="1">
      <alignment horizontal="center" vertical="center"/>
    </xf>
    <xf numFmtId="2" fontId="4" fillId="11" borderId="16" xfId="0" applyNumberFormat="1" applyFont="1" applyFill="1" applyBorder="1" applyAlignment="1">
      <alignment horizontal="center" vertical="center"/>
    </xf>
    <xf numFmtId="0" fontId="11" fillId="2" borderId="53" xfId="0" applyFont="1" applyFill="1" applyBorder="1" applyAlignment="1">
      <alignment horizontal="left" vertical="center" indent="3"/>
    </xf>
    <xf numFmtId="165" fontId="6" fillId="10" borderId="5" xfId="0" applyNumberFormat="1" applyFont="1" applyFill="1" applyBorder="1" applyAlignment="1">
      <alignment horizontal="center" vertical="center"/>
    </xf>
    <xf numFmtId="2" fontId="4" fillId="11" borderId="11" xfId="0" applyNumberFormat="1" applyFont="1" applyFill="1" applyBorder="1" applyAlignment="1">
      <alignment horizontal="center" vertical="center"/>
    </xf>
    <xf numFmtId="2" fontId="4" fillId="11" borderId="13" xfId="0" applyNumberFormat="1" applyFont="1" applyFill="1" applyBorder="1" applyAlignment="1">
      <alignment horizontal="center" vertical="center"/>
    </xf>
    <xf numFmtId="0" fontId="11" fillId="2" borderId="51" xfId="0" applyFont="1" applyFill="1" applyBorder="1" applyAlignment="1">
      <alignment horizontal="left" vertical="center" indent="2"/>
    </xf>
    <xf numFmtId="0" fontId="11" fillId="2" borderId="48" xfId="0" applyFont="1" applyFill="1" applyBorder="1" applyAlignment="1">
      <alignment horizontal="left" vertical="center" indent="2"/>
    </xf>
    <xf numFmtId="0" fontId="11" fillId="2" borderId="51" xfId="0" applyFont="1" applyFill="1" applyBorder="1" applyAlignment="1">
      <alignment horizontal="left" vertical="center" indent="1"/>
    </xf>
    <xf numFmtId="165" fontId="6" fillId="5" borderId="26" xfId="0" applyNumberFormat="1" applyFont="1" applyFill="1" applyBorder="1" applyAlignment="1">
      <alignment horizontal="center" vertical="center"/>
    </xf>
    <xf numFmtId="165" fontId="6" fillId="5" borderId="27" xfId="0" applyNumberFormat="1" applyFont="1" applyFill="1" applyBorder="1" applyAlignment="1">
      <alignment horizontal="center" vertical="center"/>
    </xf>
    <xf numFmtId="165" fontId="6" fillId="5" borderId="32" xfId="0" applyNumberFormat="1" applyFont="1" applyFill="1" applyBorder="1" applyAlignment="1">
      <alignment horizontal="left" vertical="center"/>
    </xf>
    <xf numFmtId="0" fontId="6" fillId="5" borderId="75" xfId="0" applyFont="1" applyFill="1" applyBorder="1" applyAlignment="1">
      <alignment horizontal="left" vertical="center" indent="1"/>
    </xf>
    <xf numFmtId="0" fontId="6" fillId="5" borderId="38" xfId="0" applyFont="1" applyFill="1" applyBorder="1" applyAlignment="1">
      <alignment horizontal="left" vertical="center" indent="1"/>
    </xf>
    <xf numFmtId="0" fontId="6" fillId="5" borderId="76" xfId="0" applyFont="1" applyFill="1" applyBorder="1" applyAlignment="1">
      <alignment horizontal="left" vertical="center" indent="1"/>
    </xf>
    <xf numFmtId="0" fontId="6" fillId="10" borderId="43" xfId="0" applyFont="1" applyFill="1" applyBorder="1" applyAlignment="1">
      <alignment horizontal="left" vertical="center" indent="1"/>
    </xf>
    <xf numFmtId="2" fontId="4" fillId="11" borderId="44" xfId="0" applyNumberFormat="1" applyFont="1" applyFill="1" applyBorder="1" applyAlignment="1">
      <alignment horizontal="center" vertical="center"/>
    </xf>
    <xf numFmtId="2" fontId="4" fillId="11" borderId="39" xfId="0" applyNumberFormat="1" applyFont="1" applyFill="1" applyBorder="1" applyAlignment="1">
      <alignment horizontal="center" vertical="center"/>
    </xf>
    <xf numFmtId="2" fontId="4" fillId="11" borderId="45" xfId="0" applyNumberFormat="1" applyFont="1" applyFill="1" applyBorder="1" applyAlignment="1">
      <alignment horizontal="center" vertical="center"/>
    </xf>
    <xf numFmtId="1" fontId="4" fillId="11" borderId="44" xfId="0" applyNumberFormat="1" applyFont="1" applyFill="1" applyBorder="1" applyAlignment="1">
      <alignment horizontal="center" vertical="center"/>
    </xf>
    <xf numFmtId="2" fontId="4" fillId="11" borderId="46" xfId="0" applyNumberFormat="1" applyFont="1" applyFill="1" applyBorder="1" applyAlignment="1">
      <alignment horizontal="center" vertical="center"/>
    </xf>
    <xf numFmtId="2" fontId="4" fillId="11" borderId="47" xfId="0" applyNumberFormat="1" applyFont="1" applyFill="1" applyBorder="1" applyAlignment="1">
      <alignment horizontal="center" vertical="center"/>
    </xf>
    <xf numFmtId="1" fontId="4" fillId="11" borderId="39" xfId="0" applyNumberFormat="1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1" fillId="0" borderId="0" xfId="0" applyFont="1" applyAlignment="1">
      <alignment horizontal="left" vertical="center"/>
    </xf>
    <xf numFmtId="165" fontId="6" fillId="5" borderId="77" xfId="0" applyNumberFormat="1" applyFont="1" applyFill="1" applyBorder="1" applyAlignment="1">
      <alignment horizontal="center" vertical="center"/>
    </xf>
    <xf numFmtId="2" fontId="4" fillId="11" borderId="79" xfId="0" applyNumberFormat="1" applyFont="1" applyFill="1" applyBorder="1" applyAlignment="1">
      <alignment horizontal="center" vertical="center"/>
    </xf>
    <xf numFmtId="1" fontId="4" fillId="13" borderId="44" xfId="0" applyNumberFormat="1" applyFont="1" applyFill="1" applyBorder="1" applyAlignment="1">
      <alignment horizontal="center" vertical="center"/>
    </xf>
    <xf numFmtId="1" fontId="4" fillId="13" borderId="45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left" vertical="center" indent="1"/>
    </xf>
    <xf numFmtId="165" fontId="6" fillId="5" borderId="80" xfId="0" applyNumberFormat="1" applyFont="1" applyFill="1" applyBorder="1" applyAlignment="1">
      <alignment horizontal="center" vertical="center"/>
    </xf>
    <xf numFmtId="165" fontId="6" fillId="5" borderId="81" xfId="0" applyNumberFormat="1" applyFont="1" applyFill="1" applyBorder="1" applyAlignment="1">
      <alignment horizontal="center" vertical="center"/>
    </xf>
    <xf numFmtId="165" fontId="6" fillId="5" borderId="83" xfId="0" applyNumberFormat="1" applyFont="1" applyFill="1" applyBorder="1" applyAlignment="1">
      <alignment horizontal="center" vertical="center"/>
    </xf>
    <xf numFmtId="165" fontId="6" fillId="5" borderId="84" xfId="0" applyNumberFormat="1" applyFont="1" applyFill="1" applyBorder="1" applyAlignment="1">
      <alignment horizontal="center" vertical="center"/>
    </xf>
    <xf numFmtId="2" fontId="4" fillId="6" borderId="72" xfId="0" applyNumberFormat="1" applyFont="1" applyFill="1" applyBorder="1" applyAlignment="1" applyProtection="1">
      <alignment horizontal="center" vertical="center"/>
      <protection locked="0"/>
    </xf>
    <xf numFmtId="166" fontId="4" fillId="6" borderId="73" xfId="0" applyNumberFormat="1" applyFont="1" applyFill="1" applyBorder="1" applyAlignment="1" applyProtection="1">
      <alignment horizontal="center" vertical="center"/>
      <protection locked="0"/>
    </xf>
    <xf numFmtId="166" fontId="4" fillId="6" borderId="74" xfId="0" applyNumberFormat="1" applyFont="1" applyFill="1" applyBorder="1" applyAlignment="1" applyProtection="1">
      <alignment horizontal="center" vertical="center"/>
      <protection locked="0"/>
    </xf>
    <xf numFmtId="2" fontId="4" fillId="6" borderId="42" xfId="0" applyNumberFormat="1" applyFont="1" applyFill="1" applyBorder="1" applyAlignment="1" applyProtection="1">
      <alignment horizontal="center" vertical="center"/>
      <protection locked="0"/>
    </xf>
    <xf numFmtId="2" fontId="4" fillId="6" borderId="78" xfId="0" applyNumberFormat="1" applyFont="1" applyFill="1" applyBorder="1" applyAlignment="1" applyProtection="1">
      <alignment horizontal="center" vertical="center"/>
      <protection locked="0"/>
    </xf>
    <xf numFmtId="2" fontId="4" fillId="6" borderId="26" xfId="0" applyNumberFormat="1" applyFont="1" applyFill="1" applyBorder="1" applyAlignment="1" applyProtection="1">
      <alignment horizontal="center" vertical="center"/>
      <protection locked="0"/>
    </xf>
    <xf numFmtId="2" fontId="4" fillId="6" borderId="27" xfId="0" applyNumberFormat="1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>
      <alignment horizontal="left" vertical="center" indent="3"/>
    </xf>
    <xf numFmtId="0" fontId="4" fillId="2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0" fontId="16" fillId="9" borderId="87" xfId="1" applyFont="1" applyBorder="1" applyAlignment="1">
      <alignment horizontal="left" vertical="center" indent="2"/>
    </xf>
    <xf numFmtId="0" fontId="16" fillId="9" borderId="91" xfId="1" applyFont="1" applyBorder="1" applyAlignment="1">
      <alignment horizontal="left" vertical="center" indent="1"/>
    </xf>
    <xf numFmtId="0" fontId="16" fillId="9" borderId="88" xfId="1" applyFont="1" applyBorder="1" applyAlignment="1">
      <alignment horizontal="left" vertical="center" indent="1"/>
    </xf>
    <xf numFmtId="0" fontId="16" fillId="9" borderId="89" xfId="1" applyFont="1" applyBorder="1" applyAlignment="1">
      <alignment horizontal="left" vertical="center" indent="2"/>
    </xf>
    <xf numFmtId="0" fontId="16" fillId="9" borderId="92" xfId="1" applyFont="1" applyBorder="1" applyAlignment="1">
      <alignment horizontal="left" vertical="center" indent="1"/>
    </xf>
    <xf numFmtId="0" fontId="16" fillId="9" borderId="90" xfId="1" applyFont="1" applyBorder="1" applyAlignment="1">
      <alignment horizontal="left" vertical="center" indent="1"/>
    </xf>
    <xf numFmtId="165" fontId="6" fillId="10" borderId="86" xfId="0" applyNumberFormat="1" applyFont="1" applyFill="1" applyBorder="1" applyAlignment="1">
      <alignment horizontal="center" vertical="center"/>
    </xf>
    <xf numFmtId="166" fontId="4" fillId="11" borderId="28" xfId="0" applyNumberFormat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6" fontId="4" fillId="11" borderId="25" xfId="0" applyNumberFormat="1" applyFont="1" applyFill="1" applyBorder="1" applyAlignment="1">
      <alignment horizontal="center" vertical="center"/>
    </xf>
    <xf numFmtId="166" fontId="4" fillId="11" borderId="0" xfId="0" applyNumberFormat="1" applyFont="1" applyFill="1" applyAlignment="1">
      <alignment horizontal="center" vertical="center"/>
    </xf>
    <xf numFmtId="165" fontId="6" fillId="5" borderId="93" xfId="0" applyNumberFormat="1" applyFont="1" applyFill="1" applyBorder="1" applyAlignment="1">
      <alignment horizontal="left" vertical="center" indent="1"/>
    </xf>
    <xf numFmtId="165" fontId="6" fillId="5" borderId="94" xfId="0" applyNumberFormat="1" applyFont="1" applyFill="1" applyBorder="1" applyAlignment="1">
      <alignment horizontal="center" vertical="center"/>
    </xf>
    <xf numFmtId="165" fontId="6" fillId="10" borderId="95" xfId="0" applyNumberFormat="1" applyFont="1" applyFill="1" applyBorder="1" applyAlignment="1">
      <alignment horizontal="center" vertical="center"/>
    </xf>
    <xf numFmtId="165" fontId="6" fillId="5" borderId="96" xfId="0" applyNumberFormat="1" applyFont="1" applyFill="1" applyBorder="1" applyAlignment="1">
      <alignment horizontal="left" vertical="center" indent="1"/>
    </xf>
    <xf numFmtId="165" fontId="6" fillId="5" borderId="94" xfId="0" applyNumberFormat="1" applyFont="1" applyFill="1" applyBorder="1" applyAlignment="1">
      <alignment horizontal="left" vertical="center" indent="1"/>
    </xf>
    <xf numFmtId="0" fontId="4" fillId="2" borderId="100" xfId="0" applyFont="1" applyFill="1" applyBorder="1" applyAlignment="1" applyProtection="1">
      <alignment horizontal="left" vertical="center" indent="1"/>
      <protection locked="0"/>
    </xf>
    <xf numFmtId="0" fontId="4" fillId="2" borderId="99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2" fontId="0" fillId="0" borderId="0" xfId="0" applyNumberFormat="1" applyProtection="1">
      <protection locked="0"/>
    </xf>
    <xf numFmtId="0" fontId="4" fillId="2" borderId="98" xfId="0" applyFont="1" applyFill="1" applyBorder="1" applyAlignment="1" applyProtection="1">
      <alignment horizontal="left" vertical="center" indent="1"/>
      <protection locked="0"/>
    </xf>
    <xf numFmtId="0" fontId="4" fillId="2" borderId="97" xfId="0" applyFont="1" applyFill="1" applyBorder="1" applyAlignment="1" applyProtection="1">
      <alignment horizontal="left" vertical="center" indent="1"/>
      <protection locked="0"/>
    </xf>
    <xf numFmtId="0" fontId="5" fillId="16" borderId="101" xfId="0" applyFont="1" applyFill="1" applyBorder="1" applyAlignment="1">
      <alignment horizontal="left" vertical="center" indent="2"/>
    </xf>
    <xf numFmtId="0" fontId="6" fillId="16" borderId="101" xfId="0" applyFont="1" applyFill="1" applyBorder="1" applyAlignment="1">
      <alignment horizontal="left" vertical="center" indent="3"/>
    </xf>
    <xf numFmtId="0" fontId="4" fillId="16" borderId="101" xfId="0" applyFont="1" applyFill="1" applyBorder="1" applyAlignment="1">
      <alignment vertical="center"/>
    </xf>
    <xf numFmtId="0" fontId="6" fillId="16" borderId="29" xfId="0" applyFont="1" applyFill="1" applyBorder="1" applyAlignment="1">
      <alignment horizontal="left" vertical="center" indent="1"/>
    </xf>
    <xf numFmtId="0" fontId="6" fillId="16" borderId="22" xfId="0" applyFont="1" applyFill="1" applyBorder="1" applyAlignment="1">
      <alignment horizontal="left" vertical="center" indent="1"/>
    </xf>
    <xf numFmtId="1" fontId="4" fillId="6" borderId="62" xfId="0" applyNumberFormat="1" applyFont="1" applyFill="1" applyBorder="1" applyAlignment="1" applyProtection="1">
      <alignment horizontal="center" vertical="center"/>
      <protection locked="0"/>
    </xf>
    <xf numFmtId="0" fontId="6" fillId="16" borderId="6" xfId="0" applyFont="1" applyFill="1" applyBorder="1" applyAlignment="1">
      <alignment horizontal="left" vertical="center" indent="1"/>
    </xf>
    <xf numFmtId="0" fontId="6" fillId="16" borderId="7" xfId="0" applyFont="1" applyFill="1" applyBorder="1" applyAlignment="1">
      <alignment horizontal="left" vertical="center" indent="1"/>
    </xf>
    <xf numFmtId="0" fontId="6" fillId="16" borderId="102" xfId="0" applyFont="1" applyFill="1" applyBorder="1" applyAlignment="1">
      <alignment horizontal="left" vertical="center" indent="1"/>
    </xf>
    <xf numFmtId="165" fontId="6" fillId="5" borderId="6" xfId="0" applyNumberFormat="1" applyFont="1" applyFill="1" applyBorder="1" applyAlignment="1">
      <alignment horizontal="left" vertical="center" indent="11"/>
    </xf>
    <xf numFmtId="165" fontId="6" fillId="5" borderId="33" xfId="0" applyNumberFormat="1" applyFont="1" applyFill="1" applyBorder="1" applyAlignment="1">
      <alignment horizontal="left" vertical="center" indent="8"/>
    </xf>
    <xf numFmtId="0" fontId="6" fillId="16" borderId="0" xfId="0" applyFont="1" applyFill="1" applyAlignment="1">
      <alignment horizontal="center" vertical="center"/>
    </xf>
    <xf numFmtId="0" fontId="6" fillId="16" borderId="28" xfId="0" applyFont="1" applyFill="1" applyBorder="1" applyAlignment="1">
      <alignment horizontal="center" vertical="center"/>
    </xf>
    <xf numFmtId="0" fontId="6" fillId="16" borderId="31" xfId="0" applyFont="1" applyFill="1" applyBorder="1" applyAlignment="1">
      <alignment horizontal="center" vertical="center"/>
    </xf>
    <xf numFmtId="0" fontId="6" fillId="16" borderId="103" xfId="0" applyFont="1" applyFill="1" applyBorder="1" applyAlignment="1">
      <alignment horizontal="center" vertical="center"/>
    </xf>
    <xf numFmtId="0" fontId="6" fillId="16" borderId="30" xfId="0" applyFont="1" applyFill="1" applyBorder="1" applyAlignment="1">
      <alignment horizontal="left" vertical="center" indent="1"/>
    </xf>
    <xf numFmtId="0" fontId="6" fillId="16" borderId="105" xfId="0" applyFont="1" applyFill="1" applyBorder="1" applyAlignment="1">
      <alignment horizontal="left" vertical="center" indent="1"/>
    </xf>
    <xf numFmtId="0" fontId="6" fillId="16" borderId="51" xfId="0" applyFont="1" applyFill="1" applyBorder="1" applyAlignment="1">
      <alignment horizontal="center" vertical="center"/>
    </xf>
    <xf numFmtId="0" fontId="6" fillId="16" borderId="106" xfId="0" applyFont="1" applyFill="1" applyBorder="1" applyAlignment="1">
      <alignment horizontal="left" vertical="center" indent="1"/>
    </xf>
    <xf numFmtId="0" fontId="6" fillId="16" borderId="107" xfId="0" applyFont="1" applyFill="1" applyBorder="1" applyAlignment="1">
      <alignment horizontal="center" vertical="center"/>
    </xf>
    <xf numFmtId="0" fontId="6" fillId="16" borderId="8" xfId="0" applyFont="1" applyFill="1" applyBorder="1" applyAlignment="1">
      <alignment horizontal="left" vertical="center" indent="1"/>
    </xf>
    <xf numFmtId="0" fontId="6" fillId="16" borderId="17" xfId="0" applyFont="1" applyFill="1" applyBorder="1" applyAlignment="1">
      <alignment horizontal="center" vertical="center"/>
    </xf>
    <xf numFmtId="0" fontId="4" fillId="2" borderId="51" xfId="0" applyFont="1" applyFill="1" applyBorder="1" applyAlignment="1">
      <alignment horizontal="left" vertical="center" indent="1"/>
    </xf>
    <xf numFmtId="0" fontId="11" fillId="2" borderId="53" xfId="0" applyFont="1" applyFill="1" applyBorder="1" applyAlignment="1">
      <alignment horizontal="left" vertical="center" indent="2"/>
    </xf>
    <xf numFmtId="0" fontId="4" fillId="6" borderId="108" xfId="0" applyFont="1" applyFill="1" applyBorder="1" applyAlignment="1" applyProtection="1">
      <alignment vertical="center"/>
      <protection locked="0"/>
    </xf>
    <xf numFmtId="0" fontId="4" fillId="6" borderId="52" xfId="0" applyFont="1" applyFill="1" applyBorder="1" applyAlignment="1" applyProtection="1">
      <alignment vertical="center"/>
      <protection locked="0"/>
    </xf>
    <xf numFmtId="164" fontId="4" fillId="6" borderId="109" xfId="0" applyNumberFormat="1" applyFont="1" applyFill="1" applyBorder="1" applyAlignment="1" applyProtection="1">
      <alignment horizontal="center" vertical="center"/>
      <protection locked="0"/>
    </xf>
    <xf numFmtId="164" fontId="4" fillId="6" borderId="10" xfId="0" applyNumberFormat="1" applyFont="1" applyFill="1" applyBorder="1" applyAlignment="1" applyProtection="1">
      <alignment horizontal="center" vertical="center"/>
      <protection locked="0"/>
    </xf>
    <xf numFmtId="164" fontId="4" fillId="6" borderId="51" xfId="0" applyNumberFormat="1" applyFont="1" applyFill="1" applyBorder="1" applyAlignment="1" applyProtection="1">
      <alignment horizontal="center" vertical="center"/>
      <protection locked="0"/>
    </xf>
    <xf numFmtId="0" fontId="6" fillId="16" borderId="110" xfId="0" applyFont="1" applyFill="1" applyBorder="1" applyAlignment="1">
      <alignment horizontal="center" vertical="center"/>
    </xf>
    <xf numFmtId="0" fontId="6" fillId="16" borderId="111" xfId="0" applyFont="1" applyFill="1" applyBorder="1" applyAlignment="1">
      <alignment horizontal="center" vertical="center"/>
    </xf>
    <xf numFmtId="0" fontId="6" fillId="16" borderId="112" xfId="0" applyFont="1" applyFill="1" applyBorder="1" applyAlignment="1">
      <alignment horizontal="center" vertical="center"/>
    </xf>
    <xf numFmtId="0" fontId="6" fillId="16" borderId="113" xfId="0" applyFont="1" applyFill="1" applyBorder="1" applyAlignment="1">
      <alignment horizontal="center" vertical="center"/>
    </xf>
    <xf numFmtId="0" fontId="22" fillId="2" borderId="51" xfId="0" applyFont="1" applyFill="1" applyBorder="1" applyAlignment="1">
      <alignment horizontal="left" vertical="center" indent="3"/>
    </xf>
    <xf numFmtId="0" fontId="6" fillId="16" borderId="111" xfId="0" quotePrefix="1" applyFont="1" applyFill="1" applyBorder="1" applyAlignment="1">
      <alignment horizontal="center" vertical="center"/>
    </xf>
    <xf numFmtId="0" fontId="6" fillId="16" borderId="0" xfId="0" quotePrefix="1" applyFont="1" applyFill="1" applyAlignment="1">
      <alignment horizontal="center" vertical="center"/>
    </xf>
    <xf numFmtId="0" fontId="6" fillId="16" borderId="13" xfId="0" quotePrefix="1" applyFont="1" applyFill="1" applyBorder="1" applyAlignment="1">
      <alignment horizontal="center" vertical="center"/>
    </xf>
    <xf numFmtId="0" fontId="23" fillId="0" borderId="0" xfId="0" applyFont="1"/>
    <xf numFmtId="0" fontId="5" fillId="17" borderId="123" xfId="0" applyFont="1" applyFill="1" applyBorder="1"/>
    <xf numFmtId="0" fontId="5" fillId="17" borderId="123" xfId="0" applyFont="1" applyFill="1" applyBorder="1" applyAlignment="1">
      <alignment horizontal="left" vertical="center" indent="1"/>
    </xf>
    <xf numFmtId="0" fontId="1" fillId="0" borderId="0" xfId="0" quotePrefix="1" applyFont="1" applyAlignment="1">
      <alignment horizontal="left" vertical="center"/>
    </xf>
    <xf numFmtId="0" fontId="4" fillId="14" borderId="37" xfId="0" applyFont="1" applyFill="1" applyBorder="1" applyAlignment="1">
      <alignment vertical="center"/>
    </xf>
    <xf numFmtId="0" fontId="3" fillId="2" borderId="98" xfId="0" applyFont="1" applyFill="1" applyBorder="1" applyAlignment="1">
      <alignment horizontal="center" vertical="center"/>
    </xf>
    <xf numFmtId="0" fontId="4" fillId="15" borderId="0" xfId="0" applyFont="1" applyFill="1" applyAlignment="1">
      <alignment vertical="center"/>
    </xf>
    <xf numFmtId="0" fontId="4" fillId="15" borderId="124" xfId="0" applyFont="1" applyFill="1" applyBorder="1" applyAlignment="1">
      <alignment vertical="center"/>
    </xf>
    <xf numFmtId="0" fontId="4" fillId="15" borderId="125" xfId="0" applyFont="1" applyFill="1" applyBorder="1" applyAlignment="1">
      <alignment vertical="center"/>
    </xf>
    <xf numFmtId="0" fontId="4" fillId="15" borderId="125" xfId="0" applyFont="1" applyFill="1" applyBorder="1" applyAlignment="1">
      <alignment horizontal="left" indent="1"/>
    </xf>
    <xf numFmtId="0" fontId="4" fillId="15" borderId="126" xfId="0" applyFont="1" applyFill="1" applyBorder="1" applyAlignment="1">
      <alignment vertical="center"/>
    </xf>
    <xf numFmtId="0" fontId="4" fillId="15" borderId="127" xfId="0" applyFont="1" applyFill="1" applyBorder="1" applyAlignment="1">
      <alignment vertical="center"/>
    </xf>
    <xf numFmtId="0" fontId="4" fillId="15" borderId="128" xfId="0" applyFont="1" applyFill="1" applyBorder="1" applyAlignment="1">
      <alignment vertical="center"/>
    </xf>
    <xf numFmtId="0" fontId="4" fillId="15" borderId="0" xfId="0" applyFont="1" applyFill="1" applyAlignment="1">
      <alignment horizontal="left" indent="1"/>
    </xf>
    <xf numFmtId="0" fontId="4" fillId="15" borderId="129" xfId="0" applyFont="1" applyFill="1" applyBorder="1" applyAlignment="1">
      <alignment vertical="center"/>
    </xf>
    <xf numFmtId="0" fontId="4" fillId="15" borderId="130" xfId="0" applyFont="1" applyFill="1" applyBorder="1" applyAlignment="1">
      <alignment vertical="center"/>
    </xf>
    <xf numFmtId="0" fontId="4" fillId="15" borderId="131" xfId="0" applyFont="1" applyFill="1" applyBorder="1" applyAlignment="1">
      <alignment vertical="center"/>
    </xf>
    <xf numFmtId="166" fontId="4" fillId="11" borderId="13" xfId="0" applyNumberFormat="1" applyFont="1" applyFill="1" applyBorder="1" applyAlignment="1">
      <alignment horizontal="center" vertical="center"/>
    </xf>
    <xf numFmtId="165" fontId="6" fillId="10" borderId="146" xfId="0" applyNumberFormat="1" applyFont="1" applyFill="1" applyBorder="1" applyAlignment="1">
      <alignment horizontal="center" vertical="center"/>
    </xf>
    <xf numFmtId="0" fontId="4" fillId="19" borderId="0" xfId="0" applyFont="1" applyFill="1" applyAlignment="1">
      <alignment horizontal="left" vertical="center"/>
    </xf>
    <xf numFmtId="0" fontId="6" fillId="5" borderId="147" xfId="0" applyFont="1" applyFill="1" applyBorder="1" applyAlignment="1">
      <alignment horizontal="left" vertical="center" indent="1"/>
    </xf>
    <xf numFmtId="0" fontId="6" fillId="5" borderId="148" xfId="0" applyFont="1" applyFill="1" applyBorder="1" applyAlignment="1">
      <alignment horizontal="left" vertical="center" indent="1"/>
    </xf>
    <xf numFmtId="0" fontId="6" fillId="5" borderId="150" xfId="0" applyFont="1" applyFill="1" applyBorder="1" applyAlignment="1">
      <alignment horizontal="left" vertical="center" indent="1"/>
    </xf>
    <xf numFmtId="0" fontId="4" fillId="6" borderId="151" xfId="0" applyFont="1" applyFill="1" applyBorder="1" applyAlignment="1" applyProtection="1">
      <alignment horizontal="right" vertical="center" indent="1"/>
      <protection locked="0"/>
    </xf>
    <xf numFmtId="0" fontId="4" fillId="6" borderId="152" xfId="0" applyFont="1" applyFill="1" applyBorder="1" applyAlignment="1" applyProtection="1">
      <alignment horizontal="right" vertical="center" indent="1"/>
      <protection locked="0"/>
    </xf>
    <xf numFmtId="0" fontId="4" fillId="6" borderId="153" xfId="0" applyFont="1" applyFill="1" applyBorder="1" applyAlignment="1" applyProtection="1">
      <alignment horizontal="right" vertical="center" indent="1"/>
      <protection locked="0"/>
    </xf>
    <xf numFmtId="0" fontId="6" fillId="5" borderId="154" xfId="0" applyFont="1" applyFill="1" applyBorder="1" applyAlignment="1">
      <alignment horizontal="left" vertical="center" indent="1"/>
    </xf>
    <xf numFmtId="0" fontId="4" fillId="6" borderId="155" xfId="0" applyFont="1" applyFill="1" applyBorder="1" applyAlignment="1" applyProtection="1">
      <alignment horizontal="right" vertical="center" indent="1"/>
      <protection locked="0"/>
    </xf>
    <xf numFmtId="9" fontId="4" fillId="6" borderId="151" xfId="0" applyNumberFormat="1" applyFont="1" applyFill="1" applyBorder="1" applyAlignment="1" applyProtection="1">
      <alignment horizontal="right" vertical="center" indent="1"/>
      <protection locked="0"/>
    </xf>
    <xf numFmtId="9" fontId="4" fillId="6" borderId="153" xfId="0" applyNumberFormat="1" applyFont="1" applyFill="1" applyBorder="1" applyAlignment="1" applyProtection="1">
      <alignment horizontal="right" vertical="center" indent="1"/>
      <protection locked="0"/>
    </xf>
    <xf numFmtId="0" fontId="6" fillId="5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9" fontId="4" fillId="6" borderId="62" xfId="0" applyNumberFormat="1" applyFont="1" applyFill="1" applyBorder="1" applyAlignment="1" applyProtection="1">
      <alignment horizontal="right" vertical="center" indent="1"/>
      <protection locked="0"/>
    </xf>
    <xf numFmtId="9" fontId="4" fillId="6" borderId="119" xfId="5" applyFont="1" applyFill="1" applyBorder="1" applyAlignment="1" applyProtection="1">
      <alignment horizontal="center" vertical="center"/>
      <protection locked="0"/>
    </xf>
    <xf numFmtId="9" fontId="4" fillId="6" borderId="13" xfId="5" applyFont="1" applyFill="1" applyBorder="1" applyAlignment="1" applyProtection="1">
      <alignment horizontal="center" vertical="center"/>
      <protection locked="0"/>
    </xf>
    <xf numFmtId="9" fontId="4" fillId="6" borderId="10" xfId="5" applyFont="1" applyFill="1" applyBorder="1" applyAlignment="1" applyProtection="1">
      <alignment horizontal="center" vertical="center"/>
      <protection locked="0"/>
    </xf>
    <xf numFmtId="9" fontId="4" fillId="6" borderId="21" xfId="5" applyFont="1" applyFill="1" applyBorder="1" applyAlignment="1" applyProtection="1">
      <alignment horizontal="center" vertical="center"/>
      <protection locked="0"/>
    </xf>
    <xf numFmtId="9" fontId="4" fillId="6" borderId="11" xfId="5" applyFont="1" applyFill="1" applyBorder="1" applyAlignment="1" applyProtection="1">
      <alignment horizontal="center" vertical="center"/>
      <protection locked="0"/>
    </xf>
    <xf numFmtId="9" fontId="4" fillId="6" borderId="25" xfId="5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>
      <alignment horizontal="left" vertical="center" indent="1"/>
    </xf>
    <xf numFmtId="0" fontId="6" fillId="5" borderId="158" xfId="0" applyFont="1" applyFill="1" applyBorder="1" applyAlignment="1">
      <alignment horizontal="left" vertical="center" indent="1"/>
    </xf>
    <xf numFmtId="0" fontId="4" fillId="6" borderId="161" xfId="0" applyFont="1" applyFill="1" applyBorder="1" applyAlignment="1" applyProtection="1">
      <alignment horizontal="right" vertical="center" indent="1"/>
      <protection locked="0"/>
    </xf>
    <xf numFmtId="0" fontId="7" fillId="2" borderId="98" xfId="0" applyFont="1" applyFill="1" applyBorder="1" applyAlignment="1">
      <alignment horizontal="left" vertical="center" indent="1"/>
    </xf>
    <xf numFmtId="9" fontId="4" fillId="6" borderId="59" xfId="5" applyFont="1" applyFill="1" applyBorder="1" applyAlignment="1" applyProtection="1">
      <alignment horizontal="center" vertical="center"/>
      <protection locked="0"/>
    </xf>
    <xf numFmtId="9" fontId="4" fillId="6" borderId="62" xfId="5" applyFont="1" applyFill="1" applyBorder="1" applyAlignment="1" applyProtection="1">
      <alignment horizontal="center" vertical="center"/>
      <protection locked="0"/>
    </xf>
    <xf numFmtId="9" fontId="4" fillId="6" borderId="162" xfId="5" applyFont="1" applyFill="1" applyBorder="1" applyAlignment="1" applyProtection="1">
      <alignment horizontal="center" vertical="center"/>
      <protection locked="0"/>
    </xf>
    <xf numFmtId="9" fontId="4" fillId="6" borderId="18" xfId="5" applyFont="1" applyFill="1" applyBorder="1" applyAlignment="1" applyProtection="1">
      <alignment horizontal="center" vertical="center"/>
      <protection locked="0"/>
    </xf>
    <xf numFmtId="0" fontId="4" fillId="19" borderId="54" xfId="0" applyFont="1" applyFill="1" applyBorder="1" applyAlignment="1">
      <alignment horizontal="left" vertical="center"/>
    </xf>
    <xf numFmtId="0" fontId="4" fillId="19" borderId="49" xfId="0" applyFont="1" applyFill="1" applyBorder="1" applyAlignment="1">
      <alignment horizontal="left" vertical="center"/>
    </xf>
    <xf numFmtId="0" fontId="6" fillId="5" borderId="22" xfId="0" applyFont="1" applyFill="1" applyBorder="1" applyAlignment="1">
      <alignment horizontal="left" vertical="center" indent="1"/>
    </xf>
    <xf numFmtId="0" fontId="4" fillId="6" borderId="23" xfId="0" applyFont="1" applyFill="1" applyBorder="1" applyAlignment="1" applyProtection="1">
      <alignment horizontal="right" vertical="center" indent="1"/>
      <protection locked="0"/>
    </xf>
    <xf numFmtId="49" fontId="4" fillId="6" borderId="159" xfId="0" applyNumberFormat="1" applyFont="1" applyFill="1" applyBorder="1" applyAlignment="1" applyProtection="1">
      <alignment horizontal="right" vertical="center" indent="1"/>
      <protection locked="0"/>
    </xf>
    <xf numFmtId="49" fontId="4" fillId="6" borderId="151" xfId="0" applyNumberFormat="1" applyFont="1" applyFill="1" applyBorder="1" applyAlignment="1" applyProtection="1">
      <alignment horizontal="right" vertical="center" indent="1"/>
      <protection locked="0"/>
    </xf>
    <xf numFmtId="49" fontId="4" fillId="6" borderId="153" xfId="0" applyNumberFormat="1" applyFont="1" applyFill="1" applyBorder="1" applyAlignment="1" applyProtection="1">
      <alignment horizontal="right" vertical="center" indent="1"/>
      <protection locked="0"/>
    </xf>
    <xf numFmtId="49" fontId="4" fillId="6" borderId="162" xfId="0" applyNumberFormat="1" applyFont="1" applyFill="1" applyBorder="1" applyAlignment="1" applyProtection="1">
      <alignment horizontal="right" vertical="center" indent="1"/>
      <protection locked="0"/>
    </xf>
    <xf numFmtId="49" fontId="4" fillId="6" borderId="18" xfId="0" applyNumberFormat="1" applyFont="1" applyFill="1" applyBorder="1" applyAlignment="1" applyProtection="1">
      <alignment horizontal="right" vertical="center" indent="1"/>
      <protection locked="0"/>
    </xf>
    <xf numFmtId="0" fontId="4" fillId="6" borderId="25" xfId="5" applyNumberFormat="1" applyFont="1" applyFill="1" applyBorder="1" applyAlignment="1" applyProtection="1">
      <alignment horizontal="center" vertical="center"/>
      <protection locked="0"/>
    </xf>
    <xf numFmtId="0" fontId="4" fillId="6" borderId="13" xfId="5" applyNumberFormat="1" applyFont="1" applyFill="1" applyBorder="1" applyAlignment="1" applyProtection="1">
      <alignment horizontal="center" vertical="center"/>
      <protection locked="0"/>
    </xf>
    <xf numFmtId="0" fontId="6" fillId="5" borderId="80" xfId="0" applyFont="1" applyFill="1" applyBorder="1" applyAlignment="1">
      <alignment horizontal="center" vertical="center"/>
    </xf>
    <xf numFmtId="9" fontId="4" fillId="6" borderId="0" xfId="5" applyFont="1" applyFill="1" applyBorder="1" applyAlignment="1" applyProtection="1">
      <alignment horizontal="center" vertical="center"/>
      <protection locked="0"/>
    </xf>
    <xf numFmtId="9" fontId="4" fillId="6" borderId="9" xfId="5" applyFont="1" applyFill="1" applyBorder="1" applyAlignment="1" applyProtection="1">
      <alignment horizontal="center" vertical="center"/>
      <protection locked="0"/>
    </xf>
    <xf numFmtId="9" fontId="4" fillId="6" borderId="12" xfId="5" applyFont="1" applyFill="1" applyBorder="1" applyAlignment="1" applyProtection="1">
      <alignment horizontal="center" vertical="center"/>
      <protection locked="0"/>
    </xf>
    <xf numFmtId="9" fontId="4" fillId="11" borderId="23" xfId="5" applyFont="1" applyFill="1" applyBorder="1" applyAlignment="1" applyProtection="1">
      <alignment horizontal="center" vertical="center"/>
    </xf>
    <xf numFmtId="9" fontId="4" fillId="11" borderId="16" xfId="5" applyFont="1" applyFill="1" applyBorder="1" applyAlignment="1" applyProtection="1">
      <alignment horizontal="center" vertical="center"/>
    </xf>
    <xf numFmtId="9" fontId="4" fillId="13" borderId="14" xfId="5" applyFont="1" applyFill="1" applyBorder="1" applyAlignment="1" applyProtection="1">
      <alignment horizontal="center" vertical="center"/>
    </xf>
    <xf numFmtId="9" fontId="4" fillId="13" borderId="16" xfId="5" applyFont="1" applyFill="1" applyBorder="1" applyAlignment="1" applyProtection="1">
      <alignment horizontal="center" vertical="center"/>
    </xf>
    <xf numFmtId="9" fontId="4" fillId="11" borderId="14" xfId="5" applyFont="1" applyFill="1" applyBorder="1" applyAlignment="1" applyProtection="1">
      <alignment horizontal="center" vertical="center"/>
    </xf>
    <xf numFmtId="0" fontId="4" fillId="19" borderId="0" xfId="0" applyFont="1" applyFill="1" applyAlignment="1">
      <alignment horizontal="right" vertical="center"/>
    </xf>
    <xf numFmtId="0" fontId="4" fillId="6" borderId="0" xfId="5" applyNumberFormat="1" applyFont="1" applyFill="1" applyBorder="1" applyAlignment="1" applyProtection="1">
      <alignment horizontal="center" vertical="center"/>
      <protection locked="0"/>
    </xf>
    <xf numFmtId="0" fontId="4" fillId="13" borderId="18" xfId="5" applyNumberFormat="1" applyFont="1" applyFill="1" applyBorder="1" applyAlignment="1" applyProtection="1">
      <alignment horizontal="center" vertical="center"/>
    </xf>
    <xf numFmtId="0" fontId="4" fillId="11" borderId="62" xfId="5" applyNumberFormat="1" applyFont="1" applyFill="1" applyBorder="1" applyAlignment="1" applyProtection="1">
      <alignment horizontal="center" vertical="center"/>
    </xf>
    <xf numFmtId="0" fontId="4" fillId="11" borderId="23" xfId="5" applyNumberFormat="1" applyFont="1" applyFill="1" applyBorder="1" applyAlignment="1" applyProtection="1">
      <alignment horizontal="center" vertical="center"/>
    </xf>
    <xf numFmtId="0" fontId="4" fillId="11" borderId="16" xfId="5" applyNumberFormat="1" applyFont="1" applyFill="1" applyBorder="1" applyAlignment="1" applyProtection="1">
      <alignment horizontal="center" vertical="center"/>
    </xf>
    <xf numFmtId="0" fontId="4" fillId="13" borderId="14" xfId="5" applyNumberFormat="1" applyFont="1" applyFill="1" applyBorder="1" applyAlignment="1" applyProtection="1">
      <alignment horizontal="center" vertical="center"/>
    </xf>
    <xf numFmtId="0" fontId="4" fillId="19" borderId="12" xfId="0" applyFont="1" applyFill="1" applyBorder="1" applyAlignment="1">
      <alignment horizontal="left" vertical="center"/>
    </xf>
    <xf numFmtId="0" fontId="4" fillId="6" borderId="12" xfId="5" applyNumberFormat="1" applyFont="1" applyFill="1" applyBorder="1" applyAlignment="1" applyProtection="1">
      <alignment horizontal="center" vertical="center"/>
      <protection locked="0"/>
    </xf>
    <xf numFmtId="0" fontId="4" fillId="11" borderId="14" xfId="5" applyNumberFormat="1" applyFont="1" applyFill="1" applyBorder="1" applyAlignment="1" applyProtection="1">
      <alignment horizontal="center" vertical="center"/>
    </xf>
    <xf numFmtId="0" fontId="6" fillId="21" borderId="22" xfId="0" applyFont="1" applyFill="1" applyBorder="1" applyAlignment="1">
      <alignment horizontal="left" vertical="center" indent="1"/>
    </xf>
    <xf numFmtId="0" fontId="4" fillId="13" borderId="15" xfId="5" applyNumberFormat="1" applyFont="1" applyFill="1" applyBorder="1" applyAlignment="1" applyProtection="1">
      <alignment horizontal="center" vertical="center"/>
    </xf>
    <xf numFmtId="0" fontId="7" fillId="2" borderId="162" xfId="0" applyFont="1" applyFill="1" applyBorder="1" applyAlignment="1">
      <alignment horizontal="left" vertical="center" indent="1"/>
    </xf>
    <xf numFmtId="0" fontId="4" fillId="2" borderId="166" xfId="0" applyFont="1" applyFill="1" applyBorder="1" applyAlignment="1">
      <alignment horizontal="left" vertical="center" indent="1"/>
    </xf>
    <xf numFmtId="0" fontId="4" fillId="22" borderId="98" xfId="0" applyFont="1" applyFill="1" applyBorder="1" applyAlignment="1">
      <alignment horizontal="left" vertical="center"/>
    </xf>
    <xf numFmtId="0" fontId="4" fillId="22" borderId="156" xfId="0" applyFont="1" applyFill="1" applyBorder="1" applyAlignment="1">
      <alignment horizontal="left" vertical="center"/>
    </xf>
    <xf numFmtId="0" fontId="4" fillId="22" borderId="16" xfId="0" applyFont="1" applyFill="1" applyBorder="1" applyAlignment="1">
      <alignment horizontal="left" vertical="center"/>
    </xf>
    <xf numFmtId="0" fontId="4" fillId="22" borderId="14" xfId="0" applyFont="1" applyFill="1" applyBorder="1" applyAlignment="1">
      <alignment horizontal="left" vertical="center"/>
    </xf>
    <xf numFmtId="0" fontId="4" fillId="22" borderId="15" xfId="0" applyFont="1" applyFill="1" applyBorder="1" applyAlignment="1">
      <alignment horizontal="left" vertical="center"/>
    </xf>
    <xf numFmtId="0" fontId="4" fillId="22" borderId="164" xfId="0" applyFont="1" applyFill="1" applyBorder="1" applyAlignment="1">
      <alignment horizontal="left" vertical="center"/>
    </xf>
    <xf numFmtId="0" fontId="4" fillId="22" borderId="165" xfId="0" applyFont="1" applyFill="1" applyBorder="1" applyAlignment="1">
      <alignment horizontal="left" vertical="center"/>
    </xf>
    <xf numFmtId="0" fontId="4" fillId="22" borderId="7" xfId="0" applyFont="1" applyFill="1" applyBorder="1" applyAlignment="1">
      <alignment horizontal="left" vertical="center"/>
    </xf>
    <xf numFmtId="0" fontId="4" fillId="22" borderId="0" xfId="0" applyFont="1" applyFill="1" applyAlignment="1">
      <alignment horizontal="left" vertical="center"/>
    </xf>
    <xf numFmtId="0" fontId="4" fillId="22" borderId="161" xfId="0" applyFont="1" applyFill="1" applyBorder="1" applyAlignment="1">
      <alignment horizontal="left" vertical="center"/>
    </xf>
    <xf numFmtId="0" fontId="4" fillId="22" borderId="160" xfId="0" applyFont="1" applyFill="1" applyBorder="1" applyAlignment="1">
      <alignment horizontal="left" vertical="center"/>
    </xf>
    <xf numFmtId="0" fontId="4" fillId="2" borderId="98" xfId="0" applyFont="1" applyFill="1" applyBorder="1" applyAlignment="1">
      <alignment horizontal="left" vertical="center" indent="1"/>
    </xf>
    <xf numFmtId="0" fontId="4" fillId="22" borderId="13" xfId="0" applyFont="1" applyFill="1" applyBorder="1" applyAlignment="1">
      <alignment horizontal="left" vertical="center"/>
    </xf>
    <xf numFmtId="0" fontId="4" fillId="22" borderId="8" xfId="0" applyFont="1" applyFill="1" applyBorder="1" applyAlignment="1">
      <alignment horizontal="left" vertical="center"/>
    </xf>
    <xf numFmtId="49" fontId="4" fillId="6" borderId="169" xfId="0" applyNumberFormat="1" applyFont="1" applyFill="1" applyBorder="1" applyAlignment="1" applyProtection="1">
      <alignment horizontal="right" vertical="center" indent="1"/>
      <protection locked="0"/>
    </xf>
    <xf numFmtId="49" fontId="4" fillId="6" borderId="170" xfId="0" applyNumberFormat="1" applyFont="1" applyFill="1" applyBorder="1" applyAlignment="1" applyProtection="1">
      <alignment horizontal="right" vertical="center" indent="1"/>
      <protection locked="0"/>
    </xf>
    <xf numFmtId="0" fontId="4" fillId="22" borderId="83" xfId="0" applyFont="1" applyFill="1" applyBorder="1" applyAlignment="1">
      <alignment horizontal="left" vertical="center"/>
    </xf>
    <xf numFmtId="0" fontId="4" fillId="22" borderId="168" xfId="0" applyFont="1" applyFill="1" applyBorder="1" applyAlignment="1">
      <alignment horizontal="left" vertical="center"/>
    </xf>
    <xf numFmtId="0" fontId="4" fillId="22" borderId="171" xfId="0" applyFont="1" applyFill="1" applyBorder="1" applyAlignment="1">
      <alignment horizontal="left" vertical="center"/>
    </xf>
    <xf numFmtId="0" fontId="4" fillId="22" borderId="77" xfId="0" applyFont="1" applyFill="1" applyBorder="1" applyAlignment="1">
      <alignment horizontal="left" vertical="center"/>
    </xf>
    <xf numFmtId="0" fontId="4" fillId="6" borderId="172" xfId="5" applyNumberFormat="1" applyFont="1" applyFill="1" applyBorder="1" applyAlignment="1" applyProtection="1">
      <alignment horizontal="center" vertical="center"/>
      <protection locked="0"/>
    </xf>
    <xf numFmtId="0" fontId="4" fillId="6" borderId="173" xfId="5" applyNumberFormat="1" applyFont="1" applyFill="1" applyBorder="1" applyAlignment="1" applyProtection="1">
      <alignment horizontal="center" vertical="center"/>
      <protection locked="0"/>
    </xf>
    <xf numFmtId="0" fontId="4" fillId="6" borderId="174" xfId="5" applyNumberFormat="1" applyFont="1" applyFill="1" applyBorder="1" applyAlignment="1" applyProtection="1">
      <alignment horizontal="center" vertical="center"/>
      <protection locked="0"/>
    </xf>
    <xf numFmtId="0" fontId="4" fillId="6" borderId="78" xfId="5" applyNumberFormat="1" applyFont="1" applyFill="1" applyBorder="1" applyAlignment="1" applyProtection="1">
      <alignment horizontal="center" vertical="center"/>
      <protection locked="0"/>
    </xf>
    <xf numFmtId="0" fontId="4" fillId="21" borderId="163" xfId="5" applyNumberFormat="1" applyFont="1" applyFill="1" applyBorder="1" applyAlignment="1" applyProtection="1">
      <alignment horizontal="center" vertical="center"/>
    </xf>
    <xf numFmtId="0" fontId="4" fillId="21" borderId="170" xfId="5" applyNumberFormat="1" applyFont="1" applyFill="1" applyBorder="1" applyAlignment="1" applyProtection="1">
      <alignment horizontal="center" vertical="center"/>
    </xf>
    <xf numFmtId="0" fontId="4" fillId="6" borderId="175" xfId="5" applyNumberFormat="1" applyFont="1" applyFill="1" applyBorder="1" applyAlignment="1" applyProtection="1">
      <alignment horizontal="center" vertical="center"/>
      <protection locked="0"/>
    </xf>
    <xf numFmtId="0" fontId="4" fillId="22" borderId="12" xfId="0" applyFont="1" applyFill="1" applyBorder="1" applyAlignment="1">
      <alignment horizontal="left" vertical="center"/>
    </xf>
    <xf numFmtId="0" fontId="4" fillId="22" borderId="6" xfId="0" applyFont="1" applyFill="1" applyBorder="1" applyAlignment="1">
      <alignment horizontal="left" vertical="center"/>
    </xf>
    <xf numFmtId="0" fontId="6" fillId="5" borderId="180" xfId="0" applyFont="1" applyFill="1" applyBorder="1" applyAlignment="1">
      <alignment horizontal="left" vertical="center" indent="1"/>
    </xf>
    <xf numFmtId="0" fontId="4" fillId="22" borderId="162" xfId="0" applyFont="1" applyFill="1" applyBorder="1" applyAlignment="1">
      <alignment horizontal="left" vertical="center"/>
    </xf>
    <xf numFmtId="0" fontId="4" fillId="2" borderId="183" xfId="0" applyFont="1" applyFill="1" applyBorder="1" applyAlignment="1">
      <alignment horizontal="left" vertical="center" indent="1"/>
    </xf>
    <xf numFmtId="9" fontId="4" fillId="11" borderId="62" xfId="5" applyFont="1" applyFill="1" applyBorder="1" applyAlignment="1" applyProtection="1">
      <alignment horizontal="center" vertical="center"/>
    </xf>
    <xf numFmtId="9" fontId="4" fillId="13" borderId="18" xfId="5" applyFont="1" applyFill="1" applyBorder="1" applyAlignment="1" applyProtection="1">
      <alignment horizontal="center" vertical="center"/>
    </xf>
    <xf numFmtId="0" fontId="4" fillId="19" borderId="0" xfId="0" applyFont="1" applyFill="1" applyAlignment="1">
      <alignment horizontal="left" vertical="center" indent="1"/>
    </xf>
    <xf numFmtId="0" fontId="4" fillId="19" borderId="55" xfId="0" applyFont="1" applyFill="1" applyBorder="1" applyAlignment="1">
      <alignment horizontal="left" vertical="center"/>
    </xf>
    <xf numFmtId="0" fontId="4" fillId="19" borderId="53" xfId="0" applyFont="1" applyFill="1" applyBorder="1" applyAlignment="1">
      <alignment horizontal="left" vertical="center" indent="2"/>
    </xf>
    <xf numFmtId="9" fontId="4" fillId="6" borderId="153" xfId="5" applyFont="1" applyFill="1" applyBorder="1" applyAlignment="1" applyProtection="1">
      <alignment horizontal="right" vertical="center" indent="1"/>
      <protection locked="0"/>
    </xf>
    <xf numFmtId="9" fontId="4" fillId="6" borderId="152" xfId="5" applyFont="1" applyFill="1" applyBorder="1" applyAlignment="1" applyProtection="1">
      <alignment horizontal="right" vertical="center" indent="1"/>
      <protection locked="0"/>
    </xf>
    <xf numFmtId="0" fontId="4" fillId="19" borderId="49" xfId="0" applyFont="1" applyFill="1" applyBorder="1" applyAlignment="1">
      <alignment horizontal="left" vertical="center" indent="1"/>
    </xf>
    <xf numFmtId="9" fontId="4" fillId="6" borderId="59" xfId="0" applyNumberFormat="1" applyFont="1" applyFill="1" applyBorder="1" applyAlignment="1" applyProtection="1">
      <alignment horizontal="right" vertical="center" indent="1"/>
      <protection locked="0"/>
    </xf>
    <xf numFmtId="0" fontId="4" fillId="7" borderId="161" xfId="0" applyFont="1" applyFill="1" applyBorder="1" applyAlignment="1">
      <alignment horizontal="right" vertical="center" indent="1"/>
    </xf>
    <xf numFmtId="0" fontId="4" fillId="7" borderId="156" xfId="0" applyFont="1" applyFill="1" applyBorder="1" applyAlignment="1">
      <alignment horizontal="right" vertical="center" indent="1"/>
    </xf>
    <xf numFmtId="0" fontId="4" fillId="6" borderId="61" xfId="0" applyFont="1" applyFill="1" applyBorder="1" applyAlignment="1" applyProtection="1">
      <alignment horizontal="right" vertical="center" indent="1"/>
      <protection locked="0"/>
    </xf>
    <xf numFmtId="0" fontId="4" fillId="19" borderId="7" xfId="0" applyFont="1" applyFill="1" applyBorder="1" applyAlignment="1">
      <alignment horizontal="right" vertical="center" indent="1"/>
    </xf>
    <xf numFmtId="0" fontId="4" fillId="2" borderId="51" xfId="0" applyFont="1" applyFill="1" applyBorder="1" applyAlignment="1">
      <alignment horizontal="left" vertical="center" indent="2"/>
    </xf>
    <xf numFmtId="0" fontId="4" fillId="2" borderId="53" xfId="0" applyFont="1" applyFill="1" applyBorder="1" applyAlignment="1">
      <alignment horizontal="left" vertical="center" indent="2"/>
    </xf>
    <xf numFmtId="0" fontId="4" fillId="19" borderId="48" xfId="0" applyFont="1" applyFill="1" applyBorder="1" applyAlignment="1">
      <alignment horizontal="left" vertical="center" indent="1"/>
    </xf>
    <xf numFmtId="0" fontId="4" fillId="19" borderId="50" xfId="0" applyFont="1" applyFill="1" applyBorder="1" applyAlignment="1">
      <alignment horizontal="left" vertical="center" indent="1"/>
    </xf>
    <xf numFmtId="0" fontId="4" fillId="19" borderId="51" xfId="0" applyFont="1" applyFill="1" applyBorder="1" applyAlignment="1">
      <alignment horizontal="left" vertical="center" indent="1"/>
    </xf>
    <xf numFmtId="0" fontId="4" fillId="19" borderId="52" xfId="0" applyFont="1" applyFill="1" applyBorder="1" applyAlignment="1">
      <alignment horizontal="left" vertical="center" indent="1"/>
    </xf>
    <xf numFmtId="0" fontId="4" fillId="19" borderId="53" xfId="0" applyFont="1" applyFill="1" applyBorder="1" applyAlignment="1">
      <alignment horizontal="left" vertical="center" indent="1"/>
    </xf>
    <xf numFmtId="0" fontId="4" fillId="19" borderId="54" xfId="0" applyFont="1" applyFill="1" applyBorder="1" applyAlignment="1">
      <alignment horizontal="left" vertical="center" indent="1"/>
    </xf>
    <xf numFmtId="0" fontId="4" fillId="19" borderId="55" xfId="0" applyFont="1" applyFill="1" applyBorder="1" applyAlignment="1">
      <alignment horizontal="left" vertical="center" indent="1"/>
    </xf>
    <xf numFmtId="9" fontId="4" fillId="11" borderId="15" xfId="5" applyFont="1" applyFill="1" applyBorder="1" applyAlignment="1">
      <alignment horizontal="center" vertical="center"/>
    </xf>
    <xf numFmtId="2" fontId="4" fillId="6" borderId="160" xfId="5" applyNumberFormat="1" applyFont="1" applyFill="1" applyBorder="1" applyAlignment="1" applyProtection="1">
      <alignment horizontal="center" vertical="center"/>
      <protection locked="0"/>
    </xf>
    <xf numFmtId="2" fontId="4" fillId="6" borderId="156" xfId="5" applyNumberFormat="1" applyFont="1" applyFill="1" applyBorder="1" applyAlignment="1" applyProtection="1">
      <alignment horizontal="center" vertical="center"/>
      <protection locked="0"/>
    </xf>
    <xf numFmtId="166" fontId="4" fillId="6" borderId="0" xfId="5" applyNumberFormat="1" applyFont="1" applyFill="1" applyAlignment="1" applyProtection="1">
      <alignment horizontal="center" vertical="center"/>
      <protection locked="0"/>
    </xf>
    <xf numFmtId="9" fontId="4" fillId="11" borderId="15" xfId="5" applyFont="1" applyFill="1" applyBorder="1" applyAlignment="1" applyProtection="1">
      <alignment horizontal="center" vertical="center"/>
    </xf>
    <xf numFmtId="0" fontId="4" fillId="6" borderId="162" xfId="0" applyFont="1" applyFill="1" applyBorder="1" applyAlignment="1" applyProtection="1">
      <alignment horizontal="right" vertical="center" indent="1"/>
      <protection locked="0"/>
    </xf>
    <xf numFmtId="49" fontId="4" fillId="6" borderId="184" xfId="0" applyNumberFormat="1" applyFont="1" applyFill="1" applyBorder="1" applyAlignment="1" applyProtection="1">
      <alignment horizontal="right" vertical="center" indent="1"/>
      <protection locked="0"/>
    </xf>
    <xf numFmtId="0" fontId="4" fillId="22" borderId="33" xfId="0" applyFont="1" applyFill="1" applyBorder="1" applyAlignment="1">
      <alignment horizontal="left" vertical="center"/>
    </xf>
    <xf numFmtId="0" fontId="4" fillId="22" borderId="35" xfId="0" applyFont="1" applyFill="1" applyBorder="1" applyAlignment="1">
      <alignment horizontal="left" vertical="center"/>
    </xf>
    <xf numFmtId="0" fontId="4" fillId="6" borderId="185" xfId="5" applyNumberFormat="1" applyFont="1" applyFill="1" applyBorder="1" applyAlignment="1" applyProtection="1">
      <alignment horizontal="center" vertical="center"/>
      <protection locked="0"/>
    </xf>
    <xf numFmtId="0" fontId="4" fillId="6" borderId="26" xfId="5" applyNumberFormat="1" applyFont="1" applyFill="1" applyBorder="1" applyAlignment="1" applyProtection="1">
      <alignment horizontal="center" vertical="center"/>
      <protection locked="0"/>
    </xf>
    <xf numFmtId="0" fontId="4" fillId="21" borderId="184" xfId="5" applyNumberFormat="1" applyFont="1" applyFill="1" applyBorder="1" applyAlignment="1" applyProtection="1">
      <alignment horizontal="center" vertical="center"/>
    </xf>
    <xf numFmtId="0" fontId="4" fillId="6" borderId="167" xfId="0" applyFont="1" applyFill="1" applyBorder="1" applyAlignment="1" applyProtection="1">
      <alignment horizontal="right" vertical="center" indent="1"/>
      <protection locked="0"/>
    </xf>
    <xf numFmtId="0" fontId="4" fillId="6" borderId="168" xfId="0" applyFont="1" applyFill="1" applyBorder="1" applyAlignment="1" applyProtection="1">
      <alignment horizontal="right" vertical="center" indent="1"/>
      <protection locked="0"/>
    </xf>
    <xf numFmtId="0" fontId="4" fillId="6" borderId="33" xfId="0" applyFont="1" applyFill="1" applyBorder="1" applyAlignment="1" applyProtection="1">
      <alignment horizontal="right" vertical="center" indent="1"/>
      <protection locked="0"/>
    </xf>
    <xf numFmtId="0" fontId="4" fillId="6" borderId="157" xfId="0" applyFont="1" applyFill="1" applyBorder="1" applyAlignment="1" applyProtection="1">
      <alignment horizontal="right" vertical="center" indent="1"/>
      <protection locked="0"/>
    </xf>
    <xf numFmtId="0" fontId="4" fillId="19" borderId="177" xfId="0" applyFont="1" applyFill="1" applyBorder="1" applyAlignment="1">
      <alignment horizontal="left" vertical="center"/>
    </xf>
    <xf numFmtId="0" fontId="26" fillId="2" borderId="134" xfId="0" applyFont="1" applyFill="1" applyBorder="1" applyAlignment="1">
      <alignment horizontal="center" vertical="center"/>
    </xf>
    <xf numFmtId="0" fontId="26" fillId="2" borderId="140" xfId="0" applyFont="1" applyFill="1" applyBorder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26" fillId="2" borderId="142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10" borderId="15" xfId="0" applyFont="1" applyFill="1" applyBorder="1" applyAlignment="1">
      <alignment horizontal="left" vertical="center" indent="1"/>
    </xf>
    <xf numFmtId="0" fontId="7" fillId="2" borderId="5" xfId="0" applyFont="1" applyFill="1" applyBorder="1" applyAlignment="1">
      <alignment horizontal="left" vertical="center" indent="1"/>
    </xf>
    <xf numFmtId="0" fontId="4" fillId="19" borderId="0" xfId="0" applyFont="1" applyFill="1" applyAlignment="1">
      <alignment horizontal="center" vertical="center"/>
    </xf>
    <xf numFmtId="0" fontId="6" fillId="5" borderId="197" xfId="0" applyFont="1" applyFill="1" applyBorder="1" applyAlignment="1">
      <alignment horizontal="left" vertical="center" indent="1"/>
    </xf>
    <xf numFmtId="0" fontId="6" fillId="5" borderId="161" xfId="0" applyFont="1" applyFill="1" applyBorder="1" applyAlignment="1">
      <alignment horizontal="left" vertical="center" indent="1"/>
    </xf>
    <xf numFmtId="0" fontId="6" fillId="5" borderId="188" xfId="0" applyFont="1" applyFill="1" applyBorder="1" applyAlignment="1">
      <alignment horizontal="left" vertical="center" indent="1"/>
    </xf>
    <xf numFmtId="0" fontId="6" fillId="5" borderId="189" xfId="0" applyFont="1" applyFill="1" applyBorder="1" applyAlignment="1">
      <alignment horizontal="left" vertical="center" indent="1"/>
    </xf>
    <xf numFmtId="0" fontId="6" fillId="5" borderId="194" xfId="0" applyFont="1" applyFill="1" applyBorder="1" applyAlignment="1">
      <alignment horizontal="left" vertical="center" indent="1"/>
    </xf>
    <xf numFmtId="0" fontId="6" fillId="5" borderId="195" xfId="0" applyFont="1" applyFill="1" applyBorder="1" applyAlignment="1">
      <alignment horizontal="left" vertical="center" indent="1"/>
    </xf>
    <xf numFmtId="0" fontId="6" fillId="5" borderId="193" xfId="0" applyFont="1" applyFill="1" applyBorder="1" applyAlignment="1">
      <alignment horizontal="center" vertical="center"/>
    </xf>
    <xf numFmtId="0" fontId="6" fillId="5" borderId="195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192" xfId="0" applyFont="1" applyFill="1" applyBorder="1" applyAlignment="1">
      <alignment horizontal="center" vertical="center"/>
    </xf>
    <xf numFmtId="0" fontId="6" fillId="5" borderId="105" xfId="0" applyFont="1" applyFill="1" applyBorder="1" applyAlignment="1">
      <alignment horizontal="left" vertical="center" indent="1"/>
    </xf>
    <xf numFmtId="9" fontId="6" fillId="5" borderId="192" xfId="5" applyFont="1" applyFill="1" applyBorder="1" applyAlignment="1" applyProtection="1">
      <alignment horizontal="center" vertical="center"/>
    </xf>
    <xf numFmtId="9" fontId="6" fillId="5" borderId="7" xfId="5" applyFont="1" applyFill="1" applyBorder="1" applyAlignment="1" applyProtection="1">
      <alignment horizontal="center" vertical="center"/>
    </xf>
    <xf numFmtId="9" fontId="6" fillId="5" borderId="40" xfId="5" applyFont="1" applyFill="1" applyBorder="1" applyAlignment="1" applyProtection="1">
      <alignment horizontal="center" vertical="center"/>
    </xf>
    <xf numFmtId="0" fontId="6" fillId="5" borderId="190" xfId="0" applyFont="1" applyFill="1" applyBorder="1" applyAlignment="1">
      <alignment horizontal="center" vertical="center"/>
    </xf>
    <xf numFmtId="0" fontId="6" fillId="16" borderId="24" xfId="0" applyFont="1" applyFill="1" applyBorder="1" applyAlignment="1">
      <alignment horizontal="left" vertical="center" indent="1"/>
    </xf>
    <xf numFmtId="0" fontId="4" fillId="6" borderId="63" xfId="0" applyFont="1" applyFill="1" applyBorder="1" applyAlignment="1" applyProtection="1">
      <alignment vertical="center"/>
      <protection locked="0"/>
    </xf>
    <xf numFmtId="0" fontId="4" fillId="6" borderId="25" xfId="0" applyFont="1" applyFill="1" applyBorder="1" applyAlignment="1" applyProtection="1">
      <alignment vertical="center"/>
      <protection locked="0"/>
    </xf>
    <xf numFmtId="0" fontId="4" fillId="6" borderId="23" xfId="0" applyFont="1" applyFill="1" applyBorder="1" applyAlignment="1" applyProtection="1">
      <alignment vertical="center"/>
      <protection locked="0"/>
    </xf>
    <xf numFmtId="0" fontId="6" fillId="16" borderId="178" xfId="0" applyFont="1" applyFill="1" applyBorder="1" applyAlignment="1">
      <alignment horizontal="left" vertical="center" indent="1"/>
    </xf>
    <xf numFmtId="0" fontId="6" fillId="16" borderId="42" xfId="0" applyFont="1" applyFill="1" applyBorder="1" applyAlignment="1">
      <alignment horizontal="left" vertical="center" indent="1"/>
    </xf>
    <xf numFmtId="0" fontId="6" fillId="16" borderId="39" xfId="0" applyFont="1" applyFill="1" applyBorder="1" applyAlignment="1">
      <alignment horizontal="left" vertical="center" indent="1"/>
    </xf>
    <xf numFmtId="2" fontId="0" fillId="0" borderId="0" xfId="0" applyNumberFormat="1"/>
    <xf numFmtId="1" fontId="0" fillId="0" borderId="0" xfId="0" applyNumberFormat="1"/>
    <xf numFmtId="1" fontId="1" fillId="0" borderId="0" xfId="0" applyNumberFormat="1" applyFont="1" applyAlignment="1">
      <alignment horizontal="center" vertical="center"/>
    </xf>
    <xf numFmtId="0" fontId="6" fillId="16" borderId="40" xfId="0" applyFont="1" applyFill="1" applyBorder="1" applyAlignment="1">
      <alignment horizontal="left" vertical="center" indent="1"/>
    </xf>
    <xf numFmtId="0" fontId="6" fillId="16" borderId="149" xfId="0" applyFont="1" applyFill="1" applyBorder="1" applyAlignment="1">
      <alignment horizontal="left" vertical="center" indent="1"/>
    </xf>
    <xf numFmtId="49" fontId="4" fillId="2" borderId="0" xfId="0" applyNumberFormat="1" applyFont="1" applyFill="1" applyAlignment="1">
      <alignment horizontal="left" vertical="center" indent="1"/>
    </xf>
    <xf numFmtId="49" fontId="4" fillId="6" borderId="12" xfId="0" applyNumberFormat="1" applyFont="1" applyFill="1" applyBorder="1" applyAlignment="1" applyProtection="1">
      <alignment horizontal="left" vertical="center" indent="1"/>
      <protection locked="0"/>
    </xf>
    <xf numFmtId="49" fontId="4" fillId="6" borderId="9" xfId="0" applyNumberFormat="1" applyFont="1" applyFill="1" applyBorder="1" applyAlignment="1" applyProtection="1">
      <alignment horizontal="left" vertical="center" indent="1"/>
      <protection locked="0"/>
    </xf>
    <xf numFmtId="49" fontId="6" fillId="16" borderId="30" xfId="0" applyNumberFormat="1" applyFont="1" applyFill="1" applyBorder="1" applyAlignment="1">
      <alignment horizontal="left" vertical="center" indent="1"/>
    </xf>
    <xf numFmtId="49" fontId="6" fillId="16" borderId="29" xfId="0" applyNumberFormat="1" applyFont="1" applyFill="1" applyBorder="1" applyAlignment="1">
      <alignment horizontal="left" vertical="center" indent="1"/>
    </xf>
    <xf numFmtId="49" fontId="6" fillId="16" borderId="6" xfId="0" applyNumberFormat="1" applyFont="1" applyFill="1" applyBorder="1" applyAlignment="1">
      <alignment horizontal="left" vertical="center" indent="1"/>
    </xf>
    <xf numFmtId="49" fontId="6" fillId="16" borderId="22" xfId="0" applyNumberFormat="1" applyFont="1" applyFill="1" applyBorder="1" applyAlignment="1">
      <alignment horizontal="left" vertical="center" indent="1"/>
    </xf>
    <xf numFmtId="0" fontId="4" fillId="16" borderId="101" xfId="0" applyFont="1" applyFill="1" applyBorder="1" applyAlignment="1">
      <alignment horizontal="left" vertical="center" indent="1"/>
    </xf>
    <xf numFmtId="49" fontId="6" fillId="16" borderId="101" xfId="0" applyNumberFormat="1" applyFont="1" applyFill="1" applyBorder="1" applyAlignment="1">
      <alignment horizontal="left" vertical="center" indent="3"/>
    </xf>
    <xf numFmtId="49" fontId="4" fillId="7" borderId="0" xfId="0" applyNumberFormat="1" applyFont="1" applyFill="1" applyAlignment="1">
      <alignment horizontal="left" vertical="center" indent="1"/>
    </xf>
    <xf numFmtId="0" fontId="6" fillId="16" borderId="178" xfId="0" applyFont="1" applyFill="1" applyBorder="1" applyAlignment="1">
      <alignment horizontal="center" vertical="center"/>
    </xf>
    <xf numFmtId="0" fontId="6" fillId="16" borderId="106" xfId="0" applyFont="1" applyFill="1" applyBorder="1" applyAlignment="1">
      <alignment horizontal="left" vertical="center" indent="2"/>
    </xf>
    <xf numFmtId="0" fontId="6" fillId="16" borderId="105" xfId="0" applyFont="1" applyFill="1" applyBorder="1" applyAlignment="1">
      <alignment horizontal="left" vertical="center" indent="2"/>
    </xf>
    <xf numFmtId="0" fontId="6" fillId="16" borderId="208" xfId="0" applyFont="1" applyFill="1" applyBorder="1" applyAlignment="1">
      <alignment horizontal="left" vertical="center" indent="1"/>
    </xf>
    <xf numFmtId="0" fontId="4" fillId="6" borderId="210" xfId="0" applyFont="1" applyFill="1" applyBorder="1" applyAlignment="1" applyProtection="1">
      <alignment horizontal="left" vertical="center" indent="1"/>
      <protection locked="0"/>
    </xf>
    <xf numFmtId="0" fontId="6" fillId="16" borderId="186" xfId="0" applyFont="1" applyFill="1" applyBorder="1" applyAlignment="1">
      <alignment horizontal="left" vertical="center" indent="1"/>
    </xf>
    <xf numFmtId="0" fontId="6" fillId="16" borderId="211" xfId="0" applyFont="1" applyFill="1" applyBorder="1" applyAlignment="1">
      <alignment horizontal="center" vertical="center"/>
    </xf>
    <xf numFmtId="0" fontId="4" fillId="6" borderId="211" xfId="0" applyFont="1" applyFill="1" applyBorder="1" applyAlignment="1" applyProtection="1">
      <alignment horizontal="center" vertical="center"/>
      <protection locked="0"/>
    </xf>
    <xf numFmtId="0" fontId="6" fillId="16" borderId="210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left" vertical="center" indent="1"/>
    </xf>
    <xf numFmtId="0" fontId="6" fillId="16" borderId="212" xfId="0" applyFont="1" applyFill="1" applyBorder="1" applyAlignment="1">
      <alignment horizontal="center" vertical="center"/>
    </xf>
    <xf numFmtId="0" fontId="4" fillId="2" borderId="45" xfId="0" applyFont="1" applyFill="1" applyBorder="1" applyAlignment="1">
      <alignment horizontal="center" vertical="center"/>
    </xf>
    <xf numFmtId="0" fontId="5" fillId="16" borderId="101" xfId="0" applyFont="1" applyFill="1" applyBorder="1" applyAlignment="1">
      <alignment horizontal="left" vertical="center" indent="1"/>
    </xf>
    <xf numFmtId="1" fontId="4" fillId="6" borderId="211" xfId="0" applyNumberFormat="1" applyFont="1" applyFill="1" applyBorder="1" applyAlignment="1" applyProtection="1">
      <alignment horizontal="center" vertical="center"/>
      <protection locked="0"/>
    </xf>
    <xf numFmtId="0" fontId="4" fillId="6" borderId="0" xfId="0" applyFont="1" applyFill="1" applyAlignment="1" applyProtection="1">
      <alignment horizontal="center" vertical="center"/>
      <protection locked="0"/>
    </xf>
    <xf numFmtId="0" fontId="6" fillId="16" borderId="213" xfId="0" applyFont="1" applyFill="1" applyBorder="1" applyAlignment="1">
      <alignment horizontal="left" vertical="center" indent="1"/>
    </xf>
    <xf numFmtId="0" fontId="4" fillId="6" borderId="24" xfId="0" applyFont="1" applyFill="1" applyBorder="1" applyAlignment="1" applyProtection="1">
      <alignment vertical="center"/>
      <protection locked="0"/>
    </xf>
    <xf numFmtId="0" fontId="6" fillId="16" borderId="214" xfId="0" applyFont="1" applyFill="1" applyBorder="1" applyAlignment="1">
      <alignment horizontal="left" vertical="center" indent="1"/>
    </xf>
    <xf numFmtId="2" fontId="4" fillId="7" borderId="24" xfId="0" applyNumberFormat="1" applyFont="1" applyFill="1" applyBorder="1" applyAlignment="1">
      <alignment vertical="center"/>
    </xf>
    <xf numFmtId="2" fontId="4" fillId="7" borderId="22" xfId="0" applyNumberFormat="1" applyFont="1" applyFill="1" applyBorder="1" applyAlignment="1">
      <alignment vertical="center"/>
    </xf>
    <xf numFmtId="0" fontId="6" fillId="16" borderId="215" xfId="0" applyFont="1" applyFill="1" applyBorder="1" applyAlignment="1">
      <alignment horizontal="left" vertical="center" indent="1"/>
    </xf>
    <xf numFmtId="0" fontId="6" fillId="16" borderId="210" xfId="0" applyFont="1" applyFill="1" applyBorder="1" applyAlignment="1">
      <alignment horizontal="left" vertical="center" indent="1"/>
    </xf>
    <xf numFmtId="0" fontId="4" fillId="7" borderId="210" xfId="0" applyFont="1" applyFill="1" applyBorder="1" applyAlignment="1">
      <alignment horizontal="left" vertical="center" indent="1"/>
    </xf>
    <xf numFmtId="0" fontId="6" fillId="16" borderId="216" xfId="0" applyFont="1" applyFill="1" applyBorder="1" applyAlignment="1">
      <alignment horizontal="left" vertical="center" indent="1"/>
    </xf>
    <xf numFmtId="0" fontId="5" fillId="16" borderId="101" xfId="0" applyFont="1" applyFill="1" applyBorder="1" applyAlignment="1">
      <alignment horizontal="center" vertical="center"/>
    </xf>
    <xf numFmtId="0" fontId="6" fillId="16" borderId="217" xfId="0" applyFont="1" applyFill="1" applyBorder="1" applyAlignment="1">
      <alignment horizontal="center" vertical="center"/>
    </xf>
    <xf numFmtId="0" fontId="6" fillId="16" borderId="177" xfId="0" applyFont="1" applyFill="1" applyBorder="1" applyAlignment="1">
      <alignment horizontal="center" vertical="center"/>
    </xf>
    <xf numFmtId="0" fontId="6" fillId="16" borderId="218" xfId="0" applyFont="1" applyFill="1" applyBorder="1" applyAlignment="1">
      <alignment horizontal="left" vertical="center" indent="1"/>
    </xf>
    <xf numFmtId="9" fontId="4" fillId="6" borderId="219" xfId="5" applyFont="1" applyFill="1" applyBorder="1" applyAlignment="1" applyProtection="1">
      <alignment vertical="center"/>
      <protection locked="0"/>
    </xf>
    <xf numFmtId="0" fontId="6" fillId="16" borderId="222" xfId="0" applyFont="1" applyFill="1" applyBorder="1" applyAlignment="1">
      <alignment horizontal="left" vertical="center" indent="1"/>
    </xf>
    <xf numFmtId="169" fontId="4" fillId="7" borderId="210" xfId="6" applyNumberFormat="1" applyFont="1" applyFill="1" applyBorder="1" applyAlignment="1" applyProtection="1">
      <alignment horizontal="center" vertical="center"/>
    </xf>
    <xf numFmtId="169" fontId="4" fillId="7" borderId="212" xfId="6" applyNumberFormat="1" applyFont="1" applyFill="1" applyBorder="1" applyAlignment="1" applyProtection="1">
      <alignment horizontal="center" vertical="center"/>
    </xf>
    <xf numFmtId="169" fontId="4" fillId="7" borderId="211" xfId="6" applyNumberFormat="1" applyFont="1" applyFill="1" applyBorder="1" applyAlignment="1" applyProtection="1">
      <alignment horizontal="center" vertical="center"/>
    </xf>
    <xf numFmtId="169" fontId="4" fillId="6" borderId="25" xfId="6" applyNumberFormat="1" applyFont="1" applyFill="1" applyBorder="1" applyAlignment="1" applyProtection="1">
      <alignment vertical="center"/>
      <protection locked="0"/>
    </xf>
    <xf numFmtId="169" fontId="4" fillId="6" borderId="25" xfId="6" applyNumberFormat="1" applyFont="1" applyFill="1" applyBorder="1" applyAlignment="1" applyProtection="1">
      <alignment horizontal="left" vertical="center" indent="1"/>
      <protection locked="0"/>
    </xf>
    <xf numFmtId="169" fontId="4" fillId="6" borderId="63" xfId="6" applyNumberFormat="1" applyFont="1" applyFill="1" applyBorder="1" applyAlignment="1" applyProtection="1">
      <alignment horizontal="left" vertical="center" indent="1"/>
      <protection locked="0"/>
    </xf>
    <xf numFmtId="0" fontId="6" fillId="16" borderId="224" xfId="0" applyFont="1" applyFill="1" applyBorder="1" applyAlignment="1">
      <alignment horizontal="left" vertical="center" indent="1"/>
    </xf>
    <xf numFmtId="0" fontId="6" fillId="16" borderId="225" xfId="0" applyFont="1" applyFill="1" applyBorder="1" applyAlignment="1">
      <alignment horizontal="left" vertical="center" indent="1"/>
    </xf>
    <xf numFmtId="0" fontId="4" fillId="7" borderId="225" xfId="0" applyFont="1" applyFill="1" applyBorder="1" applyAlignment="1">
      <alignment horizontal="left" vertical="center" indent="1"/>
    </xf>
    <xf numFmtId="0" fontId="4" fillId="6" borderId="191" xfId="0" applyFont="1" applyFill="1" applyBorder="1" applyAlignment="1" applyProtection="1">
      <alignment horizontal="center" vertical="center"/>
      <protection locked="0"/>
    </xf>
    <xf numFmtId="0" fontId="4" fillId="2" borderId="45" xfId="0" applyFont="1" applyFill="1" applyBorder="1" applyAlignment="1">
      <alignment vertical="center"/>
    </xf>
    <xf numFmtId="0" fontId="4" fillId="2" borderId="45" xfId="0" applyFont="1" applyFill="1" applyBorder="1" applyAlignment="1">
      <alignment horizontal="left" vertical="center" indent="1"/>
    </xf>
    <xf numFmtId="0" fontId="6" fillId="16" borderId="226" xfId="0" applyFont="1" applyFill="1" applyBorder="1" applyAlignment="1">
      <alignment horizontal="left" vertical="center" indent="1"/>
    </xf>
    <xf numFmtId="0" fontId="6" fillId="16" borderId="228" xfId="0" applyFont="1" applyFill="1" applyBorder="1" applyAlignment="1">
      <alignment horizontal="left" vertical="center" indent="1"/>
    </xf>
    <xf numFmtId="0" fontId="6" fillId="16" borderId="229" xfId="0" applyFont="1" applyFill="1" applyBorder="1" applyAlignment="1">
      <alignment horizontal="left" vertical="center" indent="1"/>
    </xf>
    <xf numFmtId="0" fontId="4" fillId="7" borderId="227" xfId="5" applyNumberFormat="1" applyFont="1" applyFill="1" applyBorder="1" applyAlignment="1" applyProtection="1">
      <alignment horizontal="center" vertical="center"/>
    </xf>
    <xf numFmtId="0" fontId="6" fillId="16" borderId="24" xfId="0" applyFont="1" applyFill="1" applyBorder="1" applyAlignment="1">
      <alignment horizontal="left" vertical="center" indent="2"/>
    </xf>
    <xf numFmtId="9" fontId="4" fillId="7" borderId="25" xfId="5" applyFont="1" applyFill="1" applyBorder="1" applyAlignment="1" applyProtection="1">
      <alignment vertical="center"/>
    </xf>
    <xf numFmtId="0" fontId="6" fillId="16" borderId="111" xfId="5" applyNumberFormat="1" applyFont="1" applyFill="1" applyBorder="1" applyAlignment="1">
      <alignment horizontal="center" vertical="center"/>
    </xf>
    <xf numFmtId="9" fontId="4" fillId="6" borderId="111" xfId="5" applyFont="1" applyFill="1" applyBorder="1" applyAlignment="1" applyProtection="1">
      <alignment horizontal="center" vertical="center"/>
      <protection locked="0"/>
    </xf>
    <xf numFmtId="0" fontId="6" fillId="16" borderId="209" xfId="5" applyNumberFormat="1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center" vertical="center"/>
    </xf>
    <xf numFmtId="169" fontId="4" fillId="7" borderId="230" xfId="6" applyNumberFormat="1" applyFont="1" applyFill="1" applyBorder="1" applyAlignment="1" applyProtection="1">
      <alignment vertical="center"/>
    </xf>
    <xf numFmtId="0" fontId="4" fillId="2" borderId="231" xfId="0" applyFont="1" applyFill="1" applyBorder="1" applyAlignment="1">
      <alignment vertical="center"/>
    </xf>
    <xf numFmtId="0" fontId="4" fillId="2" borderId="12" xfId="0" applyFont="1" applyFill="1" applyBorder="1" applyAlignment="1">
      <alignment vertical="center"/>
    </xf>
    <xf numFmtId="9" fontId="4" fillId="7" borderId="62" xfId="5" applyFont="1" applyFill="1" applyBorder="1" applyAlignment="1" applyProtection="1">
      <alignment vertical="center"/>
    </xf>
    <xf numFmtId="169" fontId="4" fillId="7" borderId="58" xfId="6" applyNumberFormat="1" applyFont="1" applyFill="1" applyBorder="1" applyAlignment="1" applyProtection="1">
      <alignment vertical="center"/>
    </xf>
    <xf numFmtId="0" fontId="6" fillId="16" borderId="232" xfId="0" applyFont="1" applyFill="1" applyBorder="1" applyAlignment="1">
      <alignment horizontal="left" vertical="center" indent="1"/>
    </xf>
    <xf numFmtId="1" fontId="4" fillId="7" borderId="25" xfId="5" applyNumberFormat="1" applyFont="1" applyFill="1" applyBorder="1" applyAlignment="1" applyProtection="1">
      <alignment vertical="center"/>
    </xf>
    <xf numFmtId="1" fontId="4" fillId="7" borderId="230" xfId="6" applyNumberFormat="1" applyFont="1" applyFill="1" applyBorder="1" applyAlignment="1" applyProtection="1">
      <alignment vertical="center"/>
    </xf>
    <xf numFmtId="1" fontId="4" fillId="7" borderId="23" xfId="5" applyNumberFormat="1" applyFont="1" applyFill="1" applyBorder="1" applyAlignment="1" applyProtection="1">
      <alignment vertical="center"/>
    </xf>
    <xf numFmtId="9" fontId="4" fillId="6" borderId="25" xfId="5" applyFont="1" applyFill="1" applyBorder="1" applyAlignment="1" applyProtection="1">
      <alignment vertical="center"/>
      <protection locked="0"/>
    </xf>
    <xf numFmtId="9" fontId="4" fillId="6" borderId="63" xfId="5" applyFont="1" applyFill="1" applyBorder="1" applyAlignment="1" applyProtection="1">
      <alignment vertical="center"/>
      <protection locked="0"/>
    </xf>
    <xf numFmtId="0" fontId="6" fillId="16" borderId="233" xfId="0" applyFont="1" applyFill="1" applyBorder="1" applyAlignment="1">
      <alignment horizontal="left" vertical="center" indent="1"/>
    </xf>
    <xf numFmtId="1" fontId="4" fillId="7" borderId="181" xfId="5" applyNumberFormat="1" applyFont="1" applyFill="1" applyBorder="1" applyAlignment="1" applyProtection="1">
      <alignment vertical="center"/>
    </xf>
    <xf numFmtId="1" fontId="4" fillId="7" borderId="63" xfId="5" applyNumberFormat="1" applyFont="1" applyFill="1" applyBorder="1" applyAlignment="1" applyProtection="1">
      <alignment vertical="center"/>
    </xf>
    <xf numFmtId="0" fontId="6" fillId="16" borderId="207" xfId="0" applyFont="1" applyFill="1" applyBorder="1" applyAlignment="1">
      <alignment horizontal="left" vertical="center" indent="1"/>
    </xf>
    <xf numFmtId="169" fontId="4" fillId="7" borderId="25" xfId="6" applyNumberFormat="1" applyFont="1" applyFill="1" applyBorder="1" applyAlignment="1" applyProtection="1">
      <alignment vertical="center"/>
    </xf>
    <xf numFmtId="169" fontId="4" fillId="7" borderId="23" xfId="6" applyNumberFormat="1" applyFont="1" applyFill="1" applyBorder="1" applyAlignment="1" applyProtection="1">
      <alignment vertical="center"/>
    </xf>
    <xf numFmtId="169" fontId="4" fillId="7" borderId="223" xfId="6" applyNumberFormat="1" applyFont="1" applyFill="1" applyBorder="1" applyAlignment="1" applyProtection="1">
      <alignment vertical="center"/>
    </xf>
    <xf numFmtId="169" fontId="4" fillId="7" borderId="61" xfId="6" applyNumberFormat="1" applyFont="1" applyFill="1" applyBorder="1" applyAlignment="1" applyProtection="1">
      <alignment vertical="center"/>
    </xf>
    <xf numFmtId="169" fontId="4" fillId="7" borderId="62" xfId="6" applyNumberFormat="1" applyFont="1" applyFill="1" applyBorder="1" applyAlignment="1" applyProtection="1">
      <alignment vertical="center"/>
    </xf>
    <xf numFmtId="0" fontId="6" fillId="53" borderId="220" xfId="0" applyFont="1" applyFill="1" applyBorder="1" applyAlignment="1">
      <alignment horizontal="left" vertical="center" indent="1"/>
    </xf>
    <xf numFmtId="169" fontId="4" fillId="7" borderId="59" xfId="6" applyNumberFormat="1" applyFont="1" applyFill="1" applyBorder="1" applyAlignment="1" applyProtection="1">
      <alignment vertical="center"/>
    </xf>
    <xf numFmtId="169" fontId="7" fillId="20" borderId="221" xfId="6" applyNumberFormat="1" applyFont="1" applyFill="1" applyBorder="1" applyAlignment="1" applyProtection="1">
      <alignment vertical="center"/>
    </xf>
    <xf numFmtId="0" fontId="6" fillId="53" borderId="98" xfId="0" applyFont="1" applyFill="1" applyBorder="1" applyAlignment="1">
      <alignment horizontal="left" vertical="center" indent="1"/>
    </xf>
    <xf numFmtId="9" fontId="4" fillId="7" borderId="59" xfId="5" applyFont="1" applyFill="1" applyBorder="1" applyAlignment="1" applyProtection="1">
      <alignment vertical="center"/>
    </xf>
    <xf numFmtId="9" fontId="4" fillId="7" borderId="61" xfId="5" applyFont="1" applyFill="1" applyBorder="1" applyAlignment="1" applyProtection="1">
      <alignment vertical="center"/>
    </xf>
    <xf numFmtId="169" fontId="4" fillId="2" borderId="0" xfId="0" applyNumberFormat="1" applyFont="1" applyFill="1" applyAlignment="1">
      <alignment vertical="center"/>
    </xf>
    <xf numFmtId="43" fontId="7" fillId="20" borderId="221" xfId="6" applyFont="1" applyFill="1" applyBorder="1" applyAlignment="1" applyProtection="1">
      <alignment vertical="center"/>
    </xf>
    <xf numFmtId="0" fontId="4" fillId="7" borderId="108" xfId="0" applyFont="1" applyFill="1" applyBorder="1" applyAlignment="1">
      <alignment horizontal="left" vertical="center" indent="1"/>
    </xf>
    <xf numFmtId="164" fontId="4" fillId="7" borderId="109" xfId="0" applyNumberFormat="1" applyFont="1" applyFill="1" applyBorder="1" applyAlignment="1">
      <alignment horizontal="center" vertical="center"/>
    </xf>
    <xf numFmtId="164" fontId="4" fillId="7" borderId="10" xfId="0" applyNumberFormat="1" applyFont="1" applyFill="1" applyBorder="1" applyAlignment="1">
      <alignment horizontal="center" vertical="center"/>
    </xf>
    <xf numFmtId="164" fontId="4" fillId="7" borderId="21" xfId="0" applyNumberFormat="1" applyFont="1" applyFill="1" applyBorder="1" applyAlignment="1">
      <alignment horizontal="center" vertical="center"/>
    </xf>
    <xf numFmtId="164" fontId="4" fillId="7" borderId="0" xfId="0" applyNumberFormat="1" applyFont="1" applyFill="1" applyAlignment="1">
      <alignment horizontal="center" vertical="center"/>
    </xf>
    <xf numFmtId="164" fontId="4" fillId="7" borderId="115" xfId="0" applyNumberFormat="1" applyFont="1" applyFill="1" applyBorder="1" applyAlignment="1">
      <alignment horizontal="center" vertical="center"/>
    </xf>
    <xf numFmtId="0" fontId="4" fillId="7" borderId="52" xfId="0" applyFont="1" applyFill="1" applyBorder="1" applyAlignment="1">
      <alignment horizontal="left" vertical="center" indent="1"/>
    </xf>
    <xf numFmtId="164" fontId="4" fillId="7" borderId="51" xfId="0" applyNumberFormat="1" applyFont="1" applyFill="1" applyBorder="1" applyAlignment="1">
      <alignment horizontal="center" vertical="center"/>
    </xf>
    <xf numFmtId="164" fontId="4" fillId="7" borderId="25" xfId="0" applyNumberFormat="1" applyFont="1" applyFill="1" applyBorder="1" applyAlignment="1">
      <alignment horizontal="center" vertical="center"/>
    </xf>
    <xf numFmtId="164" fontId="4" fillId="7" borderId="111" xfId="0" applyNumberFormat="1" applyFont="1" applyFill="1" applyBorder="1" applyAlignment="1">
      <alignment horizontal="center" vertical="center"/>
    </xf>
    <xf numFmtId="164" fontId="4" fillId="7" borderId="119" xfId="0" applyNumberFormat="1" applyFont="1" applyFill="1" applyBorder="1" applyAlignment="1">
      <alignment horizontal="center" vertical="center"/>
    </xf>
    <xf numFmtId="0" fontId="4" fillId="6" borderId="223" xfId="5" applyNumberFormat="1" applyFont="1" applyFill="1" applyBorder="1" applyAlignment="1" applyProtection="1">
      <alignment vertical="center"/>
      <protection locked="0"/>
    </xf>
    <xf numFmtId="0" fontId="4" fillId="6" borderId="62" xfId="5" applyNumberFormat="1" applyFont="1" applyFill="1" applyBorder="1" applyAlignment="1" applyProtection="1">
      <alignment vertical="center"/>
      <protection locked="0"/>
    </xf>
    <xf numFmtId="0" fontId="4" fillId="6" borderId="9" xfId="0" applyFont="1" applyFill="1" applyBorder="1" applyAlignment="1" applyProtection="1">
      <alignment horizontal="left" vertical="center" indent="1"/>
      <protection locked="0"/>
    </xf>
    <xf numFmtId="0" fontId="4" fillId="6" borderId="12" xfId="0" applyFont="1" applyFill="1" applyBorder="1" applyAlignment="1" applyProtection="1">
      <alignment horizontal="left" vertical="center" indent="1"/>
      <protection locked="0"/>
    </xf>
    <xf numFmtId="166" fontId="4" fillId="7" borderId="117" xfId="0" applyNumberFormat="1" applyFont="1" applyFill="1" applyBorder="1" applyAlignment="1">
      <alignment horizontal="center" vertical="center"/>
    </xf>
    <xf numFmtId="166" fontId="4" fillId="7" borderId="0" xfId="0" applyNumberFormat="1" applyFont="1" applyFill="1" applyAlignment="1">
      <alignment horizontal="center" vertical="center"/>
    </xf>
    <xf numFmtId="1" fontId="4" fillId="7" borderId="116" xfId="0" applyNumberFormat="1" applyFont="1" applyFill="1" applyBorder="1" applyAlignment="1">
      <alignment horizontal="center" vertical="center"/>
    </xf>
    <xf numFmtId="1" fontId="4" fillId="7" borderId="118" xfId="0" applyNumberFormat="1" applyFont="1" applyFill="1" applyBorder="1" applyAlignment="1">
      <alignment horizontal="center" vertical="center"/>
    </xf>
    <xf numFmtId="1" fontId="4" fillId="7" borderId="10" xfId="0" applyNumberFormat="1" applyFont="1" applyFill="1" applyBorder="1" applyAlignment="1">
      <alignment horizontal="center" vertical="center"/>
    </xf>
    <xf numFmtId="1" fontId="4" fillId="7" borderId="85" xfId="0" applyNumberFormat="1" applyFont="1" applyFill="1" applyBorder="1" applyAlignment="1">
      <alignment horizontal="center" vertical="center"/>
    </xf>
    <xf numFmtId="1" fontId="4" fillId="7" borderId="117" xfId="0" applyNumberFormat="1" applyFont="1" applyFill="1" applyBorder="1" applyAlignment="1">
      <alignment horizontal="center" vertical="center"/>
    </xf>
    <xf numFmtId="1" fontId="4" fillId="7" borderId="119" xfId="0" applyNumberFormat="1" applyFont="1" applyFill="1" applyBorder="1" applyAlignment="1">
      <alignment horizontal="center" vertical="center"/>
    </xf>
    <xf numFmtId="1" fontId="4" fillId="7" borderId="0" xfId="0" applyNumberFormat="1" applyFont="1" applyFill="1" applyAlignment="1">
      <alignment horizontal="center" vertical="center"/>
    </xf>
    <xf numFmtId="1" fontId="4" fillId="7" borderId="42" xfId="0" applyNumberFormat="1" applyFont="1" applyFill="1" applyBorder="1" applyAlignment="1">
      <alignment horizontal="center" vertical="center"/>
    </xf>
    <xf numFmtId="166" fontId="4" fillId="7" borderId="114" xfId="0" applyNumberFormat="1" applyFont="1" applyFill="1" applyBorder="1" applyAlignment="1">
      <alignment horizontal="center" vertical="center"/>
    </xf>
    <xf numFmtId="166" fontId="4" fillId="7" borderId="110" xfId="0" applyNumberFormat="1" applyFont="1" applyFill="1" applyBorder="1" applyAlignment="1">
      <alignment horizontal="center" vertical="center"/>
    </xf>
    <xf numFmtId="166" fontId="4" fillId="7" borderId="104" xfId="0" applyNumberFormat="1" applyFont="1" applyFill="1" applyBorder="1" applyAlignment="1">
      <alignment horizontal="center" vertical="center"/>
    </xf>
    <xf numFmtId="166" fontId="4" fillId="7" borderId="28" xfId="0" applyNumberFormat="1" applyFont="1" applyFill="1" applyBorder="1" applyAlignment="1">
      <alignment horizontal="center" vertical="center"/>
    </xf>
    <xf numFmtId="0" fontId="4" fillId="6" borderId="119" xfId="0" applyFont="1" applyFill="1" applyBorder="1" applyAlignment="1" applyProtection="1">
      <alignment horizontal="left" vertical="center" indent="1"/>
      <protection locked="0"/>
    </xf>
    <xf numFmtId="0" fontId="4" fillId="6" borderId="42" xfId="0" applyFont="1" applyFill="1" applyBorder="1" applyAlignment="1" applyProtection="1">
      <alignment horizontal="left" vertical="center" indent="1"/>
      <protection locked="0"/>
    </xf>
    <xf numFmtId="0" fontId="26" fillId="6" borderId="0" xfId="0" applyFont="1" applyFill="1" applyAlignment="1">
      <alignment horizontal="center" vertical="center"/>
    </xf>
    <xf numFmtId="0" fontId="26" fillId="6" borderId="142" xfId="0" applyFont="1" applyFill="1" applyBorder="1" applyAlignment="1">
      <alignment horizontal="center" vertical="center"/>
    </xf>
    <xf numFmtId="0" fontId="4" fillId="19" borderId="0" xfId="0" applyFont="1" applyFill="1" applyAlignment="1">
      <alignment horizontal="left" vertical="center" indent="2"/>
    </xf>
    <xf numFmtId="0" fontId="6" fillId="5" borderId="234" xfId="0" applyFont="1" applyFill="1" applyBorder="1" applyAlignment="1">
      <alignment horizontal="left" vertical="center" indent="1"/>
    </xf>
    <xf numFmtId="0" fontId="43" fillId="2" borderId="134" xfId="0" applyFont="1" applyFill="1" applyBorder="1" applyAlignment="1">
      <alignment horizontal="center" vertical="center"/>
    </xf>
    <xf numFmtId="0" fontId="43" fillId="6" borderId="0" xfId="0" applyFont="1" applyFill="1" applyAlignment="1">
      <alignment horizontal="center" vertical="center"/>
    </xf>
    <xf numFmtId="0" fontId="43" fillId="2" borderId="0" xfId="0" applyFont="1" applyFill="1" applyAlignment="1">
      <alignment horizontal="center" vertical="center"/>
    </xf>
    <xf numFmtId="0" fontId="43" fillId="6" borderId="143" xfId="0" applyFont="1" applyFill="1" applyBorder="1" applyAlignment="1">
      <alignment horizontal="center" vertical="center"/>
    </xf>
    <xf numFmtId="0" fontId="43" fillId="2" borderId="143" xfId="0" applyFont="1" applyFill="1" applyBorder="1" applyAlignment="1">
      <alignment horizontal="center" vertical="center"/>
    </xf>
    <xf numFmtId="0" fontId="43" fillId="2" borderId="141" xfId="0" applyFont="1" applyFill="1" applyBorder="1" applyAlignment="1">
      <alignment horizontal="center" vertical="center"/>
    </xf>
    <xf numFmtId="0" fontId="24" fillId="2" borderId="237" xfId="0" applyFont="1" applyFill="1" applyBorder="1" applyAlignment="1">
      <alignment horizontal="center" vertical="center"/>
    </xf>
    <xf numFmtId="0" fontId="43" fillId="2" borderId="238" xfId="0" applyFont="1" applyFill="1" applyBorder="1" applyAlignment="1">
      <alignment horizontal="center" vertical="center"/>
    </xf>
    <xf numFmtId="0" fontId="24" fillId="6" borderId="239" xfId="0" applyFont="1" applyFill="1" applyBorder="1" applyAlignment="1">
      <alignment horizontal="center" vertical="center"/>
    </xf>
    <xf numFmtId="0" fontId="43" fillId="6" borderId="240" xfId="0" applyFont="1" applyFill="1" applyBorder="1" applyAlignment="1">
      <alignment horizontal="center" vertical="center"/>
    </xf>
    <xf numFmtId="0" fontId="24" fillId="2" borderId="239" xfId="0" applyFont="1" applyFill="1" applyBorder="1" applyAlignment="1">
      <alignment horizontal="center" vertical="center"/>
    </xf>
    <xf numFmtId="0" fontId="43" fillId="2" borderId="240" xfId="0" applyFont="1" applyFill="1" applyBorder="1" applyAlignment="1">
      <alignment horizontal="center" vertical="center"/>
    </xf>
    <xf numFmtId="0" fontId="26" fillId="2" borderId="241" xfId="0" applyFont="1" applyFill="1" applyBorder="1" applyAlignment="1">
      <alignment horizontal="center" vertical="center"/>
    </xf>
    <xf numFmtId="0" fontId="26" fillId="6" borderId="242" xfId="0" applyFont="1" applyFill="1" applyBorder="1" applyAlignment="1">
      <alignment horizontal="center" vertical="center"/>
    </xf>
    <xf numFmtId="0" fontId="26" fillId="2" borderId="242" xfId="0" applyFont="1" applyFill="1" applyBorder="1" applyAlignment="1">
      <alignment horizontal="center" vertical="center"/>
    </xf>
    <xf numFmtId="0" fontId="43" fillId="2" borderId="243" xfId="0" applyFont="1" applyFill="1" applyBorder="1" applyAlignment="1">
      <alignment horizontal="center" vertical="center"/>
    </xf>
    <xf numFmtId="0" fontId="43" fillId="6" borderId="244" xfId="0" applyFont="1" applyFill="1" applyBorder="1" applyAlignment="1">
      <alignment horizontal="center" vertical="center"/>
    </xf>
    <xf numFmtId="0" fontId="43" fillId="2" borderId="244" xfId="0" applyFont="1" applyFill="1" applyBorder="1" applyAlignment="1">
      <alignment horizontal="center" vertical="center"/>
    </xf>
    <xf numFmtId="0" fontId="26" fillId="6" borderId="245" xfId="0" applyFont="1" applyFill="1" applyBorder="1" applyAlignment="1">
      <alignment horizontal="center" vertical="center"/>
    </xf>
    <xf numFmtId="0" fontId="43" fillId="6" borderId="246" xfId="0" applyFont="1" applyFill="1" applyBorder="1" applyAlignment="1">
      <alignment horizontal="center" vertical="center"/>
    </xf>
    <xf numFmtId="0" fontId="26" fillId="2" borderId="245" xfId="0" applyFont="1" applyFill="1" applyBorder="1" applyAlignment="1">
      <alignment horizontal="center" vertical="center"/>
    </xf>
    <xf numFmtId="0" fontId="43" fillId="2" borderId="246" xfId="0" applyFont="1" applyFill="1" applyBorder="1" applyAlignment="1">
      <alignment horizontal="center" vertical="center"/>
    </xf>
    <xf numFmtId="0" fontId="26" fillId="54" borderId="241" xfId="0" applyFont="1" applyFill="1" applyBorder="1" applyAlignment="1">
      <alignment horizontal="center" vertical="center"/>
    </xf>
    <xf numFmtId="0" fontId="43" fillId="54" borderId="243" xfId="0" applyFont="1" applyFill="1" applyBorder="1" applyAlignment="1">
      <alignment horizontal="center" vertical="center"/>
    </xf>
    <xf numFmtId="0" fontId="26" fillId="55" borderId="242" xfId="0" applyFont="1" applyFill="1" applyBorder="1" applyAlignment="1">
      <alignment horizontal="center" vertical="center"/>
    </xf>
    <xf numFmtId="0" fontId="43" fillId="55" borderId="244" xfId="0" applyFont="1" applyFill="1" applyBorder="1" applyAlignment="1">
      <alignment horizontal="center" vertical="center"/>
    </xf>
    <xf numFmtId="0" fontId="26" fillId="54" borderId="242" xfId="0" applyFont="1" applyFill="1" applyBorder="1" applyAlignment="1">
      <alignment horizontal="center" vertical="center"/>
    </xf>
    <xf numFmtId="0" fontId="43" fillId="54" borderId="244" xfId="0" applyFont="1" applyFill="1" applyBorder="1" applyAlignment="1">
      <alignment horizontal="center" vertical="center"/>
    </xf>
    <xf numFmtId="165" fontId="6" fillId="5" borderId="106" xfId="0" applyNumberFormat="1" applyFont="1" applyFill="1" applyBorder="1" applyAlignment="1">
      <alignment horizontal="center" vertical="center"/>
    </xf>
    <xf numFmtId="2" fontId="4" fillId="6" borderId="52" xfId="0" applyNumberFormat="1" applyFont="1" applyFill="1" applyBorder="1" applyAlignment="1" applyProtection="1">
      <alignment horizontal="center" vertical="center"/>
      <protection locked="0"/>
    </xf>
    <xf numFmtId="165" fontId="6" fillId="5" borderId="52" xfId="0" applyNumberFormat="1" applyFont="1" applyFill="1" applyBorder="1" applyAlignment="1">
      <alignment horizontal="center" vertical="center"/>
    </xf>
    <xf numFmtId="165" fontId="6" fillId="5" borderId="51" xfId="0" applyNumberFormat="1" applyFont="1" applyFill="1" applyBorder="1" applyAlignment="1">
      <alignment horizontal="center" vertical="center"/>
    </xf>
    <xf numFmtId="165" fontId="6" fillId="5" borderId="107" xfId="0" applyNumberFormat="1" applyFont="1" applyFill="1" applyBorder="1" applyAlignment="1">
      <alignment horizontal="center" vertical="center"/>
    </xf>
    <xf numFmtId="2" fontId="4" fillId="6" borderId="85" xfId="0" applyNumberFormat="1" applyFont="1" applyFill="1" applyBorder="1" applyAlignment="1" applyProtection="1">
      <alignment horizontal="center" vertical="center"/>
      <protection locked="0"/>
    </xf>
    <xf numFmtId="2" fontId="4" fillId="6" borderId="39" xfId="0" applyNumberFormat="1" applyFont="1" applyFill="1" applyBorder="1" applyAlignment="1" applyProtection="1">
      <alignment horizontal="center" vertical="center"/>
      <protection locked="0"/>
    </xf>
    <xf numFmtId="165" fontId="6" fillId="5" borderId="13" xfId="0" applyNumberFormat="1" applyFont="1" applyFill="1" applyBorder="1" applyAlignment="1">
      <alignment horizontal="center" vertical="center"/>
    </xf>
    <xf numFmtId="9" fontId="4" fillId="6" borderId="109" xfId="5" applyFont="1" applyFill="1" applyBorder="1" applyAlignment="1" applyProtection="1">
      <alignment horizontal="center" vertical="center"/>
      <protection locked="0"/>
    </xf>
    <xf numFmtId="9" fontId="4" fillId="6" borderId="51" xfId="5" applyFont="1" applyFill="1" applyBorder="1" applyAlignment="1" applyProtection="1">
      <alignment horizontal="center" vertical="center"/>
      <protection locked="0"/>
    </xf>
    <xf numFmtId="9" fontId="4" fillId="6" borderId="247" xfId="5" applyFont="1" applyFill="1" applyBorder="1" applyAlignment="1" applyProtection="1">
      <alignment horizontal="center" vertical="center"/>
      <protection locked="0"/>
    </xf>
    <xf numFmtId="0" fontId="6" fillId="5" borderId="248" xfId="0" applyFont="1" applyFill="1" applyBorder="1" applyAlignment="1">
      <alignment horizontal="left" vertical="center" indent="1"/>
    </xf>
    <xf numFmtId="0" fontId="6" fillId="5" borderId="250" xfId="0" applyFont="1" applyFill="1" applyBorder="1" applyAlignment="1">
      <alignment horizontal="left" vertical="center" indent="1"/>
    </xf>
    <xf numFmtId="165" fontId="6" fillId="5" borderId="253" xfId="0" applyNumberFormat="1" applyFont="1" applyFill="1" applyBorder="1" applyAlignment="1">
      <alignment horizontal="center" vertical="center"/>
    </xf>
    <xf numFmtId="165" fontId="6" fillId="5" borderId="254" xfId="0" applyNumberFormat="1" applyFont="1" applyFill="1" applyBorder="1" applyAlignment="1">
      <alignment horizontal="center" vertical="center"/>
    </xf>
    <xf numFmtId="2" fontId="4" fillId="11" borderId="184" xfId="0" applyNumberFormat="1" applyFont="1" applyFill="1" applyBorder="1" applyAlignment="1">
      <alignment horizontal="center" vertical="center"/>
    </xf>
    <xf numFmtId="1" fontId="4" fillId="11" borderId="163" xfId="0" applyNumberFormat="1" applyFont="1" applyFill="1" applyBorder="1" applyAlignment="1">
      <alignment horizontal="center" vertical="center"/>
    </xf>
    <xf numFmtId="0" fontId="23" fillId="19" borderId="186" xfId="0" applyFont="1" applyFill="1" applyBorder="1" applyAlignment="1">
      <alignment horizontal="left" vertical="center" indent="1"/>
    </xf>
    <xf numFmtId="0" fontId="4" fillId="19" borderId="256" xfId="0" applyFont="1" applyFill="1" applyBorder="1" applyAlignment="1">
      <alignment horizontal="left" vertical="center"/>
    </xf>
    <xf numFmtId="0" fontId="4" fillId="19" borderId="258" xfId="0" applyFont="1" applyFill="1" applyBorder="1" applyAlignment="1">
      <alignment horizontal="left" vertical="center"/>
    </xf>
    <xf numFmtId="0" fontId="23" fillId="19" borderId="187" xfId="0" applyFont="1" applyFill="1" applyBorder="1" applyAlignment="1">
      <alignment horizontal="left" vertical="center" indent="1"/>
    </xf>
    <xf numFmtId="0" fontId="23" fillId="19" borderId="255" xfId="0" applyFont="1" applyFill="1" applyBorder="1" applyAlignment="1">
      <alignment horizontal="left" vertical="center" indent="1"/>
    </xf>
    <xf numFmtId="0" fontId="23" fillId="19" borderId="257" xfId="0" applyFont="1" applyFill="1" applyBorder="1" applyAlignment="1">
      <alignment horizontal="left" vertical="center" indent="1"/>
    </xf>
    <xf numFmtId="0" fontId="23" fillId="19" borderId="258" xfId="0" applyFont="1" applyFill="1" applyBorder="1" applyAlignment="1">
      <alignment horizontal="left" vertical="center" indent="1"/>
    </xf>
    <xf numFmtId="0" fontId="23" fillId="19" borderId="0" xfId="0" applyFont="1" applyFill="1" applyAlignment="1">
      <alignment horizontal="left" vertical="center" indent="1"/>
    </xf>
    <xf numFmtId="0" fontId="6" fillId="5" borderId="259" xfId="0" applyFont="1" applyFill="1" applyBorder="1" applyAlignment="1">
      <alignment horizontal="left" vertical="center" indent="1"/>
    </xf>
    <xf numFmtId="0" fontId="4" fillId="6" borderId="260" xfId="0" applyFont="1" applyFill="1" applyBorder="1" applyAlignment="1" applyProtection="1">
      <alignment horizontal="left" vertical="center" indent="1"/>
      <protection locked="0"/>
    </xf>
    <xf numFmtId="0" fontId="4" fillId="6" borderId="261" xfId="0" applyFont="1" applyFill="1" applyBorder="1" applyAlignment="1" applyProtection="1">
      <alignment horizontal="left" vertical="center" indent="1"/>
      <protection locked="0"/>
    </xf>
    <xf numFmtId="0" fontId="4" fillId="19" borderId="263" xfId="0" applyFont="1" applyFill="1" applyBorder="1" applyAlignment="1">
      <alignment horizontal="left" vertical="center"/>
    </xf>
    <xf numFmtId="0" fontId="4" fillId="19" borderId="265" xfId="0" applyFont="1" applyFill="1" applyBorder="1" applyAlignment="1">
      <alignment horizontal="left" vertical="center"/>
    </xf>
    <xf numFmtId="0" fontId="4" fillId="19" borderId="268" xfId="0" applyFont="1" applyFill="1" applyBorder="1" applyAlignment="1">
      <alignment horizontal="left" vertical="center"/>
    </xf>
    <xf numFmtId="0" fontId="23" fillId="19" borderId="264" xfId="0" applyFont="1" applyFill="1" applyBorder="1" applyAlignment="1">
      <alignment horizontal="left" vertical="center" indent="1"/>
    </xf>
    <xf numFmtId="0" fontId="23" fillId="19" borderId="267" xfId="0" applyFont="1" applyFill="1" applyBorder="1" applyAlignment="1">
      <alignment horizontal="left" vertical="center" indent="1"/>
    </xf>
    <xf numFmtId="0" fontId="23" fillId="19" borderId="49" xfId="0" applyFont="1" applyFill="1" applyBorder="1" applyAlignment="1">
      <alignment horizontal="left" vertical="center" indent="1"/>
    </xf>
    <xf numFmtId="0" fontId="23" fillId="19" borderId="49" xfId="0" applyFont="1" applyFill="1" applyBorder="1" applyAlignment="1">
      <alignment horizontal="left" vertical="center"/>
    </xf>
    <xf numFmtId="0" fontId="44" fillId="19" borderId="0" xfId="0" applyFont="1" applyFill="1" applyAlignment="1">
      <alignment horizontal="left" vertical="center" indent="1"/>
    </xf>
    <xf numFmtId="0" fontId="23" fillId="19" borderId="0" xfId="0" applyFont="1" applyFill="1" applyAlignment="1">
      <alignment horizontal="left" vertical="center"/>
    </xf>
    <xf numFmtId="0" fontId="23" fillId="19" borderId="52" xfId="0" applyFont="1" applyFill="1" applyBorder="1" applyAlignment="1">
      <alignment horizontal="left" vertical="center"/>
    </xf>
    <xf numFmtId="0" fontId="23" fillId="19" borderId="52" xfId="0" applyFont="1" applyFill="1" applyBorder="1" applyAlignment="1">
      <alignment horizontal="right" vertical="center" indent="1"/>
    </xf>
    <xf numFmtId="0" fontId="23" fillId="19" borderId="50" xfId="0" applyFont="1" applyFill="1" applyBorder="1" applyAlignment="1">
      <alignment horizontal="right" vertical="center" indent="1"/>
    </xf>
    <xf numFmtId="9" fontId="4" fillId="6" borderId="120" xfId="5" applyFont="1" applyFill="1" applyBorder="1" applyAlignment="1" applyProtection="1">
      <alignment horizontal="center" vertical="center"/>
      <protection locked="0"/>
    </xf>
    <xf numFmtId="1" fontId="4" fillId="6" borderId="121" xfId="0" applyNumberFormat="1" applyFont="1" applyFill="1" applyBorder="1" applyAlignment="1" applyProtection="1">
      <alignment horizontal="center" vertical="center"/>
      <protection locked="0"/>
    </xf>
    <xf numFmtId="9" fontId="4" fillId="6" borderId="269" xfId="5" applyFont="1" applyFill="1" applyBorder="1" applyAlignment="1" applyProtection="1">
      <alignment horizontal="center" vertical="center"/>
      <protection locked="0"/>
    </xf>
    <xf numFmtId="9" fontId="4" fillId="6" borderId="42" xfId="5" applyFont="1" applyFill="1" applyBorder="1" applyAlignment="1" applyProtection="1">
      <alignment horizontal="center" vertical="center"/>
      <protection locked="0"/>
    </xf>
    <xf numFmtId="9" fontId="4" fillId="6" borderId="179" xfId="5" applyFont="1" applyFill="1" applyBorder="1" applyAlignment="1" applyProtection="1">
      <alignment horizontal="center" vertical="center"/>
      <protection locked="0"/>
    </xf>
    <xf numFmtId="1" fontId="4" fillId="6" borderId="45" xfId="0" applyNumberFormat="1" applyFont="1" applyFill="1" applyBorder="1" applyAlignment="1" applyProtection="1">
      <alignment horizontal="center" vertical="center"/>
      <protection locked="0"/>
    </xf>
    <xf numFmtId="9" fontId="4" fillId="6" borderId="39" xfId="5" applyFont="1" applyFill="1" applyBorder="1" applyAlignment="1" applyProtection="1">
      <alignment horizontal="center" vertical="center"/>
      <protection locked="0"/>
    </xf>
    <xf numFmtId="49" fontId="6" fillId="16" borderId="270" xfId="0" applyNumberFormat="1" applyFont="1" applyFill="1" applyBorder="1" applyAlignment="1">
      <alignment horizontal="left" vertical="center" indent="1"/>
    </xf>
    <xf numFmtId="49" fontId="6" fillId="16" borderId="271" xfId="0" applyNumberFormat="1" applyFont="1" applyFill="1" applyBorder="1" applyAlignment="1">
      <alignment horizontal="left" vertical="center" indent="1"/>
    </xf>
    <xf numFmtId="49" fontId="6" fillId="16" borderId="272" xfId="0" applyNumberFormat="1" applyFont="1" applyFill="1" applyBorder="1" applyAlignment="1">
      <alignment horizontal="left" vertical="center" indent="1"/>
    </xf>
    <xf numFmtId="0" fontId="6" fillId="16" borderId="150" xfId="0" applyFont="1" applyFill="1" applyBorder="1" applyAlignment="1">
      <alignment horizontal="center" vertical="center"/>
    </xf>
    <xf numFmtId="0" fontId="6" fillId="16" borderId="147" xfId="0" applyFont="1" applyFill="1" applyBorder="1" applyAlignment="1">
      <alignment horizontal="center" vertical="center"/>
    </xf>
    <xf numFmtId="0" fontId="6" fillId="16" borderId="148" xfId="0" applyFont="1" applyFill="1" applyBorder="1" applyAlignment="1">
      <alignment horizontal="center" vertical="center"/>
    </xf>
    <xf numFmtId="0" fontId="6" fillId="16" borderId="273" xfId="0" applyFont="1" applyFill="1" applyBorder="1" applyAlignment="1">
      <alignment horizontal="left" vertical="center" indent="1"/>
    </xf>
    <xf numFmtId="9" fontId="4" fillId="7" borderId="274" xfId="5" applyFont="1" applyFill="1" applyBorder="1" applyAlignment="1" applyProtection="1">
      <alignment vertical="center"/>
    </xf>
    <xf numFmtId="0" fontId="6" fillId="16" borderId="250" xfId="0" applyFont="1" applyFill="1" applyBorder="1" applyAlignment="1">
      <alignment horizontal="left" vertical="center" indent="1"/>
    </xf>
    <xf numFmtId="9" fontId="4" fillId="7" borderId="252" xfId="5" applyFont="1" applyFill="1" applyBorder="1" applyAlignment="1" applyProtection="1">
      <alignment vertical="center"/>
    </xf>
    <xf numFmtId="0" fontId="6" fillId="16" borderId="275" xfId="0" applyFont="1" applyFill="1" applyBorder="1" applyAlignment="1">
      <alignment horizontal="left" vertical="center" indent="1"/>
    </xf>
    <xf numFmtId="9" fontId="4" fillId="7" borderId="276" xfId="5" applyFont="1" applyFill="1" applyBorder="1" applyAlignment="1" applyProtection="1">
      <alignment vertical="center"/>
    </xf>
    <xf numFmtId="0" fontId="6" fillId="16" borderId="111" xfId="0" quotePrefix="1" applyFont="1" applyFill="1" applyBorder="1" applyAlignment="1">
      <alignment horizontal="left" vertical="center" indent="1"/>
    </xf>
    <xf numFmtId="0" fontId="6" fillId="16" borderId="279" xfId="0" applyFont="1" applyFill="1" applyBorder="1" applyAlignment="1">
      <alignment horizontal="left" vertical="center" indent="1"/>
    </xf>
    <xf numFmtId="0" fontId="6" fillId="16" borderId="280" xfId="0" applyFont="1" applyFill="1" applyBorder="1" applyAlignment="1">
      <alignment horizontal="left" vertical="center" indent="1"/>
    </xf>
    <xf numFmtId="0" fontId="6" fillId="16" borderId="277" xfId="0" quotePrefix="1" applyFont="1" applyFill="1" applyBorder="1" applyAlignment="1">
      <alignment horizontal="center" vertical="center"/>
    </xf>
    <xf numFmtId="0" fontId="6" fillId="16" borderId="278" xfId="0" quotePrefix="1" applyFont="1" applyFill="1" applyBorder="1" applyAlignment="1">
      <alignment horizontal="left" vertical="center" indent="1"/>
    </xf>
    <xf numFmtId="0" fontId="6" fillId="16" borderId="281" xfId="0" applyFont="1" applyFill="1" applyBorder="1" applyAlignment="1">
      <alignment horizontal="center" vertical="center"/>
    </xf>
    <xf numFmtId="0" fontId="6" fillId="16" borderId="282" xfId="0" applyFont="1" applyFill="1" applyBorder="1" applyAlignment="1">
      <alignment horizontal="center" vertical="center"/>
    </xf>
    <xf numFmtId="0" fontId="6" fillId="16" borderId="110" xfId="0" quotePrefix="1" applyFont="1" applyFill="1" applyBorder="1" applyAlignment="1">
      <alignment horizontal="center" vertical="center"/>
    </xf>
    <xf numFmtId="0" fontId="6" fillId="16" borderId="42" xfId="0" quotePrefix="1" applyFont="1" applyFill="1" applyBorder="1" applyAlignment="1">
      <alignment horizontal="center" vertical="center"/>
    </xf>
    <xf numFmtId="0" fontId="6" fillId="16" borderId="41" xfId="0" applyFont="1" applyFill="1" applyBorder="1" applyAlignment="1">
      <alignment horizontal="center" vertical="center"/>
    </xf>
    <xf numFmtId="9" fontId="4" fillId="7" borderId="0" xfId="5" applyFont="1" applyFill="1" applyAlignment="1">
      <alignment horizontal="center" vertical="center"/>
    </xf>
    <xf numFmtId="9" fontId="4" fillId="7" borderId="277" xfId="5" applyFont="1" applyFill="1" applyBorder="1" applyAlignment="1">
      <alignment horizontal="center" vertical="center"/>
    </xf>
    <xf numFmtId="9" fontId="4" fillId="7" borderId="278" xfId="5" applyFont="1" applyFill="1" applyBorder="1" applyAlignment="1">
      <alignment horizontal="center" vertical="center"/>
    </xf>
    <xf numFmtId="9" fontId="4" fillId="7" borderId="110" xfId="5" applyFont="1" applyFill="1" applyBorder="1" applyAlignment="1">
      <alignment horizontal="center" vertical="center"/>
    </xf>
    <xf numFmtId="9" fontId="4" fillId="7" borderId="111" xfId="5" applyFont="1" applyFill="1" applyBorder="1" applyAlignment="1">
      <alignment horizontal="center" vertical="center"/>
    </xf>
    <xf numFmtId="9" fontId="4" fillId="7" borderId="42" xfId="5" applyFont="1" applyFill="1" applyBorder="1" applyAlignment="1">
      <alignment horizontal="center" vertical="center"/>
    </xf>
    <xf numFmtId="9" fontId="4" fillId="7" borderId="59" xfId="5" applyFont="1" applyFill="1" applyBorder="1" applyAlignment="1" applyProtection="1">
      <alignment horizontal="left" vertical="center" indent="1"/>
    </xf>
    <xf numFmtId="1" fontId="4" fillId="7" borderId="62" xfId="0" applyNumberFormat="1" applyFont="1" applyFill="1" applyBorder="1" applyAlignment="1">
      <alignment horizontal="left" vertical="center" indent="1"/>
    </xf>
    <xf numFmtId="0" fontId="23" fillId="19" borderId="262" xfId="0" applyFont="1" applyFill="1" applyBorder="1" applyAlignment="1">
      <alignment horizontal="left" vertical="center" indent="1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>
      <alignment horizontal="right"/>
    </xf>
    <xf numFmtId="170" fontId="4" fillId="6" borderId="63" xfId="5" applyNumberFormat="1" applyFont="1" applyFill="1" applyBorder="1" applyAlignment="1" applyProtection="1">
      <alignment horizontal="center" vertical="center"/>
      <protection locked="0"/>
    </xf>
    <xf numFmtId="170" fontId="4" fillId="6" borderId="8" xfId="5" applyNumberFormat="1" applyFont="1" applyFill="1" applyBorder="1" applyAlignment="1" applyProtection="1">
      <alignment horizontal="center" vertical="center"/>
      <protection locked="0"/>
    </xf>
    <xf numFmtId="170" fontId="4" fillId="6" borderId="6" xfId="5" applyNumberFormat="1" applyFont="1" applyFill="1" applyBorder="1" applyAlignment="1" applyProtection="1">
      <alignment horizontal="center" vertical="center"/>
      <protection locked="0"/>
    </xf>
    <xf numFmtId="170" fontId="4" fillId="6" borderId="25" xfId="5" applyNumberFormat="1" applyFont="1" applyFill="1" applyBorder="1" applyAlignment="1" applyProtection="1">
      <alignment horizontal="center" vertical="center"/>
      <protection locked="0"/>
    </xf>
    <xf numFmtId="170" fontId="4" fillId="6" borderId="13" xfId="5" applyNumberFormat="1" applyFont="1" applyFill="1" applyBorder="1" applyAlignment="1" applyProtection="1">
      <alignment horizontal="center" vertical="center"/>
      <protection locked="0"/>
    </xf>
    <xf numFmtId="170" fontId="4" fillId="6" borderId="12" xfId="5" applyNumberFormat="1" applyFont="1" applyFill="1" applyBorder="1" applyAlignment="1" applyProtection="1">
      <alignment horizontal="center" vertical="center"/>
      <protection locked="0"/>
    </xf>
    <xf numFmtId="170" fontId="4" fillId="6" borderId="23" xfId="5" applyNumberFormat="1" applyFont="1" applyFill="1" applyBorder="1" applyAlignment="1" applyProtection="1">
      <alignment horizontal="center" vertical="center"/>
      <protection locked="0"/>
    </xf>
    <xf numFmtId="170" fontId="4" fillId="6" borderId="16" xfId="5" applyNumberFormat="1" applyFont="1" applyFill="1" applyBorder="1" applyAlignment="1" applyProtection="1">
      <alignment horizontal="center" vertical="center"/>
      <protection locked="0"/>
    </xf>
    <xf numFmtId="170" fontId="4" fillId="6" borderId="14" xfId="5" applyNumberFormat="1" applyFont="1" applyFill="1" applyBorder="1" applyAlignment="1" applyProtection="1">
      <alignment horizontal="center" vertical="center"/>
      <protection locked="0"/>
    </xf>
    <xf numFmtId="10" fontId="4" fillId="6" borderId="63" xfId="5" applyNumberFormat="1" applyFont="1" applyFill="1" applyBorder="1" applyAlignment="1" applyProtection="1">
      <alignment horizontal="center" vertical="center"/>
      <protection locked="0"/>
    </xf>
    <xf numFmtId="10" fontId="4" fillId="6" borderId="8" xfId="5" applyNumberFormat="1" applyFont="1" applyFill="1" applyBorder="1" applyAlignment="1" applyProtection="1">
      <alignment horizontal="center" vertical="center"/>
      <protection locked="0"/>
    </xf>
    <xf numFmtId="10" fontId="4" fillId="6" borderId="6" xfId="5" applyNumberFormat="1" applyFont="1" applyFill="1" applyBorder="1" applyAlignment="1" applyProtection="1">
      <alignment horizontal="center" vertical="center"/>
      <protection locked="0"/>
    </xf>
    <xf numFmtId="10" fontId="4" fillId="6" borderId="25" xfId="5" quotePrefix="1" applyNumberFormat="1" applyFont="1" applyFill="1" applyBorder="1" applyAlignment="1" applyProtection="1">
      <alignment horizontal="center" vertical="center"/>
      <protection locked="0"/>
    </xf>
    <xf numFmtId="10" fontId="4" fillId="6" borderId="13" xfId="5" applyNumberFormat="1" applyFont="1" applyFill="1" applyBorder="1" applyAlignment="1" applyProtection="1">
      <alignment horizontal="center" vertical="center"/>
      <protection locked="0"/>
    </xf>
    <xf numFmtId="10" fontId="4" fillId="6" borderId="12" xfId="5" applyNumberFormat="1" applyFont="1" applyFill="1" applyBorder="1" applyAlignment="1" applyProtection="1">
      <alignment horizontal="center" vertical="center"/>
      <protection locked="0"/>
    </xf>
    <xf numFmtId="10" fontId="4" fillId="6" borderId="23" xfId="5" applyNumberFormat="1" applyFont="1" applyFill="1" applyBorder="1" applyAlignment="1" applyProtection="1">
      <alignment horizontal="center" vertical="center"/>
      <protection locked="0"/>
    </xf>
    <xf numFmtId="10" fontId="4" fillId="6" borderId="16" xfId="5" applyNumberFormat="1" applyFont="1" applyFill="1" applyBorder="1" applyAlignment="1" applyProtection="1">
      <alignment horizontal="center" vertical="center"/>
      <protection locked="0"/>
    </xf>
    <xf numFmtId="10" fontId="4" fillId="6" borderId="14" xfId="5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locked="0"/>
    </xf>
    <xf numFmtId="2" fontId="0" fillId="0" borderId="0" xfId="0" applyNumberFormat="1" applyAlignment="1">
      <alignment horizontal="right"/>
    </xf>
    <xf numFmtId="166" fontId="0" fillId="0" borderId="0" xfId="0" applyNumberFormat="1" applyAlignment="1" applyProtection="1">
      <alignment horizontal="right"/>
      <protection locked="0"/>
    </xf>
    <xf numFmtId="166" fontId="0" fillId="0" borderId="0" xfId="0" applyNumberFormat="1" applyAlignment="1">
      <alignment horizontal="right"/>
    </xf>
    <xf numFmtId="0" fontId="11" fillId="8" borderId="21" xfId="0" applyFont="1" applyFill="1" applyBorder="1" applyAlignment="1">
      <alignment horizontal="center" vertical="center"/>
    </xf>
    <xf numFmtId="0" fontId="11" fillId="8" borderId="11" xfId="0" applyFont="1" applyFill="1" applyBorder="1" applyAlignment="1">
      <alignment horizontal="center" vertical="center"/>
    </xf>
    <xf numFmtId="0" fontId="11" fillId="8" borderId="9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center" vertical="center"/>
    </xf>
    <xf numFmtId="0" fontId="4" fillId="6" borderId="283" xfId="0" applyFont="1" applyFill="1" applyBorder="1" applyAlignment="1" applyProtection="1">
      <alignment horizontal="left" vertical="center" indent="1"/>
      <protection locked="0"/>
    </xf>
    <xf numFmtId="0" fontId="4" fillId="6" borderId="149" xfId="0" applyFont="1" applyFill="1" applyBorder="1" applyAlignment="1" applyProtection="1">
      <alignment horizontal="left" vertical="center" indent="1"/>
      <protection locked="0"/>
    </xf>
    <xf numFmtId="0" fontId="0" fillId="2" borderId="0" xfId="0" applyFill="1" applyProtection="1">
      <protection locked="0"/>
    </xf>
    <xf numFmtId="0" fontId="45" fillId="0" borderId="0" xfId="0" applyFont="1"/>
    <xf numFmtId="0" fontId="46" fillId="15" borderId="128" xfId="0" applyFont="1" applyFill="1" applyBorder="1" applyAlignment="1">
      <alignment vertical="center"/>
    </xf>
    <xf numFmtId="0" fontId="4" fillId="2" borderId="48" xfId="0" applyFont="1" applyFill="1" applyBorder="1" applyAlignment="1">
      <alignment horizontal="left" vertical="center" indent="1"/>
    </xf>
    <xf numFmtId="0" fontId="4" fillId="2" borderId="53" xfId="0" applyFont="1" applyFill="1" applyBorder="1" applyAlignment="1">
      <alignment horizontal="left" vertical="center" indent="1"/>
    </xf>
    <xf numFmtId="0" fontId="9" fillId="2" borderId="51" xfId="0" applyFont="1" applyFill="1" applyBorder="1" applyAlignment="1">
      <alignment horizontal="left" vertical="center" indent="1"/>
    </xf>
    <xf numFmtId="0" fontId="10" fillId="2" borderId="51" xfId="0" applyFont="1" applyFill="1" applyBorder="1" applyAlignment="1">
      <alignment horizontal="left" vertical="center" indent="2"/>
    </xf>
    <xf numFmtId="0" fontId="11" fillId="2" borderId="51" xfId="0" applyFont="1" applyFill="1" applyBorder="1" applyAlignment="1">
      <alignment horizontal="left" vertical="center" indent="4"/>
    </xf>
    <xf numFmtId="0" fontId="4" fillId="19" borderId="48" xfId="0" applyFont="1" applyFill="1" applyBorder="1" applyAlignment="1">
      <alignment horizontal="left" vertical="center" indent="2"/>
    </xf>
    <xf numFmtId="0" fontId="4" fillId="19" borderId="50" xfId="0" applyFont="1" applyFill="1" applyBorder="1" applyAlignment="1">
      <alignment horizontal="left" vertical="center"/>
    </xf>
    <xf numFmtId="0" fontId="6" fillId="16" borderId="288" xfId="0" applyFont="1" applyFill="1" applyBorder="1" applyAlignment="1">
      <alignment horizontal="left" vertical="center" indent="1"/>
    </xf>
    <xf numFmtId="0" fontId="17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/>
    </xf>
    <xf numFmtId="0" fontId="4" fillId="0" borderId="219" xfId="0" applyFont="1" applyBorder="1" applyAlignment="1" applyProtection="1">
      <alignment horizontal="right" vertical="center" indent="1"/>
      <protection locked="0"/>
    </xf>
    <xf numFmtId="0" fontId="4" fillId="0" borderId="221" xfId="0" applyFont="1" applyBorder="1" applyAlignment="1" applyProtection="1">
      <alignment horizontal="right" vertical="center" indent="1"/>
      <protection locked="0"/>
    </xf>
    <xf numFmtId="0" fontId="6" fillId="16" borderId="220" xfId="0" applyFont="1" applyFill="1" applyBorder="1" applyAlignment="1">
      <alignment horizontal="left" vertical="center" indent="1"/>
    </xf>
    <xf numFmtId="0" fontId="6" fillId="5" borderId="289" xfId="0" applyFont="1" applyFill="1" applyBorder="1" applyAlignment="1">
      <alignment horizontal="left" vertical="center" indent="1"/>
    </xf>
    <xf numFmtId="0" fontId="6" fillId="5" borderId="105" xfId="0" applyFont="1" applyFill="1" applyBorder="1" applyAlignment="1">
      <alignment horizontal="center" vertical="center"/>
    </xf>
    <xf numFmtId="0" fontId="6" fillId="5" borderId="160" xfId="0" applyFont="1" applyFill="1" applyBorder="1" applyAlignment="1">
      <alignment horizontal="center" vertical="center"/>
    </xf>
    <xf numFmtId="0" fontId="6" fillId="5" borderId="161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/>
    </xf>
    <xf numFmtId="0" fontId="4" fillId="19" borderId="187" xfId="0" applyFont="1" applyFill="1" applyBorder="1" applyAlignment="1">
      <alignment horizontal="left" vertical="center"/>
    </xf>
    <xf numFmtId="0" fontId="6" fillId="5" borderId="290" xfId="0" applyFont="1" applyFill="1" applyBorder="1" applyAlignment="1">
      <alignment horizontal="left" vertical="center" indent="1"/>
    </xf>
    <xf numFmtId="0" fontId="6" fillId="5" borderId="57" xfId="0" applyFont="1" applyFill="1" applyBorder="1" applyAlignment="1">
      <alignment horizontal="left" vertical="center" indent="1"/>
    </xf>
    <xf numFmtId="0" fontId="47" fillId="5" borderId="290" xfId="0" applyFont="1" applyFill="1" applyBorder="1" applyAlignment="1">
      <alignment horizontal="left" vertical="center" indent="1"/>
    </xf>
    <xf numFmtId="0" fontId="47" fillId="5" borderId="56" xfId="0" applyFont="1" applyFill="1" applyBorder="1" applyAlignment="1">
      <alignment horizontal="left" vertical="center" indent="1"/>
    </xf>
    <xf numFmtId="0" fontId="47" fillId="5" borderId="57" xfId="0" applyFont="1" applyFill="1" applyBorder="1" applyAlignment="1">
      <alignment horizontal="left" vertical="center" indent="1"/>
    </xf>
    <xf numFmtId="0" fontId="4" fillId="19" borderId="0" xfId="0" quotePrefix="1" applyFont="1" applyFill="1" applyAlignment="1">
      <alignment horizontal="left" vertical="center"/>
    </xf>
    <xf numFmtId="0" fontId="6" fillId="5" borderId="266" xfId="0" applyFont="1" applyFill="1" applyBorder="1" applyAlignment="1">
      <alignment horizontal="left" vertical="center" indent="1"/>
    </xf>
    <xf numFmtId="0" fontId="6" fillId="5" borderId="8" xfId="0" applyFont="1" applyFill="1" applyBorder="1" applyAlignment="1">
      <alignment horizontal="center" vertical="center"/>
    </xf>
    <xf numFmtId="0" fontId="6" fillId="5" borderId="187" xfId="0" applyFont="1" applyFill="1" applyBorder="1" applyAlignment="1">
      <alignment horizontal="left" vertical="center" indent="1"/>
    </xf>
    <xf numFmtId="0" fontId="6" fillId="5" borderId="13" xfId="0" applyFont="1" applyFill="1" applyBorder="1" applyAlignment="1">
      <alignment horizontal="center" vertical="center"/>
    </xf>
    <xf numFmtId="0" fontId="6" fillId="5" borderId="196" xfId="0" applyFont="1" applyFill="1" applyBorder="1" applyAlignment="1">
      <alignment horizontal="left" vertical="center" indent="1"/>
    </xf>
    <xf numFmtId="0" fontId="6" fillId="5" borderId="292" xfId="0" applyFont="1" applyFill="1" applyBorder="1" applyAlignment="1">
      <alignment horizontal="center" vertical="center"/>
    </xf>
    <xf numFmtId="0" fontId="6" fillId="5" borderId="208" xfId="0" applyFont="1" applyFill="1" applyBorder="1" applyAlignment="1">
      <alignment horizontal="left" vertical="center" indent="1"/>
    </xf>
    <xf numFmtId="0" fontId="6" fillId="5" borderId="293" xfId="0" applyFont="1" applyFill="1" applyBorder="1" applyAlignment="1">
      <alignment horizontal="left" vertical="center" indent="1"/>
    </xf>
    <xf numFmtId="0" fontId="10" fillId="6" borderId="187" xfId="0" applyFont="1" applyFill="1" applyBorder="1" applyAlignment="1" applyProtection="1">
      <alignment horizontal="left" vertical="center" indent="1"/>
      <protection locked="0"/>
    </xf>
    <xf numFmtId="0" fontId="10" fillId="6" borderId="110" xfId="0" applyFont="1" applyFill="1" applyBorder="1" applyAlignment="1" applyProtection="1">
      <alignment horizontal="left" vertical="center" indent="1"/>
      <protection locked="0"/>
    </xf>
    <xf numFmtId="2" fontId="4" fillId="6" borderId="51" xfId="0" applyNumberFormat="1" applyFont="1" applyFill="1" applyBorder="1" applyAlignment="1" applyProtection="1">
      <alignment horizontal="center" vertical="center"/>
      <protection locked="0"/>
    </xf>
    <xf numFmtId="2" fontId="4" fillId="6" borderId="110" xfId="0" applyNumberFormat="1" applyFont="1" applyFill="1" applyBorder="1" applyAlignment="1" applyProtection="1">
      <alignment horizontal="center" vertical="center"/>
      <protection locked="0"/>
    </xf>
    <xf numFmtId="2" fontId="4" fillId="6" borderId="111" xfId="0" applyNumberFormat="1" applyFont="1" applyFill="1" applyBorder="1" applyAlignment="1" applyProtection="1">
      <alignment horizontal="center" vertical="center"/>
      <protection locked="0"/>
    </xf>
    <xf numFmtId="0" fontId="4" fillId="6" borderId="51" xfId="0" applyFont="1" applyFill="1" applyBorder="1" applyAlignment="1" applyProtection="1">
      <alignment horizontal="center" vertical="center"/>
      <protection locked="0"/>
    </xf>
    <xf numFmtId="0" fontId="10" fillId="6" borderId="52" xfId="0" applyFont="1" applyFill="1" applyBorder="1" applyAlignment="1" applyProtection="1">
      <alignment horizontal="left" vertical="center" indent="1"/>
      <protection locked="0"/>
    </xf>
    <xf numFmtId="0" fontId="6" fillId="5" borderId="156" xfId="0" applyFont="1" applyFill="1" applyBorder="1" applyAlignment="1">
      <alignment horizontal="left" vertical="center" indent="1"/>
    </xf>
    <xf numFmtId="1" fontId="4" fillId="6" borderId="52" xfId="0" applyNumberFormat="1" applyFont="1" applyFill="1" applyBorder="1" applyAlignment="1" applyProtection="1">
      <alignment horizontal="center" vertical="center"/>
      <protection locked="0"/>
    </xf>
    <xf numFmtId="0" fontId="4" fillId="6" borderId="291" xfId="0" applyFont="1" applyFill="1" applyBorder="1" applyAlignment="1" applyProtection="1">
      <alignment horizontal="right" vertical="center"/>
      <protection locked="0"/>
    </xf>
    <xf numFmtId="0" fontId="4" fillId="6" borderId="52" xfId="0" applyFont="1" applyFill="1" applyBorder="1" applyAlignment="1" applyProtection="1">
      <alignment horizontal="center" vertical="center"/>
      <protection locked="0"/>
    </xf>
    <xf numFmtId="0" fontId="4" fillId="7" borderId="0" xfId="0" applyFont="1" applyFill="1" applyAlignment="1">
      <alignment horizontal="left" vertical="center"/>
    </xf>
    <xf numFmtId="0" fontId="4" fillId="7" borderId="51" xfId="0" applyFont="1" applyFill="1" applyBorder="1" applyAlignment="1">
      <alignment horizontal="center" vertical="center"/>
    </xf>
    <xf numFmtId="2" fontId="4" fillId="7" borderId="0" xfId="0" applyNumberFormat="1" applyFont="1" applyFill="1" applyAlignment="1">
      <alignment horizontal="left" vertical="center"/>
    </xf>
    <xf numFmtId="2" fontId="4" fillId="7" borderId="0" xfId="0" applyNumberFormat="1" applyFont="1" applyFill="1" applyAlignment="1">
      <alignment vertical="center"/>
    </xf>
    <xf numFmtId="2" fontId="4" fillId="7" borderId="0" xfId="0" applyNumberFormat="1" applyFont="1" applyFill="1" applyAlignment="1">
      <alignment horizontal="center" vertical="center"/>
    </xf>
    <xf numFmtId="0" fontId="4" fillId="6" borderId="39" xfId="0" applyFont="1" applyFill="1" applyBorder="1" applyAlignment="1" applyProtection="1">
      <alignment horizontal="center" vertical="center"/>
      <protection locked="0"/>
    </xf>
    <xf numFmtId="0" fontId="4" fillId="6" borderId="284" xfId="0" applyFont="1" applyFill="1" applyBorder="1" applyAlignment="1" applyProtection="1">
      <alignment horizontal="center" vertical="center"/>
      <protection locked="0"/>
    </xf>
    <xf numFmtId="0" fontId="4" fillId="6" borderId="40" xfId="0" applyFont="1" applyFill="1" applyBorder="1" applyAlignment="1" applyProtection="1">
      <alignment horizontal="center" vertical="center"/>
      <protection locked="0"/>
    </xf>
    <xf numFmtId="0" fontId="4" fillId="6" borderId="119" xfId="0" applyFont="1" applyFill="1" applyBorder="1" applyAlignment="1" applyProtection="1">
      <alignment horizontal="center" vertical="center"/>
      <protection locked="0"/>
    </xf>
    <xf numFmtId="0" fontId="4" fillId="6" borderId="42" xfId="0" applyFont="1" applyFill="1" applyBorder="1" applyAlignment="1" applyProtection="1">
      <alignment horizontal="center" vertical="center"/>
      <protection locked="0"/>
    </xf>
    <xf numFmtId="0" fontId="4" fillId="6" borderId="179" xfId="0" applyFont="1" applyFill="1" applyBorder="1" applyAlignment="1" applyProtection="1">
      <alignment horizontal="center" vertical="center"/>
      <protection locked="0"/>
    </xf>
    <xf numFmtId="0" fontId="4" fillId="6" borderId="162" xfId="0" applyFont="1" applyFill="1" applyBorder="1" applyAlignment="1" applyProtection="1">
      <alignment horizontal="center" vertical="center"/>
      <protection locked="0"/>
    </xf>
    <xf numFmtId="0" fontId="4" fillId="6" borderId="37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left" vertical="center" indent="1"/>
    </xf>
    <xf numFmtId="1" fontId="4" fillId="18" borderId="21" xfId="0" applyNumberFormat="1" applyFont="1" applyFill="1" applyBorder="1" applyAlignment="1" applyProtection="1">
      <alignment horizontal="center" vertical="center"/>
      <protection locked="0"/>
    </xf>
    <xf numFmtId="1" fontId="4" fillId="18" borderId="85" xfId="0" applyNumberFormat="1" applyFont="1" applyFill="1" applyBorder="1" applyAlignment="1" applyProtection="1">
      <alignment horizontal="center" vertical="center"/>
      <protection locked="0"/>
    </xf>
    <xf numFmtId="1" fontId="4" fillId="18" borderId="25" xfId="0" applyNumberFormat="1" applyFont="1" applyFill="1" applyBorder="1" applyAlignment="1" applyProtection="1">
      <alignment horizontal="center" vertical="center"/>
      <protection locked="0"/>
    </xf>
    <xf numFmtId="1" fontId="4" fillId="18" borderId="42" xfId="0" applyNumberFormat="1" applyFont="1" applyFill="1" applyBorder="1" applyAlignment="1" applyProtection="1">
      <alignment horizontal="center" vertical="center"/>
      <protection locked="0"/>
    </xf>
    <xf numFmtId="1" fontId="4" fillId="18" borderId="82" xfId="0" applyNumberFormat="1" applyFont="1" applyFill="1" applyBorder="1" applyAlignment="1" applyProtection="1">
      <alignment horizontal="center" vertical="center"/>
      <protection locked="0"/>
    </xf>
    <xf numFmtId="1" fontId="4" fillId="18" borderId="0" xfId="0" applyNumberFormat="1" applyFont="1" applyFill="1" applyAlignment="1" applyProtection="1">
      <alignment horizontal="center" vertical="center"/>
      <protection locked="0"/>
    </xf>
    <xf numFmtId="1" fontId="4" fillId="18" borderId="172" xfId="0" applyNumberFormat="1" applyFont="1" applyFill="1" applyBorder="1" applyAlignment="1" applyProtection="1">
      <alignment horizontal="center" vertical="center"/>
      <protection locked="0"/>
    </xf>
    <xf numFmtId="1" fontId="4" fillId="18" borderId="174" xfId="0" applyNumberFormat="1" applyFont="1" applyFill="1" applyBorder="1" applyAlignment="1" applyProtection="1">
      <alignment horizontal="center" vertical="center"/>
      <protection locked="0"/>
    </xf>
    <xf numFmtId="2" fontId="4" fillId="7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horizontal="center" vertical="center"/>
    </xf>
    <xf numFmtId="2" fontId="4" fillId="7" borderId="12" xfId="0" applyNumberFormat="1" applyFont="1" applyFill="1" applyBorder="1" applyAlignment="1">
      <alignment horizontal="center" vertical="center"/>
    </xf>
    <xf numFmtId="164" fontId="4" fillId="7" borderId="13" xfId="0" applyNumberFormat="1" applyFont="1" applyFill="1" applyBorder="1" applyAlignment="1">
      <alignment horizontal="center" vertical="center"/>
    </xf>
    <xf numFmtId="0" fontId="4" fillId="56" borderId="59" xfId="0" applyFont="1" applyFill="1" applyBorder="1" applyAlignment="1" applyProtection="1">
      <alignment horizontal="right" vertical="center" indent="1"/>
      <protection locked="0"/>
    </xf>
    <xf numFmtId="0" fontId="4" fillId="56" borderId="61" xfId="0" applyFont="1" applyFill="1" applyBorder="1" applyAlignment="1" applyProtection="1">
      <alignment horizontal="right" vertical="center" indent="1"/>
      <protection locked="0"/>
    </xf>
    <xf numFmtId="0" fontId="4" fillId="56" borderId="155" xfId="0" applyFont="1" applyFill="1" applyBorder="1" applyAlignment="1" applyProtection="1">
      <alignment horizontal="right" vertical="center" indent="1"/>
      <protection locked="0"/>
    </xf>
    <xf numFmtId="0" fontId="4" fillId="19" borderId="14" xfId="0" applyFont="1" applyFill="1" applyBorder="1" applyAlignment="1">
      <alignment horizontal="center" vertical="center"/>
    </xf>
    <xf numFmtId="0" fontId="4" fillId="2" borderId="186" xfId="0" applyFont="1" applyFill="1" applyBorder="1" applyAlignment="1">
      <alignment horizontal="left" vertical="center"/>
    </xf>
    <xf numFmtId="0" fontId="4" fillId="2" borderId="177" xfId="0" applyFont="1" applyFill="1" applyBorder="1" applyAlignment="1">
      <alignment horizontal="center" vertical="center"/>
    </xf>
    <xf numFmtId="0" fontId="6" fillId="5" borderId="273" xfId="0" applyFont="1" applyFill="1" applyBorder="1" applyAlignment="1">
      <alignment horizontal="left" vertical="center" indent="1"/>
    </xf>
    <xf numFmtId="0" fontId="23" fillId="19" borderId="268" xfId="0" applyFont="1" applyFill="1" applyBorder="1" applyAlignment="1">
      <alignment horizontal="left" vertical="center" indent="1"/>
    </xf>
    <xf numFmtId="0" fontId="6" fillId="5" borderId="295" xfId="0" applyFont="1" applyFill="1" applyBorder="1" applyAlignment="1">
      <alignment horizontal="left" vertical="center" indent="1"/>
    </xf>
    <xf numFmtId="9" fontId="4" fillId="6" borderId="68" xfId="5" applyFont="1" applyFill="1" applyBorder="1" applyAlignment="1" applyProtection="1">
      <alignment horizontal="center" vertical="center"/>
      <protection locked="0"/>
    </xf>
    <xf numFmtId="9" fontId="4" fillId="6" borderId="69" xfId="5" applyFont="1" applyFill="1" applyBorder="1" applyAlignment="1" applyProtection="1">
      <alignment horizontal="center" vertical="center"/>
      <protection locked="0"/>
    </xf>
    <xf numFmtId="9" fontId="4" fillId="6" borderId="0" xfId="5" applyFont="1" applyFill="1" applyAlignment="1" applyProtection="1">
      <alignment horizontal="center" vertical="center"/>
      <protection locked="0"/>
    </xf>
    <xf numFmtId="9" fontId="4" fillId="7" borderId="36" xfId="5" applyFont="1" applyFill="1" applyBorder="1" applyAlignment="1">
      <alignment horizontal="center" vertical="center"/>
    </xf>
    <xf numFmtId="9" fontId="4" fillId="7" borderId="37" xfId="5" applyFont="1" applyFill="1" applyBorder="1" applyAlignment="1">
      <alignment horizontal="center" vertical="center"/>
    </xf>
    <xf numFmtId="165" fontId="6" fillId="5" borderId="33" xfId="0" applyNumberFormat="1" applyFont="1" applyFill="1" applyBorder="1" applyAlignment="1">
      <alignment horizontal="left" vertical="center" indent="6"/>
    </xf>
    <xf numFmtId="170" fontId="4" fillId="6" borderId="10" xfId="5" applyNumberFormat="1" applyFont="1" applyFill="1" applyBorder="1" applyAlignment="1" applyProtection="1">
      <alignment horizontal="center" vertical="center"/>
      <protection locked="0"/>
    </xf>
    <xf numFmtId="170" fontId="4" fillId="6" borderId="0" xfId="5" applyNumberFormat="1" applyFont="1" applyFill="1" applyAlignment="1" applyProtection="1">
      <alignment horizontal="center" vertical="center"/>
      <protection locked="0"/>
    </xf>
    <xf numFmtId="10" fontId="4" fillId="6" borderId="185" xfId="5" applyNumberFormat="1" applyFont="1" applyFill="1" applyBorder="1" applyAlignment="1" applyProtection="1">
      <alignment horizontal="center" vertical="center"/>
      <protection locked="0"/>
    </xf>
    <xf numFmtId="10" fontId="4" fillId="6" borderId="10" xfId="5" applyNumberFormat="1" applyFont="1" applyFill="1" applyBorder="1" applyAlignment="1" applyProtection="1">
      <alignment horizontal="center" vertical="center"/>
      <protection locked="0"/>
    </xf>
    <xf numFmtId="10" fontId="4" fillId="6" borderId="26" xfId="5" applyNumberFormat="1" applyFont="1" applyFill="1" applyBorder="1" applyAlignment="1" applyProtection="1">
      <alignment horizontal="center" vertical="center"/>
      <protection locked="0"/>
    </xf>
    <xf numFmtId="10" fontId="4" fillId="6" borderId="0" xfId="5" applyNumberFormat="1" applyFont="1" applyFill="1" applyAlignment="1" applyProtection="1">
      <alignment horizontal="center" vertical="center"/>
      <protection locked="0"/>
    </xf>
    <xf numFmtId="170" fontId="4" fillId="7" borderId="36" xfId="5" applyNumberFormat="1" applyFont="1" applyFill="1" applyBorder="1" applyAlignment="1">
      <alignment horizontal="center" vertical="center"/>
    </xf>
    <xf numFmtId="170" fontId="4" fillId="7" borderId="37" xfId="5" applyNumberFormat="1" applyFont="1" applyFill="1" applyBorder="1" applyAlignment="1">
      <alignment horizontal="center" vertical="center"/>
    </xf>
    <xf numFmtId="170" fontId="4" fillId="16" borderId="101" xfId="5" applyNumberFormat="1" applyFont="1" applyFill="1" applyBorder="1" applyAlignment="1">
      <alignment vertical="center"/>
    </xf>
    <xf numFmtId="170" fontId="4" fillId="7" borderId="0" xfId="5" applyNumberFormat="1" applyFont="1" applyFill="1" applyAlignment="1">
      <alignment vertical="center"/>
    </xf>
    <xf numFmtId="170" fontId="4" fillId="2" borderId="50" xfId="5" applyNumberFormat="1" applyFont="1" applyFill="1" applyBorder="1" applyAlignment="1">
      <alignment vertical="center"/>
    </xf>
    <xf numFmtId="170" fontId="4" fillId="2" borderId="52" xfId="5" applyNumberFormat="1" applyFont="1" applyFill="1" applyBorder="1" applyAlignment="1">
      <alignment vertical="center"/>
    </xf>
    <xf numFmtId="170" fontId="4" fillId="2" borderId="55" xfId="5" applyNumberFormat="1" applyFont="1" applyFill="1" applyBorder="1" applyAlignment="1">
      <alignment vertical="center"/>
    </xf>
    <xf numFmtId="170" fontId="4" fillId="2" borderId="0" xfId="5" applyNumberFormat="1" applyFont="1" applyFill="1" applyAlignment="1">
      <alignment vertical="center"/>
    </xf>
    <xf numFmtId="170" fontId="6" fillId="16" borderId="7" xfId="5" applyNumberFormat="1" applyFont="1" applyFill="1" applyBorder="1" applyAlignment="1">
      <alignment horizontal="left" vertical="center" indent="1"/>
    </xf>
    <xf numFmtId="170" fontId="6" fillId="16" borderId="102" xfId="5" applyNumberFormat="1" applyFont="1" applyFill="1" applyBorder="1" applyAlignment="1">
      <alignment horizontal="left" vertical="center" indent="1"/>
    </xf>
    <xf numFmtId="170" fontId="6" fillId="16" borderId="0" xfId="5" applyNumberFormat="1" applyFont="1" applyFill="1" applyAlignment="1">
      <alignment horizontal="center" vertical="center"/>
    </xf>
    <xf numFmtId="170" fontId="6" fillId="16" borderId="28" xfId="5" applyNumberFormat="1" applyFont="1" applyFill="1" applyBorder="1" applyAlignment="1">
      <alignment horizontal="center" vertical="center"/>
    </xf>
    <xf numFmtId="170" fontId="6" fillId="16" borderId="31" xfId="5" applyNumberFormat="1" applyFont="1" applyFill="1" applyBorder="1" applyAlignment="1">
      <alignment horizontal="center" vertical="center"/>
    </xf>
    <xf numFmtId="170" fontId="6" fillId="16" borderId="103" xfId="5" applyNumberFormat="1" applyFont="1" applyFill="1" applyBorder="1" applyAlignment="1">
      <alignment horizontal="center" vertical="center"/>
    </xf>
    <xf numFmtId="170" fontId="4" fillId="6" borderId="104" xfId="5" applyNumberFormat="1" applyFont="1" applyFill="1" applyBorder="1" applyAlignment="1" applyProtection="1">
      <alignment horizontal="center" vertical="center"/>
      <protection locked="0"/>
    </xf>
    <xf numFmtId="170" fontId="20" fillId="6" borderId="0" xfId="5" applyNumberFormat="1" applyFont="1" applyFill="1" applyAlignment="1" applyProtection="1">
      <alignment horizontal="center" vertical="center"/>
      <protection locked="0"/>
    </xf>
    <xf numFmtId="170" fontId="4" fillId="6" borderId="28" xfId="5" applyNumberFormat="1" applyFont="1" applyFill="1" applyBorder="1" applyAlignment="1" applyProtection="1">
      <alignment horizontal="center" vertical="center"/>
      <protection locked="0"/>
    </xf>
    <xf numFmtId="170" fontId="12" fillId="7" borderId="0" xfId="5" applyNumberFormat="1" applyFont="1" applyFill="1" applyAlignment="1">
      <alignment vertical="center"/>
    </xf>
    <xf numFmtId="170" fontId="6" fillId="16" borderId="8" xfId="5" applyNumberFormat="1" applyFont="1" applyFill="1" applyBorder="1" applyAlignment="1">
      <alignment horizontal="left" vertical="center" indent="1"/>
    </xf>
    <xf numFmtId="170" fontId="6" fillId="16" borderId="13" xfId="5" applyNumberFormat="1" applyFont="1" applyFill="1" applyBorder="1" applyAlignment="1">
      <alignment horizontal="center" vertical="center"/>
    </xf>
    <xf numFmtId="170" fontId="6" fillId="16" borderId="17" xfId="5" applyNumberFormat="1" applyFont="1" applyFill="1" applyBorder="1" applyAlignment="1">
      <alignment horizontal="center" vertical="center"/>
    </xf>
    <xf numFmtId="171" fontId="4" fillId="2" borderId="0" xfId="0" applyNumberFormat="1" applyFont="1" applyFill="1" applyAlignment="1">
      <alignment vertical="center"/>
    </xf>
    <xf numFmtId="43" fontId="4" fillId="6" borderId="25" xfId="6" applyFont="1" applyFill="1" applyBorder="1" applyAlignment="1" applyProtection="1">
      <alignment horizontal="left" vertical="center" indent="1"/>
      <protection locked="0"/>
    </xf>
    <xf numFmtId="0" fontId="6" fillId="16" borderId="298" xfId="0" applyFont="1" applyFill="1" applyBorder="1" applyAlignment="1">
      <alignment horizontal="left" vertical="center" indent="1"/>
    </xf>
    <xf numFmtId="0" fontId="6" fillId="16" borderId="300" xfId="0" applyFont="1" applyFill="1" applyBorder="1" applyAlignment="1">
      <alignment horizontal="left" vertical="center" indent="1"/>
    </xf>
    <xf numFmtId="0" fontId="6" fillId="16" borderId="301" xfId="0" applyFont="1" applyFill="1" applyBorder="1" applyAlignment="1">
      <alignment horizontal="left" vertical="center" indent="1"/>
    </xf>
    <xf numFmtId="0" fontId="4" fillId="6" borderId="302" xfId="0" applyFont="1" applyFill="1" applyBorder="1" applyAlignment="1" applyProtection="1">
      <alignment vertical="center"/>
      <protection locked="0"/>
    </xf>
    <xf numFmtId="0" fontId="6" fillId="16" borderId="303" xfId="0" applyFont="1" applyFill="1" applyBorder="1" applyAlignment="1">
      <alignment horizontal="left" vertical="center" indent="1"/>
    </xf>
    <xf numFmtId="0" fontId="4" fillId="6" borderId="299" xfId="0" applyFont="1" applyFill="1" applyBorder="1" applyAlignment="1" applyProtection="1">
      <alignment vertical="center"/>
      <protection locked="0"/>
    </xf>
    <xf numFmtId="43" fontId="4" fillId="6" borderId="302" xfId="6" applyFont="1" applyFill="1" applyBorder="1" applyAlignment="1" applyProtection="1">
      <alignment horizontal="left" vertical="center" indent="1"/>
      <protection locked="0"/>
    </xf>
    <xf numFmtId="170" fontId="4" fillId="6" borderId="302" xfId="5" applyNumberFormat="1" applyFont="1" applyFill="1" applyBorder="1" applyAlignment="1" applyProtection="1">
      <alignment vertical="center"/>
      <protection locked="0"/>
    </xf>
    <xf numFmtId="170" fontId="4" fillId="6" borderId="25" xfId="5" applyNumberFormat="1" applyFont="1" applyFill="1" applyBorder="1" applyAlignment="1" applyProtection="1">
      <alignment vertical="center"/>
      <protection locked="0"/>
    </xf>
    <xf numFmtId="170" fontId="4" fillId="6" borderId="299" xfId="5" applyNumberFormat="1" applyFont="1" applyFill="1" applyBorder="1" applyAlignment="1" applyProtection="1">
      <alignment vertical="center"/>
      <protection locked="0"/>
    </xf>
    <xf numFmtId="43" fontId="4" fillId="6" borderId="23" xfId="6" applyFont="1" applyFill="1" applyBorder="1" applyAlignment="1" applyProtection="1">
      <alignment horizontal="left" vertical="center" indent="1"/>
      <protection locked="0"/>
    </xf>
    <xf numFmtId="0" fontId="4" fillId="6" borderId="181" xfId="0" applyFont="1" applyFill="1" applyBorder="1" applyAlignment="1" applyProtection="1">
      <alignment vertical="center"/>
      <protection locked="0"/>
    </xf>
    <xf numFmtId="0" fontId="6" fillId="16" borderId="304" xfId="0" applyFont="1" applyFill="1" applyBorder="1" applyAlignment="1">
      <alignment horizontal="left" vertical="center" indent="1"/>
    </xf>
    <xf numFmtId="0" fontId="4" fillId="6" borderId="305" xfId="0" applyFont="1" applyFill="1" applyBorder="1" applyAlignment="1" applyProtection="1">
      <alignment vertical="center"/>
      <protection locked="0"/>
    </xf>
    <xf numFmtId="0" fontId="6" fillId="16" borderId="306" xfId="0" applyFont="1" applyFill="1" applyBorder="1" applyAlignment="1">
      <alignment horizontal="left" vertical="center" indent="1"/>
    </xf>
    <xf numFmtId="0" fontId="6" fillId="16" borderId="307" xfId="0" applyFont="1" applyFill="1" applyBorder="1" applyAlignment="1">
      <alignment horizontal="left" vertical="center" indent="1"/>
    </xf>
    <xf numFmtId="0" fontId="6" fillId="16" borderId="308" xfId="0" applyFont="1" applyFill="1" applyBorder="1" applyAlignment="1">
      <alignment horizontal="left" vertical="center" indent="1"/>
    </xf>
    <xf numFmtId="0" fontId="4" fillId="19" borderId="15" xfId="0" applyFont="1" applyFill="1" applyBorder="1" applyAlignment="1">
      <alignment horizontal="left" vertical="center"/>
    </xf>
    <xf numFmtId="0" fontId="4" fillId="19" borderId="45" xfId="0" applyFont="1" applyFill="1" applyBorder="1" applyAlignment="1">
      <alignment horizontal="left" vertical="center"/>
    </xf>
    <xf numFmtId="0" fontId="4" fillId="6" borderId="309" xfId="0" applyFont="1" applyFill="1" applyBorder="1" applyAlignment="1" applyProtection="1">
      <alignment horizontal="right" vertical="center" indent="1"/>
      <protection locked="0"/>
    </xf>
    <xf numFmtId="0" fontId="4" fillId="22" borderId="231" xfId="0" applyFont="1" applyFill="1" applyBorder="1" applyAlignment="1">
      <alignment horizontal="left" vertical="center"/>
    </xf>
    <xf numFmtId="9" fontId="4" fillId="13" borderId="310" xfId="5" applyFont="1" applyFill="1" applyBorder="1" applyAlignment="1" applyProtection="1">
      <alignment horizontal="center" vertical="center"/>
    </xf>
    <xf numFmtId="169" fontId="4" fillId="6" borderId="110" xfId="6" applyNumberFormat="1" applyFont="1" applyFill="1" applyBorder="1" applyAlignment="1" applyProtection="1">
      <alignment horizontal="center" vertical="center"/>
      <protection locked="0"/>
    </xf>
    <xf numFmtId="169" fontId="4" fillId="6" borderId="111" xfId="6" applyNumberFormat="1" applyFont="1" applyFill="1" applyBorder="1" applyAlignment="1" applyProtection="1">
      <alignment horizontal="center" vertical="center"/>
      <protection locked="0"/>
    </xf>
    <xf numFmtId="0" fontId="4" fillId="7" borderId="122" xfId="5" applyNumberFormat="1" applyFont="1" applyFill="1" applyBorder="1" applyAlignment="1" applyProtection="1">
      <alignment horizontal="center" vertical="center"/>
    </xf>
    <xf numFmtId="43" fontId="4" fillId="6" borderId="111" xfId="6" applyFont="1" applyFill="1" applyBorder="1" applyAlignment="1" applyProtection="1">
      <alignment horizontal="center" vertical="center"/>
      <protection locked="0"/>
    </xf>
    <xf numFmtId="1" fontId="4" fillId="20" borderId="59" xfId="5" applyNumberFormat="1" applyFont="1" applyFill="1" applyBorder="1" applyAlignment="1" applyProtection="1">
      <alignment vertical="center"/>
      <protection locked="0"/>
    </xf>
    <xf numFmtId="1" fontId="4" fillId="20" borderId="61" xfId="5" applyNumberFormat="1" applyFont="1" applyFill="1" applyBorder="1" applyAlignment="1" applyProtection="1">
      <alignment vertical="center"/>
      <protection locked="0"/>
    </xf>
    <xf numFmtId="1" fontId="4" fillId="20" borderId="62" xfId="5" applyNumberFormat="1" applyFont="1" applyFill="1" applyBorder="1" applyAlignment="1" applyProtection="1">
      <alignment vertical="center"/>
      <protection locked="0"/>
    </xf>
    <xf numFmtId="0" fontId="6" fillId="16" borderId="177" xfId="0" applyFont="1" applyFill="1" applyBorder="1" applyAlignment="1">
      <alignment horizontal="left" vertical="center" indent="1"/>
    </xf>
    <xf numFmtId="0" fontId="6" fillId="16" borderId="311" xfId="0" applyFont="1" applyFill="1" applyBorder="1" applyAlignment="1">
      <alignment horizontal="left" vertical="center" indent="1"/>
    </xf>
    <xf numFmtId="0" fontId="6" fillId="16" borderId="111" xfId="0" applyFont="1" applyFill="1" applyBorder="1" applyAlignment="1">
      <alignment horizontal="left" vertical="center" indent="1"/>
    </xf>
    <xf numFmtId="1" fontId="4" fillId="6" borderId="212" xfId="0" applyNumberFormat="1" applyFont="1" applyFill="1" applyBorder="1" applyAlignment="1" applyProtection="1">
      <alignment horizontal="center" vertical="center"/>
      <protection locked="0"/>
    </xf>
    <xf numFmtId="1" fontId="4" fillId="6" borderId="111" xfId="0" applyNumberFormat="1" applyFont="1" applyFill="1" applyBorder="1" applyAlignment="1" applyProtection="1">
      <alignment horizontal="center" vertical="center"/>
      <protection locked="0"/>
    </xf>
    <xf numFmtId="0" fontId="4" fillId="6" borderId="212" xfId="0" applyFont="1" applyFill="1" applyBorder="1" applyAlignment="1" applyProtection="1">
      <alignment horizontal="center" vertical="center"/>
      <protection locked="0"/>
    </xf>
    <xf numFmtId="0" fontId="4" fillId="6" borderId="111" xfId="0" applyFont="1" applyFill="1" applyBorder="1" applyAlignment="1" applyProtection="1">
      <alignment horizontal="center" vertical="center"/>
      <protection locked="0"/>
    </xf>
    <xf numFmtId="0" fontId="6" fillId="16" borderId="52" xfId="0" applyFont="1" applyFill="1" applyBorder="1" applyAlignment="1">
      <alignment horizontal="left" vertical="center" indent="1"/>
    </xf>
    <xf numFmtId="0" fontId="11" fillId="15" borderId="0" xfId="0" applyFont="1" applyFill="1" applyAlignment="1">
      <alignment horizontal="left" vertical="center" indent="1"/>
    </xf>
    <xf numFmtId="170" fontId="4" fillId="6" borderId="160" xfId="5" applyNumberFormat="1" applyFont="1" applyFill="1" applyBorder="1" applyAlignment="1" applyProtection="1">
      <alignment horizontal="center" vertical="center"/>
      <protection locked="0"/>
    </xf>
    <xf numFmtId="170" fontId="4" fillId="6" borderId="181" xfId="5" applyNumberFormat="1" applyFont="1" applyFill="1" applyBorder="1" applyAlignment="1" applyProtection="1">
      <alignment horizontal="center" vertical="center"/>
      <protection locked="0"/>
    </xf>
    <xf numFmtId="170" fontId="4" fillId="6" borderId="182" xfId="5" applyNumberFormat="1" applyFont="1" applyFill="1" applyBorder="1" applyAlignment="1" applyProtection="1">
      <alignment horizontal="center" vertical="center"/>
      <protection locked="0"/>
    </xf>
    <xf numFmtId="170" fontId="4" fillId="6" borderId="180" xfId="5" applyNumberFormat="1" applyFont="1" applyFill="1" applyBorder="1" applyAlignment="1" applyProtection="1">
      <alignment horizontal="center" vertical="center"/>
      <protection locked="0"/>
    </xf>
    <xf numFmtId="170" fontId="4" fillId="6" borderId="21" xfId="5" applyNumberFormat="1" applyFont="1" applyFill="1" applyBorder="1" applyAlignment="1" applyProtection="1">
      <alignment horizontal="center" vertical="center"/>
      <protection locked="0"/>
    </xf>
    <xf numFmtId="170" fontId="4" fillId="6" borderId="9" xfId="5" applyNumberFormat="1" applyFont="1" applyFill="1" applyBorder="1" applyAlignment="1" applyProtection="1">
      <alignment horizontal="center" vertical="center"/>
      <protection locked="0"/>
    </xf>
    <xf numFmtId="170" fontId="4" fillId="6" borderId="119" xfId="5" applyNumberFormat="1" applyFont="1" applyFill="1" applyBorder="1" applyAlignment="1" applyProtection="1">
      <alignment horizontal="center" vertical="center"/>
      <protection locked="0"/>
    </xf>
    <xf numFmtId="170" fontId="4" fillId="6" borderId="15" xfId="5" applyNumberFormat="1" applyFont="1" applyFill="1" applyBorder="1" applyAlignment="1" applyProtection="1">
      <alignment horizontal="center" vertical="center"/>
      <protection locked="0"/>
    </xf>
    <xf numFmtId="170" fontId="4" fillId="6" borderId="0" xfId="5" applyNumberFormat="1" applyFont="1" applyFill="1" applyBorder="1" applyAlignment="1" applyProtection="1">
      <alignment horizontal="center" vertical="center"/>
      <protection locked="0"/>
    </xf>
    <xf numFmtId="170" fontId="4" fillId="6" borderId="59" xfId="5" applyNumberFormat="1" applyFont="1" applyFill="1" applyBorder="1" applyAlignment="1" applyProtection="1">
      <alignment horizontal="center" vertical="center"/>
      <protection locked="0"/>
    </xf>
    <xf numFmtId="170" fontId="4" fillId="6" borderId="61" xfId="5" applyNumberFormat="1" applyFont="1" applyFill="1" applyBorder="1" applyAlignment="1" applyProtection="1">
      <alignment horizontal="center" vertical="center"/>
      <protection locked="0"/>
    </xf>
    <xf numFmtId="170" fontId="4" fillId="6" borderId="162" xfId="5" applyNumberFormat="1" applyFont="1" applyFill="1" applyBorder="1" applyAlignment="1" applyProtection="1">
      <alignment horizontal="center" vertical="center"/>
      <protection locked="0"/>
    </xf>
    <xf numFmtId="170" fontId="4" fillId="6" borderId="37" xfId="5" applyNumberFormat="1" applyFont="1" applyFill="1" applyBorder="1" applyAlignment="1" applyProtection="1">
      <alignment horizontal="center" vertical="center"/>
      <protection locked="0"/>
    </xf>
    <xf numFmtId="0" fontId="4" fillId="15" borderId="0" xfId="0" applyFont="1" applyFill="1" applyAlignment="1">
      <alignment horizontal="right" vertical="center" indent="1"/>
    </xf>
    <xf numFmtId="0" fontId="23" fillId="18" borderId="0" xfId="0" applyFont="1" applyFill="1"/>
    <xf numFmtId="0" fontId="5" fillId="17" borderId="123" xfId="0" applyFont="1" applyFill="1" applyBorder="1" applyAlignment="1">
      <alignment horizontal="center" vertical="center"/>
    </xf>
    <xf numFmtId="0" fontId="23" fillId="18" borderId="0" xfId="0" applyFont="1" applyFill="1" applyAlignment="1">
      <alignment horizontal="center"/>
    </xf>
    <xf numFmtId="0" fontId="23" fillId="0" borderId="0" xfId="0" applyFont="1" applyAlignment="1">
      <alignment horizontal="center"/>
    </xf>
    <xf numFmtId="0" fontId="6" fillId="17" borderId="123" xfId="0" applyFont="1" applyFill="1" applyBorder="1" applyAlignment="1">
      <alignment horizontal="left" vertical="center" indent="1"/>
    </xf>
    <xf numFmtId="0" fontId="4" fillId="18" borderId="0" xfId="0" applyFont="1" applyFill="1"/>
    <xf numFmtId="0" fontId="4" fillId="0" borderId="0" xfId="0" applyFont="1"/>
    <xf numFmtId="0" fontId="6" fillId="17" borderId="123" xfId="5" applyNumberFormat="1" applyFont="1" applyFill="1" applyBorder="1" applyAlignment="1">
      <alignment horizontal="center" vertical="center"/>
    </xf>
    <xf numFmtId="0" fontId="4" fillId="18" borderId="0" xfId="5" applyNumberFormat="1" applyFont="1" applyFill="1" applyAlignment="1">
      <alignment horizontal="center"/>
    </xf>
    <xf numFmtId="0" fontId="4" fillId="0" borderId="0" xfId="5" applyNumberFormat="1" applyFont="1" applyAlignment="1">
      <alignment horizontal="center"/>
    </xf>
    <xf numFmtId="0" fontId="41" fillId="0" borderId="0" xfId="0" applyFont="1"/>
    <xf numFmtId="0" fontId="50" fillId="0" borderId="0" xfId="0" applyFont="1"/>
    <xf numFmtId="0" fontId="4" fillId="2" borderId="313" xfId="0" applyFont="1" applyFill="1" applyBorder="1" applyAlignment="1" applyProtection="1">
      <alignment horizontal="center"/>
      <protection locked="0"/>
    </xf>
    <xf numFmtId="0" fontId="4" fillId="18" borderId="317" xfId="0" applyFont="1" applyFill="1" applyBorder="1" applyAlignment="1" applyProtection="1">
      <alignment horizontal="center"/>
      <protection locked="0"/>
    </xf>
    <xf numFmtId="0" fontId="4" fillId="18" borderId="316" xfId="0" applyFont="1" applyFill="1" applyBorder="1" applyAlignment="1" applyProtection="1">
      <alignment horizontal="center"/>
      <protection locked="0"/>
    </xf>
    <xf numFmtId="2" fontId="4" fillId="18" borderId="316" xfId="0" applyNumberFormat="1" applyFont="1" applyFill="1" applyBorder="1" applyAlignment="1" applyProtection="1">
      <alignment horizontal="center"/>
      <protection locked="0"/>
    </xf>
    <xf numFmtId="166" fontId="4" fillId="18" borderId="316" xfId="0" applyNumberFormat="1" applyFont="1" applyFill="1" applyBorder="1" applyAlignment="1" applyProtection="1">
      <alignment horizontal="center"/>
      <protection locked="0"/>
    </xf>
    <xf numFmtId="166" fontId="4" fillId="18" borderId="318" xfId="5" applyNumberFormat="1" applyFont="1" applyFill="1" applyBorder="1" applyAlignment="1" applyProtection="1">
      <alignment horizontal="center"/>
      <protection locked="0"/>
    </xf>
    <xf numFmtId="0" fontId="4" fillId="18" borderId="110" xfId="0" applyFont="1" applyFill="1" applyBorder="1" applyAlignment="1" applyProtection="1">
      <alignment horizontal="center"/>
      <protection locked="0"/>
    </xf>
    <xf numFmtId="0" fontId="4" fillId="18" borderId="212" xfId="0" applyFont="1" applyFill="1" applyBorder="1" applyAlignment="1" applyProtection="1">
      <alignment horizontal="center"/>
      <protection locked="0"/>
    </xf>
    <xf numFmtId="2" fontId="4" fillId="18" borderId="212" xfId="0" applyNumberFormat="1" applyFont="1" applyFill="1" applyBorder="1" applyAlignment="1" applyProtection="1">
      <alignment horizontal="center"/>
      <protection locked="0"/>
    </xf>
    <xf numFmtId="166" fontId="4" fillId="18" borderId="212" xfId="0" applyNumberFormat="1" applyFont="1" applyFill="1" applyBorder="1" applyAlignment="1" applyProtection="1">
      <alignment horizontal="center"/>
      <protection locked="0"/>
    </xf>
    <xf numFmtId="166" fontId="4" fillId="18" borderId="111" xfId="5" applyNumberFormat="1" applyFont="1" applyFill="1" applyBorder="1" applyAlignment="1" applyProtection="1">
      <alignment horizontal="center"/>
      <protection locked="0"/>
    </xf>
    <xf numFmtId="0" fontId="4" fillId="18" borderId="210" xfId="0" applyFont="1" applyFill="1" applyBorder="1" applyAlignment="1" applyProtection="1">
      <alignment horizontal="center"/>
      <protection locked="0"/>
    </xf>
    <xf numFmtId="166" fontId="4" fillId="18" borderId="211" xfId="5" applyNumberFormat="1" applyFont="1" applyFill="1" applyBorder="1" applyAlignment="1" applyProtection="1">
      <alignment horizontal="center"/>
      <protection locked="0"/>
    </xf>
    <xf numFmtId="0" fontId="23" fillId="18" borderId="210" xfId="0" applyFont="1" applyFill="1" applyBorder="1" applyAlignment="1" applyProtection="1">
      <alignment horizontal="center"/>
      <protection locked="0"/>
    </xf>
    <xf numFmtId="0" fontId="23" fillId="18" borderId="212" xfId="0" applyFont="1" applyFill="1" applyBorder="1" applyAlignment="1" applyProtection="1">
      <alignment horizontal="center"/>
      <protection locked="0"/>
    </xf>
    <xf numFmtId="0" fontId="3" fillId="17" borderId="314" xfId="0" applyFont="1" applyFill="1" applyBorder="1" applyAlignment="1" applyProtection="1">
      <alignment horizontal="center" vertical="center"/>
      <protection locked="0"/>
    </xf>
    <xf numFmtId="0" fontId="3" fillId="17" borderId="312" xfId="0" applyFont="1" applyFill="1" applyBorder="1" applyAlignment="1" applyProtection="1">
      <alignment horizontal="center" vertical="center"/>
      <protection locked="0"/>
    </xf>
    <xf numFmtId="0" fontId="3" fillId="17" borderId="312" xfId="0" applyFont="1" applyFill="1" applyBorder="1" applyAlignment="1" applyProtection="1">
      <alignment horizontal="center" vertical="center" wrapText="1"/>
      <protection locked="0"/>
    </xf>
    <xf numFmtId="0" fontId="3" fillId="17" borderId="315" xfId="5" applyNumberFormat="1" applyFont="1" applyFill="1" applyBorder="1" applyAlignment="1" applyProtection="1">
      <alignment horizontal="center" vertical="center" wrapText="1"/>
      <protection locked="0"/>
    </xf>
    <xf numFmtId="0" fontId="4" fillId="2" borderId="319" xfId="0" applyFont="1" applyFill="1" applyBorder="1" applyAlignment="1" applyProtection="1">
      <alignment horizontal="center"/>
      <protection locked="0"/>
    </xf>
    <xf numFmtId="0" fontId="4" fillId="2" borderId="320" xfId="0" applyFont="1" applyFill="1" applyBorder="1" applyAlignment="1" applyProtection="1">
      <alignment horizontal="center"/>
      <protection locked="0"/>
    </xf>
    <xf numFmtId="0" fontId="47" fillId="0" borderId="0" xfId="0" applyFont="1"/>
    <xf numFmtId="9" fontId="47" fillId="0" borderId="0" xfId="5" applyFont="1"/>
    <xf numFmtId="0" fontId="3" fillId="17" borderId="314" xfId="0" applyFont="1" applyFill="1" applyBorder="1" applyAlignment="1" applyProtection="1">
      <alignment horizontal="center"/>
      <protection locked="0"/>
    </xf>
    <xf numFmtId="0" fontId="3" fillId="17" borderId="312" xfId="0" applyFont="1" applyFill="1" applyBorder="1" applyAlignment="1" applyProtection="1">
      <alignment horizontal="center"/>
      <protection locked="0"/>
    </xf>
    <xf numFmtId="0" fontId="3" fillId="17" borderId="315" xfId="0" applyFont="1" applyFill="1" applyBorder="1" applyAlignment="1" applyProtection="1">
      <alignment horizontal="center"/>
      <protection locked="0"/>
    </xf>
    <xf numFmtId="1" fontId="4" fillId="18" borderId="316" xfId="0" applyNumberFormat="1" applyFont="1" applyFill="1" applyBorder="1" applyAlignment="1" applyProtection="1">
      <alignment horizontal="center"/>
      <protection locked="0"/>
    </xf>
    <xf numFmtId="9" fontId="4" fillId="18" borderId="318" xfId="5" applyFont="1" applyFill="1" applyBorder="1" applyAlignment="1" applyProtection="1">
      <alignment horizontal="center"/>
      <protection locked="0"/>
    </xf>
    <xf numFmtId="1" fontId="4" fillId="18" borderId="212" xfId="0" applyNumberFormat="1" applyFont="1" applyFill="1" applyBorder="1" applyAlignment="1" applyProtection="1">
      <alignment horizontal="center"/>
      <protection locked="0"/>
    </xf>
    <xf numFmtId="9" fontId="4" fillId="18" borderId="111" xfId="5" applyFont="1" applyFill="1" applyBorder="1" applyAlignment="1" applyProtection="1">
      <alignment horizontal="center"/>
      <protection locked="0"/>
    </xf>
    <xf numFmtId="9" fontId="4" fillId="18" borderId="211" xfId="5" applyFont="1" applyFill="1" applyBorder="1" applyAlignment="1" applyProtection="1">
      <alignment horizontal="center"/>
      <protection locked="0"/>
    </xf>
    <xf numFmtId="2" fontId="4" fillId="18" borderId="318" xfId="5" applyNumberFormat="1" applyFont="1" applyFill="1" applyBorder="1" applyAlignment="1" applyProtection="1">
      <alignment horizontal="center"/>
      <protection locked="0"/>
    </xf>
    <xf numFmtId="2" fontId="4" fillId="18" borderId="111" xfId="5" applyNumberFormat="1" applyFont="1" applyFill="1" applyBorder="1" applyAlignment="1" applyProtection="1">
      <alignment horizontal="center"/>
      <protection locked="0"/>
    </xf>
    <xf numFmtId="1" fontId="4" fillId="18" borderId="317" xfId="0" applyNumberFormat="1" applyFont="1" applyFill="1" applyBorder="1" applyAlignment="1" applyProtection="1">
      <alignment horizontal="center"/>
      <protection locked="0"/>
    </xf>
    <xf numFmtId="1" fontId="4" fillId="18" borderId="110" xfId="0" applyNumberFormat="1" applyFont="1" applyFill="1" applyBorder="1" applyAlignment="1" applyProtection="1">
      <alignment horizontal="center"/>
      <protection locked="0"/>
    </xf>
    <xf numFmtId="0" fontId="4" fillId="7" borderId="54" xfId="0" applyFont="1" applyFill="1" applyBorder="1" applyAlignment="1">
      <alignment horizontal="right" vertical="center"/>
    </xf>
    <xf numFmtId="0" fontId="4" fillId="7" borderId="54" xfId="0" applyFont="1" applyFill="1" applyBorder="1" applyAlignment="1">
      <alignment horizontal="left" vertical="center" indent="1"/>
    </xf>
    <xf numFmtId="0" fontId="4" fillId="7" borderId="54" xfId="0" applyFont="1" applyFill="1" applyBorder="1" applyAlignment="1">
      <alignment vertical="center"/>
    </xf>
    <xf numFmtId="0" fontId="4" fillId="22" borderId="11" xfId="0" applyFont="1" applyFill="1" applyBorder="1" applyAlignment="1">
      <alignment horizontal="left" vertical="center"/>
    </xf>
    <xf numFmtId="0" fontId="4" fillId="15" borderId="321" xfId="0" applyFont="1" applyFill="1" applyBorder="1" applyAlignment="1">
      <alignment vertical="center"/>
    </xf>
    <xf numFmtId="0" fontId="4" fillId="15" borderId="322" xfId="0" applyFont="1" applyFill="1" applyBorder="1" applyAlignment="1">
      <alignment vertical="center"/>
    </xf>
    <xf numFmtId="0" fontId="4" fillId="15" borderId="322" xfId="0" applyFont="1" applyFill="1" applyBorder="1" applyAlignment="1">
      <alignment horizontal="left" indent="1"/>
    </xf>
    <xf numFmtId="0" fontId="4" fillId="15" borderId="323" xfId="0" applyFont="1" applyFill="1" applyBorder="1" applyAlignment="1">
      <alignment vertical="center"/>
    </xf>
    <xf numFmtId="0" fontId="4" fillId="15" borderId="324" xfId="0" applyFont="1" applyFill="1" applyBorder="1" applyAlignment="1">
      <alignment vertical="center"/>
    </xf>
    <xf numFmtId="0" fontId="4" fillId="15" borderId="325" xfId="0" applyFont="1" applyFill="1" applyBorder="1" applyAlignment="1">
      <alignment vertical="center"/>
    </xf>
    <xf numFmtId="0" fontId="4" fillId="15" borderId="325" xfId="0" applyFont="1" applyFill="1" applyBorder="1" applyAlignment="1">
      <alignment horizontal="left" indent="1"/>
    </xf>
    <xf numFmtId="0" fontId="4" fillId="15" borderId="326" xfId="0" applyFont="1" applyFill="1" applyBorder="1" applyAlignment="1">
      <alignment vertical="center"/>
    </xf>
    <xf numFmtId="0" fontId="4" fillId="15" borderId="130" xfId="0" applyFont="1" applyFill="1" applyBorder="1" applyAlignment="1">
      <alignment horizontal="left" indent="1"/>
    </xf>
    <xf numFmtId="0" fontId="4" fillId="14" borderId="325" xfId="0" applyFont="1" applyFill="1" applyBorder="1" applyAlignment="1">
      <alignment vertical="center"/>
    </xf>
    <xf numFmtId="0" fontId="4" fillId="15" borderId="325" xfId="0" applyFont="1" applyFill="1" applyBorder="1" applyAlignment="1">
      <alignment horizontal="center"/>
    </xf>
    <xf numFmtId="0" fontId="24" fillId="3" borderId="327" xfId="0" applyFont="1" applyFill="1" applyBorder="1" applyAlignment="1">
      <alignment horizontal="center" vertical="center"/>
    </xf>
    <xf numFmtId="0" fontId="43" fillId="3" borderId="328" xfId="0" applyFont="1" applyFill="1" applyBorder="1" applyAlignment="1">
      <alignment horizontal="center" vertical="center"/>
    </xf>
    <xf numFmtId="0" fontId="26" fillId="3" borderId="329" xfId="0" applyFont="1" applyFill="1" applyBorder="1" applyAlignment="1">
      <alignment horizontal="center" vertical="center"/>
    </xf>
    <xf numFmtId="0" fontId="43" fillId="3" borderId="145" xfId="0" applyFont="1" applyFill="1" applyBorder="1" applyAlignment="1">
      <alignment horizontal="center" vertical="center"/>
    </xf>
    <xf numFmtId="0" fontId="26" fillId="3" borderId="144" xfId="0" applyFont="1" applyFill="1" applyBorder="1" applyAlignment="1">
      <alignment horizontal="center" vertical="center"/>
    </xf>
    <xf numFmtId="0" fontId="26" fillId="3" borderId="135" xfId="0" applyFont="1" applyFill="1" applyBorder="1" applyAlignment="1">
      <alignment horizontal="center" vertical="center"/>
    </xf>
    <xf numFmtId="0" fontId="43" fillId="3" borderId="135" xfId="0" applyFont="1" applyFill="1" applyBorder="1" applyAlignment="1">
      <alignment horizontal="center" vertical="center"/>
    </xf>
    <xf numFmtId="0" fontId="51" fillId="15" borderId="130" xfId="0" applyFont="1" applyFill="1" applyBorder="1" applyAlignment="1">
      <alignment horizontal="left" vertical="top" indent="1"/>
    </xf>
    <xf numFmtId="0" fontId="4" fillId="2" borderId="285" xfId="0" applyFont="1" applyFill="1" applyBorder="1" applyAlignment="1" applyProtection="1">
      <alignment horizontal="left" vertical="center" indent="1"/>
      <protection locked="0"/>
    </xf>
    <xf numFmtId="0" fontId="4" fillId="2" borderId="286" xfId="0" applyFont="1" applyFill="1" applyBorder="1" applyAlignment="1" applyProtection="1">
      <alignment horizontal="left" vertical="center" indent="1"/>
      <protection locked="0"/>
    </xf>
    <xf numFmtId="0" fontId="4" fillId="2" borderId="287" xfId="0" applyFont="1" applyFill="1" applyBorder="1" applyAlignment="1" applyProtection="1">
      <alignment horizontal="left" vertical="center" indent="1"/>
      <protection locked="0"/>
    </xf>
    <xf numFmtId="0" fontId="25" fillId="3" borderId="133" xfId="0" applyFont="1" applyFill="1" applyBorder="1" applyAlignment="1">
      <alignment horizontal="center" vertical="center"/>
    </xf>
    <xf numFmtId="0" fontId="25" fillId="3" borderId="138" xfId="0" applyFont="1" applyFill="1" applyBorder="1" applyAlignment="1">
      <alignment horizontal="center" vertical="center"/>
    </xf>
    <xf numFmtId="0" fontId="25" fillId="3" borderId="139" xfId="0" applyFont="1" applyFill="1" applyBorder="1" applyAlignment="1">
      <alignment horizontal="center" vertical="center"/>
    </xf>
    <xf numFmtId="0" fontId="25" fillId="3" borderId="132" xfId="0" applyFont="1" applyFill="1" applyBorder="1" applyAlignment="1">
      <alignment horizontal="center" vertical="center"/>
    </xf>
    <xf numFmtId="0" fontId="25" fillId="3" borderId="136" xfId="0" applyFont="1" applyFill="1" applyBorder="1" applyAlignment="1">
      <alignment horizontal="center" vertical="center"/>
    </xf>
    <xf numFmtId="0" fontId="25" fillId="3" borderId="137" xfId="0" applyFont="1" applyFill="1" applyBorder="1" applyAlignment="1">
      <alignment horizontal="center" vertical="center"/>
    </xf>
    <xf numFmtId="0" fontId="4" fillId="6" borderId="176" xfId="0" applyFont="1" applyFill="1" applyBorder="1" applyAlignment="1" applyProtection="1">
      <alignment horizontal="left" vertical="center" indent="1"/>
      <protection locked="0"/>
    </xf>
    <xf numFmtId="0" fontId="4" fillId="6" borderId="177" xfId="0" applyFont="1" applyFill="1" applyBorder="1" applyAlignment="1" applyProtection="1">
      <alignment horizontal="left" vertical="center" indent="1"/>
      <protection locked="0"/>
    </xf>
    <xf numFmtId="0" fontId="4" fillId="6" borderId="178" xfId="0" applyFont="1" applyFill="1" applyBorder="1" applyAlignment="1" applyProtection="1">
      <alignment horizontal="left" vertical="center" indent="1"/>
      <protection locked="0"/>
    </xf>
    <xf numFmtId="0" fontId="4" fillId="6" borderId="12" xfId="0" applyFont="1" applyFill="1" applyBorder="1" applyAlignment="1" applyProtection="1">
      <alignment horizontal="left" vertical="center" indent="1"/>
      <protection locked="0"/>
    </xf>
    <xf numFmtId="0" fontId="4" fillId="6" borderId="13" xfId="0" applyFont="1" applyFill="1" applyBorder="1" applyAlignment="1" applyProtection="1">
      <alignment horizontal="left" vertical="center" indent="1"/>
      <protection locked="0"/>
    </xf>
    <xf numFmtId="0" fontId="4" fillId="6" borderId="14" xfId="0" applyFont="1" applyFill="1" applyBorder="1" applyAlignment="1" applyProtection="1">
      <alignment horizontal="left" vertical="center" indent="1"/>
      <protection locked="0"/>
    </xf>
    <xf numFmtId="0" fontId="4" fillId="6" borderId="16" xfId="0" applyFont="1" applyFill="1" applyBorder="1" applyAlignment="1" applyProtection="1">
      <alignment horizontal="left" vertical="center" indent="1"/>
      <protection locked="0"/>
    </xf>
    <xf numFmtId="0" fontId="4" fillId="6" borderId="60" xfId="0" applyFont="1" applyFill="1" applyBorder="1" applyAlignment="1" applyProtection="1">
      <alignment horizontal="left" vertical="center" indent="1"/>
      <protection locked="0"/>
    </xf>
    <xf numFmtId="0" fontId="4" fillId="6" borderId="61" xfId="0" applyFont="1" applyFill="1" applyBorder="1" applyAlignment="1" applyProtection="1">
      <alignment horizontal="left" vertical="center" indent="1"/>
      <protection locked="0"/>
    </xf>
    <xf numFmtId="0" fontId="4" fillId="6" borderId="294" xfId="0" applyFont="1" applyFill="1" applyBorder="1" applyAlignment="1" applyProtection="1">
      <alignment horizontal="left" vertical="center" indent="1"/>
      <protection locked="0"/>
    </xf>
    <xf numFmtId="0" fontId="4" fillId="6" borderId="274" xfId="0" applyFont="1" applyFill="1" applyBorder="1" applyAlignment="1" applyProtection="1">
      <alignment horizontal="left" vertical="center" indent="1"/>
      <protection locked="0"/>
    </xf>
    <xf numFmtId="0" fontId="4" fillId="6" borderId="260" xfId="0" applyFont="1" applyFill="1" applyBorder="1" applyAlignment="1" applyProtection="1">
      <alignment horizontal="left" vertical="center" indent="1"/>
      <protection locked="0"/>
    </xf>
    <xf numFmtId="0" fontId="4" fillId="6" borderId="261" xfId="0" applyFont="1" applyFill="1" applyBorder="1" applyAlignment="1" applyProtection="1">
      <alignment horizontal="left" vertical="center" indent="1"/>
      <protection locked="0"/>
    </xf>
    <xf numFmtId="0" fontId="4" fillId="6" borderId="249" xfId="0" applyFont="1" applyFill="1" applyBorder="1" applyAlignment="1" applyProtection="1">
      <alignment horizontal="left" vertical="center" indent="1"/>
      <protection locked="0"/>
    </xf>
    <xf numFmtId="0" fontId="4" fillId="6" borderId="266" xfId="0" applyFont="1" applyFill="1" applyBorder="1" applyAlignment="1" applyProtection="1">
      <alignment horizontal="left" vertical="center" indent="1"/>
      <protection locked="0"/>
    </xf>
    <xf numFmtId="0" fontId="4" fillId="6" borderId="296" xfId="0" applyFont="1" applyFill="1" applyBorder="1" applyAlignment="1" applyProtection="1">
      <alignment horizontal="left" vertical="center" indent="1"/>
      <protection locked="0"/>
    </xf>
    <xf numFmtId="0" fontId="4" fillId="6" borderId="297" xfId="0" applyFont="1" applyFill="1" applyBorder="1" applyAlignment="1" applyProtection="1">
      <alignment horizontal="left" vertical="center" indent="1"/>
      <protection locked="0"/>
    </xf>
    <xf numFmtId="0" fontId="4" fillId="6" borderId="119" xfId="0" applyFont="1" applyFill="1" applyBorder="1" applyAlignment="1" applyProtection="1">
      <alignment horizontal="left" vertical="center" indent="1"/>
      <protection locked="0"/>
    </xf>
    <xf numFmtId="0" fontId="4" fillId="6" borderId="42" xfId="0" applyFont="1" applyFill="1" applyBorder="1" applyAlignment="1" applyProtection="1">
      <alignment horizontal="left" vertical="center" indent="1"/>
      <protection locked="0"/>
    </xf>
    <xf numFmtId="0" fontId="4" fillId="6" borderId="284" xfId="0" applyFont="1" applyFill="1" applyBorder="1" applyAlignment="1" applyProtection="1">
      <alignment horizontal="left" vertical="center" indent="1"/>
      <protection locked="0"/>
    </xf>
    <xf numFmtId="0" fontId="4" fillId="6" borderId="40" xfId="0" applyFont="1" applyFill="1" applyBorder="1" applyAlignment="1" applyProtection="1">
      <alignment horizontal="left" vertical="center" indent="1"/>
      <protection locked="0"/>
    </xf>
    <xf numFmtId="0" fontId="4" fillId="6" borderId="235" xfId="0" applyFont="1" applyFill="1" applyBorder="1" applyAlignment="1" applyProtection="1">
      <alignment horizontal="left" vertical="center" indent="1"/>
      <protection locked="0"/>
    </xf>
    <xf numFmtId="0" fontId="4" fillId="6" borderId="236" xfId="0" applyFont="1" applyFill="1" applyBorder="1" applyAlignment="1" applyProtection="1">
      <alignment horizontal="left" vertical="center" indent="1"/>
      <protection locked="0"/>
    </xf>
    <xf numFmtId="0" fontId="4" fillId="6" borderId="251" xfId="0" applyFont="1" applyFill="1" applyBorder="1" applyAlignment="1" applyProtection="1">
      <alignment horizontal="left" vertical="center" indent="1"/>
      <protection locked="0"/>
    </xf>
    <xf numFmtId="0" fontId="4" fillId="6" borderId="252" xfId="0" applyFont="1" applyFill="1" applyBorder="1" applyAlignment="1" applyProtection="1">
      <alignment horizontal="left" vertical="center" indent="1"/>
      <protection locked="0"/>
    </xf>
  </cellXfs>
  <cellStyles count="47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3" builtinId="27" customBuiltin="1"/>
    <cellStyle name="Calculation" xfId="16" builtinId="22" customBuiltin="1"/>
    <cellStyle name="Check Cell" xfId="18" builtinId="23" customBuiltin="1"/>
    <cellStyle name="Comma" xfId="6" builtinId="3"/>
    <cellStyle name="Comma 2" xfId="2" xr:uid="{424D807B-6063-4EC6-8175-B69E710CB3F2}"/>
    <cellStyle name="Currency 2" xfId="3" xr:uid="{1D68EBC3-D67F-4A61-941F-A6407F4EBDC9}"/>
    <cellStyle name="Explanatory Text" xfId="21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4" builtinId="20" customBuiltin="1"/>
    <cellStyle name="Linked Cell" xfId="17" builtinId="24" customBuiltin="1"/>
    <cellStyle name="Neutral" xfId="1" builtinId="28" customBuiltin="1"/>
    <cellStyle name="Normal" xfId="0" builtinId="0"/>
    <cellStyle name="Normal 2" xfId="4" xr:uid="{7E651DCF-9DBF-4D03-A530-42BDFCC70047}"/>
    <cellStyle name="Note" xfId="20" builtinId="10" customBuiltin="1"/>
    <cellStyle name="Output" xfId="15" builtinId="21" customBuiltin="1"/>
    <cellStyle name="Percent" xfId="5" builtinId="5"/>
    <cellStyle name="Title" xfId="7" builtinId="15" customBuiltin="1"/>
    <cellStyle name="Total" xfId="22" builtinId="25" customBuiltin="1"/>
    <cellStyle name="Warning Text" xfId="19" builtinId="11" customBuiltin="1"/>
  </cellStyles>
  <dxfs count="124">
    <dxf>
      <font>
        <color rgb="FFC00000"/>
      </font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strike val="0"/>
        <color rgb="FFFF0000"/>
      </font>
      <fill>
        <patternFill>
          <bgColor rgb="FFFFCC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CCCC"/>
        </patternFill>
      </fill>
    </dxf>
    <dxf>
      <fill>
        <patternFill>
          <bgColor rgb="FFFFFFCC"/>
        </patternFill>
      </fill>
    </dxf>
    <dxf>
      <font>
        <strike val="0"/>
        <color rgb="FFFF0000"/>
      </font>
      <fill>
        <patternFill>
          <bgColor rgb="FFFFCC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2" formatCode="0.0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2" formatCode="0.0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2" formatCode="0.0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2" formatCode="0.0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2" formatCode="0.0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2" formatCode="0.0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  <protection locked="0" hidden="0"/>
    </dxf>
    <dxf>
      <border outline="0">
        <left style="thick">
          <color auto="1"/>
        </left>
        <right style="thick">
          <color auto="1"/>
        </right>
        <top style="thick">
          <color rgb="FF000000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ptos"/>
        <family val="2"/>
        <scheme val="none"/>
      </font>
      <protection locked="0" hidden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"/>
        <family val="2"/>
        <scheme val="none"/>
      </font>
      <fill>
        <patternFill patternType="solid">
          <fgColor indexed="64"/>
          <bgColor theme="5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2" formatCode="0.0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2" formatCode="0.0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2" formatCode="0.0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2" formatCode="0.0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2" formatCode="0.0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" formatCode="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  <protection locked="0" hidden="0"/>
    </dxf>
    <dxf>
      <border outline="0">
        <left style="thick">
          <color auto="1"/>
        </left>
        <right style="thick">
          <color auto="1"/>
        </right>
        <top style="thick">
          <color rgb="FF000000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ptos"/>
        <family val="2"/>
        <scheme val="none"/>
      </font>
      <numFmt numFmtId="2" formatCode="0.00"/>
      <protection locked="0" hidden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"/>
        <family val="2"/>
        <scheme val="none"/>
      </font>
      <fill>
        <patternFill patternType="solid">
          <fgColor indexed="64"/>
          <bgColor theme="5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" formatCode="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  <protection locked="0" hidden="0"/>
    </dxf>
    <dxf>
      <border outline="0">
        <left style="thick">
          <color auto="1"/>
        </left>
        <right style="thick">
          <color auto="1"/>
        </right>
        <top style="thick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protection locked="0" hidden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"/>
        <family val="2"/>
        <scheme val="none"/>
      </font>
      <fill>
        <patternFill patternType="solid">
          <fgColor indexed="64"/>
          <bgColor theme="5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6" formatCode="0.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6" formatCode="0.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2" formatCode="0.0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hair">
          <color auto="1"/>
        </right>
        <top/>
        <bottom/>
        <vertical/>
        <horizontal/>
      </border>
      <protection locked="0" hidden="0"/>
    </dxf>
    <dxf>
      <border outline="0">
        <left style="thick">
          <color auto="1"/>
        </left>
        <right style="thick">
          <color auto="1"/>
        </right>
        <top style="thick">
          <color indexed="64"/>
        </top>
      </border>
    </dxf>
    <dxf>
      <protection locked="0" hidden="0"/>
    </dxf>
    <dxf>
      <border outline="0">
        <bottom style="medium">
          <color auto="1"/>
        </bottom>
      </border>
    </dxf>
    <dxf>
      <protection locked="0" hidden="0"/>
    </dxf>
  </dxfs>
  <tableStyles count="0" defaultTableStyle="TableStyleMedium2" defaultPivotStyle="PivotStyleLight16"/>
  <colors>
    <mruColors>
      <color rgb="FFFFFF99"/>
      <color rgb="FFFFFFCC"/>
      <color rgb="FFFF9999"/>
      <color rgb="FFF8F8F8"/>
      <color rgb="FF23626F"/>
      <color rgb="FF2E8192"/>
      <color rgb="FFDAE6E2"/>
      <color rgb="FFC1D5CE"/>
      <color rgb="FFBED4CC"/>
      <color rgb="FFEDF3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23738021119449E-2"/>
          <c:y val="0.12303084120472964"/>
          <c:w val="0.86038233229567229"/>
          <c:h val="0.668260591677537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cost!$L$26</c:f>
              <c:strCache>
                <c:ptCount val="1"/>
                <c:pt idx="0">
                  <c:v>Price [$/Cook]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cost!$I$27:$K$33</c:f>
              <c:multiLvlStrCache>
                <c:ptCount val="7"/>
                <c:lvl>
                  <c:pt idx="0">
                    <c:v>urban</c:v>
                  </c:pt>
                  <c:pt idx="1">
                    <c:v>urban</c:v>
                  </c:pt>
                  <c:pt idx="2">
                    <c:v>urban</c:v>
                  </c:pt>
                  <c:pt idx="3">
                    <c:v>urban</c:v>
                  </c:pt>
                  <c:pt idx="4">
                    <c:v>urban</c:v>
                  </c:pt>
                  <c:pt idx="5">
                    <c:v>urban</c:v>
                  </c:pt>
                  <c:pt idx="6">
                    <c:v>urban</c:v>
                  </c:pt>
                </c:lvl>
                <c:lvl>
                  <c:pt idx="0">
                    <c:v>first</c:v>
                  </c:pt>
                  <c:pt idx="1">
                    <c:v>second</c:v>
                  </c:pt>
                  <c:pt idx="2">
                    <c:v>first</c:v>
                  </c:pt>
                  <c:pt idx="3">
                    <c:v>second</c:v>
                  </c:pt>
                  <c:pt idx="4">
                    <c:v>first</c:v>
                  </c:pt>
                  <c:pt idx="5">
                    <c:v>second</c:v>
                  </c:pt>
                  <c:pt idx="6">
                    <c:v>first</c:v>
                  </c:pt>
                </c:lvl>
                <c:lvl>
                  <c:pt idx="0">
                    <c:v>2025</c:v>
                  </c:pt>
                  <c:pt idx="1">
                    <c:v>2025</c:v>
                  </c:pt>
                  <c:pt idx="2">
                    <c:v>2030</c:v>
                  </c:pt>
                  <c:pt idx="3">
                    <c:v>2030</c:v>
                  </c:pt>
                  <c:pt idx="4">
                    <c:v>2033</c:v>
                  </c:pt>
                  <c:pt idx="5">
                    <c:v>2033</c:v>
                  </c:pt>
                  <c:pt idx="6">
                    <c:v>2038</c:v>
                  </c:pt>
                </c:lvl>
              </c:multiLvlStrCache>
            </c:multiLvlStrRef>
          </c:cat>
          <c:val>
            <c:numRef>
              <c:f>cost!$L$27:$L$33</c:f>
              <c:numCache>
                <c:formatCode>General</c:formatCode>
                <c:ptCount val="7"/>
                <c:pt idx="0">
                  <c:v>0.11700000000000001</c:v>
                </c:pt>
                <c:pt idx="1">
                  <c:v>0.115</c:v>
                </c:pt>
                <c:pt idx="2">
                  <c:v>9.9000000000000005E-2</c:v>
                </c:pt>
                <c:pt idx="3">
                  <c:v>9.8000000000000004E-2</c:v>
                </c:pt>
                <c:pt idx="4">
                  <c:v>9.8000000000000004E-2</c:v>
                </c:pt>
                <c:pt idx="5">
                  <c:v>0.109</c:v>
                </c:pt>
                <c:pt idx="6">
                  <c:v>0.111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3-425D-94F5-389140818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682841199"/>
        <c:axId val="682820559"/>
      </c:barChart>
      <c:lineChart>
        <c:grouping val="standard"/>
        <c:varyColors val="0"/>
        <c:ser>
          <c:idx val="1"/>
          <c:order val="1"/>
          <c:tx>
            <c:strRef>
              <c:f>cost!$M$26</c:f>
              <c:strCache>
                <c:ptCount val="1"/>
                <c:pt idx="0">
                  <c:v>Expenditure [$/year]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cost!$I$27:$K$33</c:f>
              <c:multiLvlStrCache>
                <c:ptCount val="7"/>
                <c:lvl>
                  <c:pt idx="0">
                    <c:v>urban</c:v>
                  </c:pt>
                  <c:pt idx="1">
                    <c:v>urban</c:v>
                  </c:pt>
                  <c:pt idx="2">
                    <c:v>urban</c:v>
                  </c:pt>
                  <c:pt idx="3">
                    <c:v>urban</c:v>
                  </c:pt>
                  <c:pt idx="4">
                    <c:v>urban</c:v>
                  </c:pt>
                  <c:pt idx="5">
                    <c:v>urban</c:v>
                  </c:pt>
                  <c:pt idx="6">
                    <c:v>urban</c:v>
                  </c:pt>
                </c:lvl>
                <c:lvl>
                  <c:pt idx="0">
                    <c:v>first</c:v>
                  </c:pt>
                  <c:pt idx="1">
                    <c:v>second</c:v>
                  </c:pt>
                  <c:pt idx="2">
                    <c:v>first</c:v>
                  </c:pt>
                  <c:pt idx="3">
                    <c:v>second</c:v>
                  </c:pt>
                  <c:pt idx="4">
                    <c:v>first</c:v>
                  </c:pt>
                  <c:pt idx="5">
                    <c:v>second</c:v>
                  </c:pt>
                  <c:pt idx="6">
                    <c:v>first</c:v>
                  </c:pt>
                </c:lvl>
                <c:lvl>
                  <c:pt idx="0">
                    <c:v>2025</c:v>
                  </c:pt>
                  <c:pt idx="1">
                    <c:v>2025</c:v>
                  </c:pt>
                  <c:pt idx="2">
                    <c:v>2030</c:v>
                  </c:pt>
                  <c:pt idx="3">
                    <c:v>2030</c:v>
                  </c:pt>
                  <c:pt idx="4">
                    <c:v>2033</c:v>
                  </c:pt>
                  <c:pt idx="5">
                    <c:v>2033</c:v>
                  </c:pt>
                  <c:pt idx="6">
                    <c:v>2038</c:v>
                  </c:pt>
                </c:lvl>
              </c:multiLvlStrCache>
            </c:multiLvlStrRef>
          </c:cat>
          <c:val>
            <c:numRef>
              <c:f>cost!$M$27:$M$33</c:f>
              <c:numCache>
                <c:formatCode>General</c:formatCode>
                <c:ptCount val="7"/>
                <c:pt idx="0">
                  <c:v>261.63799999999998</c:v>
                </c:pt>
                <c:pt idx="1">
                  <c:v>257.45800000000003</c:v>
                </c:pt>
                <c:pt idx="2">
                  <c:v>305.26</c:v>
                </c:pt>
                <c:pt idx="3">
                  <c:v>301.471</c:v>
                </c:pt>
                <c:pt idx="4">
                  <c:v>367.334</c:v>
                </c:pt>
                <c:pt idx="5">
                  <c:v>408.45600000000002</c:v>
                </c:pt>
                <c:pt idx="6">
                  <c:v>577.95699999999999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43-425D-94F5-389140818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6841696"/>
        <c:axId val="2026842176"/>
      </c:lineChart>
      <c:catAx>
        <c:axId val="682841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682820559"/>
        <c:crosses val="autoZero"/>
        <c:auto val="1"/>
        <c:lblAlgn val="ctr"/>
        <c:lblOffset val="100"/>
        <c:noMultiLvlLbl val="0"/>
      </c:catAx>
      <c:valAx>
        <c:axId val="68282055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682841199"/>
        <c:crosses val="autoZero"/>
        <c:crossBetween val="between"/>
      </c:valAx>
      <c:valAx>
        <c:axId val="2026842176"/>
        <c:scaling>
          <c:orientation val="minMax"/>
          <c:min val="0"/>
        </c:scaling>
        <c:delete val="0"/>
        <c:axPos val="r"/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26841696"/>
        <c:crosses val="max"/>
        <c:crossBetween val="between"/>
      </c:valAx>
      <c:catAx>
        <c:axId val="2026841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6842176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20000"/>
        <a:lumOff val="80000"/>
      </a:schemeClr>
    </a:solidFill>
    <a:ln w="9525" cap="flat" cmpd="sng" algn="ctr">
      <a:noFill/>
      <a:round/>
    </a:ln>
    <a:effectLst/>
  </c:spPr>
  <c:txPr>
    <a:bodyPr/>
    <a:lstStyle/>
    <a:p>
      <a:pPr>
        <a:defRPr sz="800"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23738021119449E-2"/>
          <c:y val="5.6497175141242938E-2"/>
          <c:w val="0.91931676857224531"/>
          <c:h val="0.7347940662346784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adoption!$M$26</c:f>
              <c:strCache>
                <c:ptCount val="1"/>
                <c:pt idx="0">
                  <c:v>Adoption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adoption!$I$27:$K$33</c:f>
              <c:multiLvlStrCache>
                <c:ptCount val="7"/>
                <c:lvl>
                  <c:pt idx="0">
                    <c:v>rural</c:v>
                  </c:pt>
                  <c:pt idx="1">
                    <c:v>rural</c:v>
                  </c:pt>
                  <c:pt idx="2">
                    <c:v>rural</c:v>
                  </c:pt>
                  <c:pt idx="3">
                    <c:v>rural</c:v>
                  </c:pt>
                  <c:pt idx="4">
                    <c:v>rural</c:v>
                  </c:pt>
                  <c:pt idx="5">
                    <c:v>rural</c:v>
                  </c:pt>
                  <c:pt idx="6">
                    <c:v>rural</c:v>
                  </c:pt>
                </c:lvl>
                <c:lvl>
                  <c:pt idx="0">
                    <c:v>first</c:v>
                  </c:pt>
                  <c:pt idx="1">
                    <c:v>second</c:v>
                  </c:pt>
                  <c:pt idx="2">
                    <c:v>first</c:v>
                  </c:pt>
                  <c:pt idx="3">
                    <c:v>second</c:v>
                  </c:pt>
                  <c:pt idx="4">
                    <c:v>first</c:v>
                  </c:pt>
                  <c:pt idx="5">
                    <c:v>second</c:v>
                  </c:pt>
                  <c:pt idx="6">
                    <c:v>first</c:v>
                  </c:pt>
                </c:lvl>
                <c:lvl>
                  <c:pt idx="0">
                    <c:v>2025</c:v>
                  </c:pt>
                  <c:pt idx="1">
                    <c:v>2025</c:v>
                  </c:pt>
                  <c:pt idx="2">
                    <c:v>2030</c:v>
                  </c:pt>
                  <c:pt idx="3">
                    <c:v>2030</c:v>
                  </c:pt>
                  <c:pt idx="4">
                    <c:v>2033</c:v>
                  </c:pt>
                  <c:pt idx="5">
                    <c:v>2033</c:v>
                  </c:pt>
                  <c:pt idx="6">
                    <c:v>2038</c:v>
                  </c:pt>
                </c:lvl>
              </c:multiLvlStrCache>
            </c:multiLvlStrRef>
          </c:cat>
          <c:val>
            <c:numRef>
              <c:f>adoption!$M$27:$M$33</c:f>
              <c:numCache>
                <c:formatCode>0%</c:formatCode>
                <c:ptCount val="7"/>
                <c:pt idx="0">
                  <c:v>0.30122500000000002</c:v>
                </c:pt>
                <c:pt idx="1">
                  <c:v>0.28731099999999998</c:v>
                </c:pt>
                <c:pt idx="2">
                  <c:v>0.152973</c:v>
                </c:pt>
                <c:pt idx="3">
                  <c:v>0.146006</c:v>
                </c:pt>
                <c:pt idx="4">
                  <c:v>0.141347</c:v>
                </c:pt>
                <c:pt idx="5">
                  <c:v>0.18945799999999999</c:v>
                </c:pt>
                <c:pt idx="6">
                  <c:v>0.18909300000000001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42-482A-86B0-137314101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overlap val="100"/>
        <c:axId val="682841199"/>
        <c:axId val="68282055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adoption!$L$26</c15:sqref>
                        </c15:formulaRef>
                      </c:ext>
                    </c:extLst>
                    <c:strCache>
                      <c:ptCount val="1"/>
                      <c:pt idx="0">
                        <c:v>Technology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adoption!$I$27:$K$33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rural</c:v>
                        </c:pt>
                        <c:pt idx="1">
                          <c:v>rural</c:v>
                        </c:pt>
                        <c:pt idx="2">
                          <c:v>rural</c:v>
                        </c:pt>
                        <c:pt idx="3">
                          <c:v>rural</c:v>
                        </c:pt>
                        <c:pt idx="4">
                          <c:v>rural</c:v>
                        </c:pt>
                        <c:pt idx="5">
                          <c:v>rural</c:v>
                        </c:pt>
                        <c:pt idx="6">
                          <c:v>rural</c:v>
                        </c:pt>
                      </c:lvl>
                      <c:lvl>
                        <c:pt idx="0">
                          <c:v>first</c:v>
                        </c:pt>
                        <c:pt idx="1">
                          <c:v>second</c:v>
                        </c:pt>
                        <c:pt idx="2">
                          <c:v>first</c:v>
                        </c:pt>
                        <c:pt idx="3">
                          <c:v>second</c:v>
                        </c:pt>
                        <c:pt idx="4">
                          <c:v>first</c:v>
                        </c:pt>
                        <c:pt idx="5">
                          <c:v>second</c:v>
                        </c:pt>
                        <c:pt idx="6">
                          <c:v>first</c:v>
                        </c:pt>
                      </c:lvl>
                      <c:lvl>
                        <c:pt idx="0">
                          <c:v>2025</c:v>
                        </c:pt>
                        <c:pt idx="1">
                          <c:v>2025</c:v>
                        </c:pt>
                        <c:pt idx="2">
                          <c:v>2030</c:v>
                        </c:pt>
                        <c:pt idx="3">
                          <c:v>2030</c:v>
                        </c:pt>
                        <c:pt idx="4">
                          <c:v>2033</c:v>
                        </c:pt>
                        <c:pt idx="5">
                          <c:v>2033</c:v>
                        </c:pt>
                        <c:pt idx="6">
                          <c:v>2038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adoption!$L$27:$L$33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9</c:v>
                      </c:pt>
                      <c:pt idx="1">
                        <c:v>9</c:v>
                      </c:pt>
                      <c:pt idx="2">
                        <c:v>9</c:v>
                      </c:pt>
                      <c:pt idx="3">
                        <c:v>9</c:v>
                      </c:pt>
                      <c:pt idx="4">
                        <c:v>9</c:v>
                      </c:pt>
                      <c:pt idx="5">
                        <c:v>9</c:v>
                      </c:pt>
                      <c:pt idx="6">
                        <c:v>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FA42-482A-86B0-137314101503}"/>
                  </c:ext>
                </c:extLst>
              </c15:ser>
            </c15:filteredBarSeries>
          </c:ext>
        </c:extLst>
      </c:barChart>
      <c:catAx>
        <c:axId val="682841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682820559"/>
        <c:crosses val="autoZero"/>
        <c:auto val="1"/>
        <c:lblAlgn val="ctr"/>
        <c:lblOffset val="100"/>
        <c:noMultiLvlLbl val="0"/>
      </c:catAx>
      <c:valAx>
        <c:axId val="682820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682841199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20000"/>
        <a:lumOff val="80000"/>
      </a:schemeClr>
    </a:solidFill>
    <a:ln w="9525" cap="flat" cmpd="sng" algn="ctr">
      <a:noFill/>
      <a:round/>
    </a:ln>
    <a:effectLst/>
  </c:spPr>
  <c:txPr>
    <a:bodyPr/>
    <a:lstStyle/>
    <a:p>
      <a:pPr>
        <a:defRPr sz="900"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23738021119449E-2"/>
          <c:y val="0.10009215397371103"/>
          <c:w val="0.91931676857224531"/>
          <c:h val="0.7834204703285329"/>
        </c:manualLayout>
      </c:layout>
      <c:lineChart>
        <c:grouping val="standard"/>
        <c:varyColors val="0"/>
        <c:ser>
          <c:idx val="1"/>
          <c:order val="0"/>
          <c:tx>
            <c:strRef>
              <c:f>'social-impact'!$D$26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'social-impact'!$B$27:$C$33</c:f>
              <c:multiLvlStrCache>
                <c:ptCount val="7"/>
                <c:lvl>
                  <c:pt idx="0">
                    <c:v>first</c:v>
                  </c:pt>
                  <c:pt idx="1">
                    <c:v>second</c:v>
                  </c:pt>
                  <c:pt idx="2">
                    <c:v>first</c:v>
                  </c:pt>
                  <c:pt idx="3">
                    <c:v>second</c:v>
                  </c:pt>
                  <c:pt idx="4">
                    <c:v>first</c:v>
                  </c:pt>
                  <c:pt idx="5">
                    <c:v>second</c:v>
                  </c:pt>
                  <c:pt idx="6">
                    <c:v>first</c:v>
                  </c:pt>
                </c:lvl>
                <c:lvl>
                  <c:pt idx="0">
                    <c:v>2025</c:v>
                  </c:pt>
                  <c:pt idx="1">
                    <c:v>2025</c:v>
                  </c:pt>
                  <c:pt idx="2">
                    <c:v>2030</c:v>
                  </c:pt>
                  <c:pt idx="3">
                    <c:v>2030</c:v>
                  </c:pt>
                  <c:pt idx="4">
                    <c:v>2033</c:v>
                  </c:pt>
                  <c:pt idx="5">
                    <c:v>2033</c:v>
                  </c:pt>
                  <c:pt idx="6">
                    <c:v>2038</c:v>
                  </c:pt>
                </c:lvl>
              </c:multiLvlStrCache>
            </c:multiLvlStrRef>
          </c:cat>
          <c:val>
            <c:numRef>
              <c:f>'social-impact'!$D$27:$D$33</c:f>
              <c:numCache>
                <c:formatCode>0.00</c:formatCode>
                <c:ptCount val="7"/>
                <c:pt idx="0">
                  <c:v>1</c:v>
                </c:pt>
                <c:pt idx="1">
                  <c:v>0.995</c:v>
                </c:pt>
                <c:pt idx="2">
                  <c:v>1.038</c:v>
                </c:pt>
                <c:pt idx="3">
                  <c:v>1.0369999999999999</c:v>
                </c:pt>
                <c:pt idx="4">
                  <c:v>1.103</c:v>
                </c:pt>
                <c:pt idx="5">
                  <c:v>1.133</c:v>
                </c:pt>
                <c:pt idx="6">
                  <c:v>1.3080000000000001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5D-4F27-BBF8-1FBA057F757B}"/>
            </c:ext>
          </c:extLst>
        </c:ser>
        <c:ser>
          <c:idx val="2"/>
          <c:order val="1"/>
          <c:tx>
            <c:strRef>
              <c:f>'social-impact'!$E$26</c:f>
              <c:strCache>
                <c:ptCount val="1"/>
                <c:pt idx="0">
                  <c:v>Gender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'social-impact'!$B$27:$C$33</c:f>
              <c:multiLvlStrCache>
                <c:ptCount val="7"/>
                <c:lvl>
                  <c:pt idx="0">
                    <c:v>first</c:v>
                  </c:pt>
                  <c:pt idx="1">
                    <c:v>second</c:v>
                  </c:pt>
                  <c:pt idx="2">
                    <c:v>first</c:v>
                  </c:pt>
                  <c:pt idx="3">
                    <c:v>second</c:v>
                  </c:pt>
                  <c:pt idx="4">
                    <c:v>first</c:v>
                  </c:pt>
                  <c:pt idx="5">
                    <c:v>second</c:v>
                  </c:pt>
                  <c:pt idx="6">
                    <c:v>first</c:v>
                  </c:pt>
                </c:lvl>
                <c:lvl>
                  <c:pt idx="0">
                    <c:v>2025</c:v>
                  </c:pt>
                  <c:pt idx="1">
                    <c:v>2025</c:v>
                  </c:pt>
                  <c:pt idx="2">
                    <c:v>2030</c:v>
                  </c:pt>
                  <c:pt idx="3">
                    <c:v>2030</c:v>
                  </c:pt>
                  <c:pt idx="4">
                    <c:v>2033</c:v>
                  </c:pt>
                  <c:pt idx="5">
                    <c:v>2033</c:v>
                  </c:pt>
                  <c:pt idx="6">
                    <c:v>2038</c:v>
                  </c:pt>
                </c:lvl>
              </c:multiLvlStrCache>
            </c:multiLvlStrRef>
          </c:cat>
          <c:val>
            <c:numRef>
              <c:f>'social-impact'!$E$27:$E$33</c:f>
              <c:numCache>
                <c:formatCode>0.00</c:formatCode>
                <c:ptCount val="7"/>
                <c:pt idx="0">
                  <c:v>1</c:v>
                </c:pt>
                <c:pt idx="1">
                  <c:v>1.004</c:v>
                </c:pt>
                <c:pt idx="2">
                  <c:v>1.103</c:v>
                </c:pt>
                <c:pt idx="3">
                  <c:v>1.155</c:v>
                </c:pt>
                <c:pt idx="4">
                  <c:v>1.2150000000000001</c:v>
                </c:pt>
                <c:pt idx="5">
                  <c:v>1.3240000000000001</c:v>
                </c:pt>
                <c:pt idx="6">
                  <c:v>1.4950000000000001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5D-4F27-BBF8-1FBA057F757B}"/>
            </c:ext>
          </c:extLst>
        </c:ser>
        <c:ser>
          <c:idx val="3"/>
          <c:order val="2"/>
          <c:tx>
            <c:strRef>
              <c:f>'social-impact'!$F$26</c:f>
              <c:strCache>
                <c:ptCount val="1"/>
                <c:pt idx="0">
                  <c:v>Emissions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'social-impact'!$B$27:$C$33</c:f>
              <c:multiLvlStrCache>
                <c:ptCount val="7"/>
                <c:lvl>
                  <c:pt idx="0">
                    <c:v>first</c:v>
                  </c:pt>
                  <c:pt idx="1">
                    <c:v>second</c:v>
                  </c:pt>
                  <c:pt idx="2">
                    <c:v>first</c:v>
                  </c:pt>
                  <c:pt idx="3">
                    <c:v>second</c:v>
                  </c:pt>
                  <c:pt idx="4">
                    <c:v>first</c:v>
                  </c:pt>
                  <c:pt idx="5">
                    <c:v>second</c:v>
                  </c:pt>
                  <c:pt idx="6">
                    <c:v>first</c:v>
                  </c:pt>
                </c:lvl>
                <c:lvl>
                  <c:pt idx="0">
                    <c:v>2025</c:v>
                  </c:pt>
                  <c:pt idx="1">
                    <c:v>2025</c:v>
                  </c:pt>
                  <c:pt idx="2">
                    <c:v>2030</c:v>
                  </c:pt>
                  <c:pt idx="3">
                    <c:v>2030</c:v>
                  </c:pt>
                  <c:pt idx="4">
                    <c:v>2033</c:v>
                  </c:pt>
                  <c:pt idx="5">
                    <c:v>2033</c:v>
                  </c:pt>
                  <c:pt idx="6">
                    <c:v>2038</c:v>
                  </c:pt>
                </c:lvl>
              </c:multiLvlStrCache>
            </c:multiLvlStrRef>
          </c:cat>
          <c:val>
            <c:numRef>
              <c:f>'social-impact'!$F$27:$F$33</c:f>
              <c:numCache>
                <c:formatCode>0.00</c:formatCode>
                <c:ptCount val="7"/>
                <c:pt idx="0">
                  <c:v>1</c:v>
                </c:pt>
                <c:pt idx="1">
                  <c:v>1.03</c:v>
                </c:pt>
                <c:pt idx="2">
                  <c:v>1.0169999999999999</c:v>
                </c:pt>
                <c:pt idx="3">
                  <c:v>1.0509999999999999</c:v>
                </c:pt>
                <c:pt idx="4">
                  <c:v>1.1020000000000001</c:v>
                </c:pt>
                <c:pt idx="5">
                  <c:v>1.254</c:v>
                </c:pt>
                <c:pt idx="6">
                  <c:v>1.4279999999999999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E5D-4F27-BBF8-1FBA057F757B}"/>
            </c:ext>
          </c:extLst>
        </c:ser>
        <c:ser>
          <c:idx val="4"/>
          <c:order val="3"/>
          <c:tx>
            <c:strRef>
              <c:f>'social-impact'!$G$26</c:f>
              <c:strCache>
                <c:ptCount val="1"/>
                <c:pt idx="0">
                  <c:v>Deforestation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'social-impact'!$B$27:$C$33</c:f>
              <c:multiLvlStrCache>
                <c:ptCount val="7"/>
                <c:lvl>
                  <c:pt idx="0">
                    <c:v>first</c:v>
                  </c:pt>
                  <c:pt idx="1">
                    <c:v>second</c:v>
                  </c:pt>
                  <c:pt idx="2">
                    <c:v>first</c:v>
                  </c:pt>
                  <c:pt idx="3">
                    <c:v>second</c:v>
                  </c:pt>
                  <c:pt idx="4">
                    <c:v>first</c:v>
                  </c:pt>
                  <c:pt idx="5">
                    <c:v>second</c:v>
                  </c:pt>
                  <c:pt idx="6">
                    <c:v>first</c:v>
                  </c:pt>
                </c:lvl>
                <c:lvl>
                  <c:pt idx="0">
                    <c:v>2025</c:v>
                  </c:pt>
                  <c:pt idx="1">
                    <c:v>2025</c:v>
                  </c:pt>
                  <c:pt idx="2">
                    <c:v>2030</c:v>
                  </c:pt>
                  <c:pt idx="3">
                    <c:v>2030</c:v>
                  </c:pt>
                  <c:pt idx="4">
                    <c:v>2033</c:v>
                  </c:pt>
                  <c:pt idx="5">
                    <c:v>2033</c:v>
                  </c:pt>
                  <c:pt idx="6">
                    <c:v>2038</c:v>
                  </c:pt>
                </c:lvl>
              </c:multiLvlStrCache>
            </c:multiLvlStrRef>
          </c:cat>
          <c:val>
            <c:numRef>
              <c:f>'social-impact'!$G$27:$G$33</c:f>
              <c:numCache>
                <c:formatCode>0.00</c:formatCode>
                <c:ptCount val="7"/>
                <c:pt idx="0">
                  <c:v>1</c:v>
                </c:pt>
                <c:pt idx="1">
                  <c:v>0.98299999999999998</c:v>
                </c:pt>
                <c:pt idx="2">
                  <c:v>0.93</c:v>
                </c:pt>
                <c:pt idx="3">
                  <c:v>0.95599999999999996</c:v>
                </c:pt>
                <c:pt idx="4">
                  <c:v>1.012</c:v>
                </c:pt>
                <c:pt idx="5">
                  <c:v>1.1930000000000001</c:v>
                </c:pt>
                <c:pt idx="6">
                  <c:v>1.3779999999999999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E5D-4F27-BBF8-1FBA057F7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2841199"/>
        <c:axId val="682820559"/>
      </c:lineChart>
      <c:catAx>
        <c:axId val="682841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682820559"/>
        <c:crosses val="autoZero"/>
        <c:auto val="1"/>
        <c:lblAlgn val="ctr"/>
        <c:lblOffset val="100"/>
        <c:noMultiLvlLbl val="0"/>
      </c:catAx>
      <c:valAx>
        <c:axId val="682820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682841199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20000"/>
        <a:lumOff val="80000"/>
      </a:schemeClr>
    </a:solidFill>
    <a:ln w="9525" cap="flat" cmpd="sng" algn="ctr">
      <a:noFill/>
      <a:round/>
    </a:ln>
    <a:effectLst/>
  </c:spPr>
  <c:txPr>
    <a:bodyPr/>
    <a:lstStyle/>
    <a:p>
      <a:pPr>
        <a:defRPr sz="900"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23738021119449E-2"/>
          <c:y val="5.6497175141242938E-2"/>
          <c:w val="0.91931676857224531"/>
          <c:h val="0.73479406623467847"/>
        </c:manualLayout>
      </c:layout>
      <c:lineChart>
        <c:grouping val="standard"/>
        <c:varyColors val="0"/>
        <c:ser>
          <c:idx val="5"/>
          <c:order val="5"/>
          <c:tx>
            <c:strRef>
              <c:f>socioeconomic!$D$26</c:f>
              <c:strCache>
                <c:ptCount val="1"/>
                <c:pt idx="0">
                  <c:v>Grand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socioeconomic!$B$27:$C$33</c:f>
              <c:multiLvlStrCache>
                <c:ptCount val="7"/>
                <c:lvl>
                  <c:pt idx="0">
                    <c:v>first</c:v>
                  </c:pt>
                  <c:pt idx="1">
                    <c:v>second</c:v>
                  </c:pt>
                  <c:pt idx="2">
                    <c:v>first</c:v>
                  </c:pt>
                  <c:pt idx="3">
                    <c:v>second</c:v>
                  </c:pt>
                  <c:pt idx="4">
                    <c:v>first</c:v>
                  </c:pt>
                  <c:pt idx="5">
                    <c:v>second</c:v>
                  </c:pt>
                  <c:pt idx="6">
                    <c:v>first</c:v>
                  </c:pt>
                </c:lvl>
                <c:lvl>
                  <c:pt idx="0">
                    <c:v>2025</c:v>
                  </c:pt>
                  <c:pt idx="1">
                    <c:v>2025</c:v>
                  </c:pt>
                  <c:pt idx="2">
                    <c:v>2030</c:v>
                  </c:pt>
                  <c:pt idx="3">
                    <c:v>2030</c:v>
                  </c:pt>
                  <c:pt idx="4">
                    <c:v>2033</c:v>
                  </c:pt>
                  <c:pt idx="5">
                    <c:v>2033</c:v>
                  </c:pt>
                  <c:pt idx="6">
                    <c:v>2038</c:v>
                  </c:pt>
                </c:lvl>
              </c:multiLvlStrCache>
            </c:multiLvlStrRef>
          </c:cat>
          <c:val>
            <c:numRef>
              <c:f>socioeconomic!$D$27:$D$33</c:f>
              <c:numCache>
                <c:formatCode>0.00</c:formatCode>
                <c:ptCount val="7"/>
                <c:pt idx="0">
                  <c:v>641.625</c:v>
                </c:pt>
                <c:pt idx="1">
                  <c:v>636.99800000000005</c:v>
                </c:pt>
                <c:pt idx="2">
                  <c:v>642.66899999999998</c:v>
                </c:pt>
                <c:pt idx="3">
                  <c:v>662.43299999999999</c:v>
                </c:pt>
                <c:pt idx="4">
                  <c:v>739.82100000000003</c:v>
                </c:pt>
                <c:pt idx="5">
                  <c:v>857.62599999999998</c:v>
                </c:pt>
                <c:pt idx="6">
                  <c:v>1080.316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11D-4974-A1CC-640B1B511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2841199"/>
        <c:axId val="68282055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socioeconomic!$E$26</c15:sqref>
                        </c15:formulaRef>
                      </c:ext>
                    </c:extLst>
                    <c:strCache>
                      <c:ptCount val="1"/>
                      <c:pt idx="0">
                        <c:v>Base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socioeconomic!$B$27:$C$33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first</c:v>
                        </c:pt>
                        <c:pt idx="1">
                          <c:v>second</c:v>
                        </c:pt>
                        <c:pt idx="2">
                          <c:v>first</c:v>
                        </c:pt>
                        <c:pt idx="3">
                          <c:v>second</c:v>
                        </c:pt>
                        <c:pt idx="4">
                          <c:v>first</c:v>
                        </c:pt>
                        <c:pt idx="5">
                          <c:v>second</c:v>
                        </c:pt>
                        <c:pt idx="6">
                          <c:v>first</c:v>
                        </c:pt>
                      </c:lvl>
                      <c:lvl>
                        <c:pt idx="0">
                          <c:v>2025</c:v>
                        </c:pt>
                        <c:pt idx="1">
                          <c:v>2025</c:v>
                        </c:pt>
                        <c:pt idx="2">
                          <c:v>2030</c:v>
                        </c:pt>
                        <c:pt idx="3">
                          <c:v>2030</c:v>
                        </c:pt>
                        <c:pt idx="4">
                          <c:v>2033</c:v>
                        </c:pt>
                        <c:pt idx="5">
                          <c:v>2033</c:v>
                        </c:pt>
                        <c:pt idx="6">
                          <c:v>2038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socioeconomic!$E$27:$E$33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156.535</c:v>
                      </c:pt>
                      <c:pt idx="1">
                        <c:v>156.535</c:v>
                      </c:pt>
                      <c:pt idx="2">
                        <c:v>156.535</c:v>
                      </c:pt>
                      <c:pt idx="3">
                        <c:v>156.535</c:v>
                      </c:pt>
                      <c:pt idx="4">
                        <c:v>156.535</c:v>
                      </c:pt>
                      <c:pt idx="5">
                        <c:v>156.535</c:v>
                      </c:pt>
                      <c:pt idx="6">
                        <c:v>156.535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11D-4974-A1CC-640B1B5119ED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socioeconomic!$F$26</c15:sqref>
                        </c15:formulaRef>
                      </c:ext>
                    </c:extLst>
                    <c:strCache>
                      <c:ptCount val="1"/>
                      <c:pt idx="0">
                        <c:v>Health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socioeconomic!$B$27:$C$33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first</c:v>
                        </c:pt>
                        <c:pt idx="1">
                          <c:v>second</c:v>
                        </c:pt>
                        <c:pt idx="2">
                          <c:v>first</c:v>
                        </c:pt>
                        <c:pt idx="3">
                          <c:v>second</c:v>
                        </c:pt>
                        <c:pt idx="4">
                          <c:v>first</c:v>
                        </c:pt>
                        <c:pt idx="5">
                          <c:v>second</c:v>
                        </c:pt>
                        <c:pt idx="6">
                          <c:v>first</c:v>
                        </c:pt>
                      </c:lvl>
                      <c:lvl>
                        <c:pt idx="0">
                          <c:v>2025</c:v>
                        </c:pt>
                        <c:pt idx="1">
                          <c:v>2025</c:v>
                        </c:pt>
                        <c:pt idx="2">
                          <c:v>2030</c:v>
                        </c:pt>
                        <c:pt idx="3">
                          <c:v>2030</c:v>
                        </c:pt>
                        <c:pt idx="4">
                          <c:v>2033</c:v>
                        </c:pt>
                        <c:pt idx="5">
                          <c:v>2033</c:v>
                        </c:pt>
                        <c:pt idx="6">
                          <c:v>2038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socioeconomic!$F$27:$F$33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5736.4769999999999</c:v>
                      </c:pt>
                      <c:pt idx="1">
                        <c:v>5706.0739999999996</c:v>
                      </c:pt>
                      <c:pt idx="2">
                        <c:v>5951.9629999999997</c:v>
                      </c:pt>
                      <c:pt idx="3">
                        <c:v>5948.3540000000003</c:v>
                      </c:pt>
                      <c:pt idx="4">
                        <c:v>6326.98</c:v>
                      </c:pt>
                      <c:pt idx="5">
                        <c:v>6501.4769999999999</c:v>
                      </c:pt>
                      <c:pt idx="6">
                        <c:v>7502.89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11D-4974-A1CC-640B1B5119E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socioeconomic!$G$26</c15:sqref>
                        </c15:formulaRef>
                      </c:ext>
                    </c:extLst>
                    <c:strCache>
                      <c:ptCount val="1"/>
                      <c:pt idx="0">
                        <c:v>Gender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socioeconomic!$B$27:$C$33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first</c:v>
                        </c:pt>
                        <c:pt idx="1">
                          <c:v>second</c:v>
                        </c:pt>
                        <c:pt idx="2">
                          <c:v>first</c:v>
                        </c:pt>
                        <c:pt idx="3">
                          <c:v>second</c:v>
                        </c:pt>
                        <c:pt idx="4">
                          <c:v>first</c:v>
                        </c:pt>
                        <c:pt idx="5">
                          <c:v>second</c:v>
                        </c:pt>
                        <c:pt idx="6">
                          <c:v>first</c:v>
                        </c:pt>
                      </c:lvl>
                      <c:lvl>
                        <c:pt idx="0">
                          <c:v>2025</c:v>
                        </c:pt>
                        <c:pt idx="1">
                          <c:v>2025</c:v>
                        </c:pt>
                        <c:pt idx="2">
                          <c:v>2030</c:v>
                        </c:pt>
                        <c:pt idx="3">
                          <c:v>2030</c:v>
                        </c:pt>
                        <c:pt idx="4">
                          <c:v>2033</c:v>
                        </c:pt>
                        <c:pt idx="5">
                          <c:v>2033</c:v>
                        </c:pt>
                        <c:pt idx="6">
                          <c:v>2038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socioeconomic!$G$27:$G$33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8798.3140000000003</c:v>
                      </c:pt>
                      <c:pt idx="1">
                        <c:v>8831.0130000000008</c:v>
                      </c:pt>
                      <c:pt idx="2">
                        <c:v>9705.6640000000007</c:v>
                      </c:pt>
                      <c:pt idx="3">
                        <c:v>10162.974</c:v>
                      </c:pt>
                      <c:pt idx="4">
                        <c:v>10687.172</c:v>
                      </c:pt>
                      <c:pt idx="5">
                        <c:v>11653.002</c:v>
                      </c:pt>
                      <c:pt idx="6">
                        <c:v>13152.686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11D-4974-A1CC-640B1B5119E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socioeconomic!$H$26</c15:sqref>
                        </c15:formulaRef>
                      </c:ext>
                    </c:extLst>
                    <c:strCache>
                      <c:ptCount val="1"/>
                      <c:pt idx="0">
                        <c:v>Emissions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socioeconomic!$B$27:$C$33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first</c:v>
                        </c:pt>
                        <c:pt idx="1">
                          <c:v>second</c:v>
                        </c:pt>
                        <c:pt idx="2">
                          <c:v>first</c:v>
                        </c:pt>
                        <c:pt idx="3">
                          <c:v>second</c:v>
                        </c:pt>
                        <c:pt idx="4">
                          <c:v>first</c:v>
                        </c:pt>
                        <c:pt idx="5">
                          <c:v>second</c:v>
                        </c:pt>
                        <c:pt idx="6">
                          <c:v>first</c:v>
                        </c:pt>
                      </c:lvl>
                      <c:lvl>
                        <c:pt idx="0">
                          <c:v>2025</c:v>
                        </c:pt>
                        <c:pt idx="1">
                          <c:v>2025</c:v>
                        </c:pt>
                        <c:pt idx="2">
                          <c:v>2030</c:v>
                        </c:pt>
                        <c:pt idx="3">
                          <c:v>2030</c:v>
                        </c:pt>
                        <c:pt idx="4">
                          <c:v>2033</c:v>
                        </c:pt>
                        <c:pt idx="5">
                          <c:v>2033</c:v>
                        </c:pt>
                        <c:pt idx="6">
                          <c:v>2038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socioeconomic!$H$27:$H$33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22.975999999999999</c:v>
                      </c:pt>
                      <c:pt idx="1">
                        <c:v>23.66</c:v>
                      </c:pt>
                      <c:pt idx="2">
                        <c:v>23.376999999999999</c:v>
                      </c:pt>
                      <c:pt idx="3">
                        <c:v>24.158000000000001</c:v>
                      </c:pt>
                      <c:pt idx="4">
                        <c:v>25.317</c:v>
                      </c:pt>
                      <c:pt idx="5">
                        <c:v>28.802</c:v>
                      </c:pt>
                      <c:pt idx="6">
                        <c:v>32.799999999999997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11D-4974-A1CC-640B1B5119ED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socioeconomic!$I$26</c15:sqref>
                        </c15:formulaRef>
                      </c:ext>
                    </c:extLst>
                    <c:strCache>
                      <c:ptCount val="1"/>
                      <c:pt idx="0">
                        <c:v>Deforestation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socioeconomic!$B$27:$C$33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first</c:v>
                        </c:pt>
                        <c:pt idx="1">
                          <c:v>second</c:v>
                        </c:pt>
                        <c:pt idx="2">
                          <c:v>first</c:v>
                        </c:pt>
                        <c:pt idx="3">
                          <c:v>second</c:v>
                        </c:pt>
                        <c:pt idx="4">
                          <c:v>first</c:v>
                        </c:pt>
                        <c:pt idx="5">
                          <c:v>second</c:v>
                        </c:pt>
                        <c:pt idx="6">
                          <c:v>first</c:v>
                        </c:pt>
                      </c:lvl>
                      <c:lvl>
                        <c:pt idx="0">
                          <c:v>2025</c:v>
                        </c:pt>
                        <c:pt idx="1">
                          <c:v>2025</c:v>
                        </c:pt>
                        <c:pt idx="2">
                          <c:v>2030</c:v>
                        </c:pt>
                        <c:pt idx="3">
                          <c:v>2030</c:v>
                        </c:pt>
                        <c:pt idx="4">
                          <c:v>2033</c:v>
                        </c:pt>
                        <c:pt idx="5">
                          <c:v>2033</c:v>
                        </c:pt>
                        <c:pt idx="6">
                          <c:v>2038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socioeconomic!$I$27:$I$33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10.938000000000001</c:v>
                      </c:pt>
                      <c:pt idx="1">
                        <c:v>10.756</c:v>
                      </c:pt>
                      <c:pt idx="2">
                        <c:v>10.173</c:v>
                      </c:pt>
                      <c:pt idx="3">
                        <c:v>10.454000000000001</c:v>
                      </c:pt>
                      <c:pt idx="4">
                        <c:v>11.068</c:v>
                      </c:pt>
                      <c:pt idx="5">
                        <c:v>13.045</c:v>
                      </c:pt>
                      <c:pt idx="6">
                        <c:v>15.074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11D-4974-A1CC-640B1B5119ED}"/>
                  </c:ext>
                </c:extLst>
              </c15:ser>
            </c15:filteredLineSeries>
          </c:ext>
        </c:extLst>
      </c:lineChart>
      <c:catAx>
        <c:axId val="682841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682820559"/>
        <c:crosses val="autoZero"/>
        <c:auto val="1"/>
        <c:lblAlgn val="ctr"/>
        <c:lblOffset val="100"/>
        <c:noMultiLvlLbl val="0"/>
      </c:catAx>
      <c:valAx>
        <c:axId val="682820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682841199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20000"/>
        <a:lumOff val="80000"/>
      </a:schemeClr>
    </a:solidFill>
    <a:ln w="9525" cap="flat" cmpd="sng" algn="ctr">
      <a:noFill/>
      <a:round/>
    </a:ln>
    <a:effectLst/>
  </c:spPr>
  <c:txPr>
    <a:bodyPr/>
    <a:lstStyle/>
    <a:p>
      <a:pPr>
        <a:defRPr sz="900">
          <a:latin typeface="Aptos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6" fmlaLink="addItem" fmlaRange="buildingBlocks" sel="1" val="0"/>
</file>

<file path=xl/ctrlProps/ctrlProp8.xml><?xml version="1.0" encoding="utf-8"?>
<formControlPr xmlns="http://schemas.microsoft.com/office/spreadsheetml/2009/9/main" objectType="Drop" dropStyle="combo" dx="26" fmlaLink="removeItem" fmlaRange="buildingBlocks" sel="1" val="0"/>
</file>

<file path=xl/ctrlProps/ctrlProp9.xml><?xml version="1.0" encoding="utf-8"?>
<formControlPr xmlns="http://schemas.microsoft.com/office/spreadsheetml/2009/9/main" objectType="Drop" dropStyle="combo" dx="26" fmlaLink="renameItem" fmlaRange="buildingBlocks" sel="1" val="0"/>
</file>

<file path=xl/ctrlProps/ctrlProp10.xml><?xml version="1.0" encoding="utf-8"?>
<formControlPr xmlns="http://schemas.microsoft.com/office/spreadsheetml/2009/9/main" objectType="Drop" dropStyle="combo" dx="26" fmlaLink="moveItem" fmlaRange="buildingBlocks" sel="1" val="0"/>
</file>

<file path=xl/ctrlProps/ctrlProp11.xml><?xml version="1.0" encoding="utf-8"?>
<formControlPr xmlns="http://schemas.microsoft.com/office/spreadsheetml/2009/9/main" objectType="CheckBox" checked="Checked" fmlaLink="Internal!$B$22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167640</xdr:colOff>
          <xdr:row>2</xdr:row>
          <xdr:rowOff>190500</xdr:rowOff>
        </xdr:from>
        <xdr:to>
          <xdr:col>7</xdr:col>
          <xdr:colOff>228600</xdr:colOff>
          <xdr:row>4</xdr:row>
          <xdr:rowOff>83820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"/>
                </a:rPr>
                <a:t>Write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167640</xdr:colOff>
          <xdr:row>4</xdr:row>
          <xdr:rowOff>274320</xdr:rowOff>
        </xdr:from>
        <xdr:to>
          <xdr:col>7</xdr:col>
          <xdr:colOff>228600</xdr:colOff>
          <xdr:row>6</xdr:row>
          <xdr:rowOff>167640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17</xdr:row>
          <xdr:rowOff>190500</xdr:rowOff>
        </xdr:from>
        <xdr:to>
          <xdr:col>2</xdr:col>
          <xdr:colOff>1219200</xdr:colOff>
          <xdr:row>19</xdr:row>
          <xdr:rowOff>83820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19</xdr:row>
          <xdr:rowOff>190500</xdr:rowOff>
        </xdr:from>
        <xdr:to>
          <xdr:col>2</xdr:col>
          <xdr:colOff>1219200</xdr:colOff>
          <xdr:row>21</xdr:row>
          <xdr:rowOff>83820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"/>
                </a:rPr>
                <a:t>Remove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21</xdr:row>
          <xdr:rowOff>182880</xdr:rowOff>
        </xdr:from>
        <xdr:to>
          <xdr:col>2</xdr:col>
          <xdr:colOff>1219200</xdr:colOff>
          <xdr:row>23</xdr:row>
          <xdr:rowOff>76200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"/>
                </a:rPr>
                <a:t>Rename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23</xdr:row>
          <xdr:rowOff>175260</xdr:rowOff>
        </xdr:from>
        <xdr:to>
          <xdr:col>2</xdr:col>
          <xdr:colOff>1219200</xdr:colOff>
          <xdr:row>25</xdr:row>
          <xdr:rowOff>68580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"/>
                </a:rPr>
                <a:t>Rearrange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18</xdr:row>
          <xdr:rowOff>22860</xdr:rowOff>
        </xdr:from>
        <xdr:to>
          <xdr:col>3</xdr:col>
          <xdr:colOff>1478280</xdr:colOff>
          <xdr:row>18</xdr:row>
          <xdr:rowOff>266700</xdr:rowOff>
        </xdr:to>
        <xdr:sp macro="" textlink="">
          <xdr:nvSpPr>
            <xdr:cNvPr id="1160" name="Drop Dow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20</xdr:row>
          <xdr:rowOff>22860</xdr:rowOff>
        </xdr:from>
        <xdr:to>
          <xdr:col>3</xdr:col>
          <xdr:colOff>1478280</xdr:colOff>
          <xdr:row>20</xdr:row>
          <xdr:rowOff>266700</xdr:rowOff>
        </xdr:to>
        <xdr:sp macro="" textlink="">
          <xdr:nvSpPr>
            <xdr:cNvPr id="1161" name="Drop Dow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22</xdr:row>
          <xdr:rowOff>22860</xdr:rowOff>
        </xdr:from>
        <xdr:to>
          <xdr:col>3</xdr:col>
          <xdr:colOff>1478280</xdr:colOff>
          <xdr:row>22</xdr:row>
          <xdr:rowOff>266700</xdr:rowOff>
        </xdr:to>
        <xdr:sp macro="" textlink="">
          <xdr:nvSpPr>
            <xdr:cNvPr id="1162" name="Drop Dow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24</xdr:row>
          <xdr:rowOff>22860</xdr:rowOff>
        </xdr:from>
        <xdr:to>
          <xdr:col>3</xdr:col>
          <xdr:colOff>1478280</xdr:colOff>
          <xdr:row>24</xdr:row>
          <xdr:rowOff>266700</xdr:rowOff>
        </xdr:to>
        <xdr:sp macro="" textlink="">
          <xdr:nvSpPr>
            <xdr:cNvPr id="1163" name="Drop Dow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</xdr:colOff>
          <xdr:row>5</xdr:row>
          <xdr:rowOff>15240</xdr:rowOff>
        </xdr:from>
        <xdr:to>
          <xdr:col>6</xdr:col>
          <xdr:colOff>60960</xdr:colOff>
          <xdr:row>5</xdr:row>
          <xdr:rowOff>259080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</xdr:colOff>
          <xdr:row>8</xdr:row>
          <xdr:rowOff>68580</xdr:rowOff>
        </xdr:from>
        <xdr:to>
          <xdr:col>7</xdr:col>
          <xdr:colOff>205740</xdr:colOff>
          <xdr:row>9</xdr:row>
          <xdr:rowOff>243840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"/>
                </a:rPr>
                <a:t>Save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</xdr:colOff>
          <xdr:row>11</xdr:row>
          <xdr:rowOff>68580</xdr:rowOff>
        </xdr:from>
        <xdr:to>
          <xdr:col>7</xdr:col>
          <xdr:colOff>205740</xdr:colOff>
          <xdr:row>12</xdr:row>
          <xdr:rowOff>243840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"/>
                </a:rPr>
                <a:t>Load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14</xdr:row>
          <xdr:rowOff>190500</xdr:rowOff>
        </xdr:from>
        <xdr:to>
          <xdr:col>3</xdr:col>
          <xdr:colOff>114300</xdr:colOff>
          <xdr:row>16</xdr:row>
          <xdr:rowOff>83820</xdr:rowOff>
        </xdr:to>
        <xdr:sp macro="" textlink="">
          <xdr:nvSpPr>
            <xdr:cNvPr id="1180" name="CBt_preprocess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"/>
                </a:rPr>
                <a:t>Hide preprocess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701040</xdr:colOff>
          <xdr:row>14</xdr:row>
          <xdr:rowOff>190500</xdr:rowOff>
        </xdr:from>
        <xdr:to>
          <xdr:col>5</xdr:col>
          <xdr:colOff>411480</xdr:colOff>
          <xdr:row>16</xdr:row>
          <xdr:rowOff>83820</xdr:rowOff>
        </xdr:to>
        <xdr:sp macro="" textlink="">
          <xdr:nvSpPr>
            <xdr:cNvPr id="1181" name="CBt_config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"/>
                </a:rPr>
                <a:t>Hide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998220</xdr:colOff>
          <xdr:row>14</xdr:row>
          <xdr:rowOff>190500</xdr:rowOff>
        </xdr:from>
        <xdr:to>
          <xdr:col>7</xdr:col>
          <xdr:colOff>22860</xdr:colOff>
          <xdr:row>16</xdr:row>
          <xdr:rowOff>83820</xdr:rowOff>
        </xdr:to>
        <xdr:sp macro="" textlink="">
          <xdr:nvSpPr>
            <xdr:cNvPr id="1182" name="CBt_output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"/>
                </a:rPr>
                <a:t>Hide plan and outputs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</xdr:colOff>
          <xdr:row>12</xdr:row>
          <xdr:rowOff>45720</xdr:rowOff>
        </xdr:from>
        <xdr:to>
          <xdr:col>5</xdr:col>
          <xdr:colOff>365760</xdr:colOff>
          <xdr:row>14</xdr:row>
          <xdr:rowOff>121920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2B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"/>
                </a:rPr>
                <a:t>Update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487680</xdr:colOff>
          <xdr:row>11</xdr:row>
          <xdr:rowOff>152400</xdr:rowOff>
        </xdr:from>
        <xdr:to>
          <xdr:col>5</xdr:col>
          <xdr:colOff>281940</xdr:colOff>
          <xdr:row>14</xdr:row>
          <xdr:rowOff>22860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2C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"/>
                </a:rPr>
                <a:t>Update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274320</xdr:colOff>
          <xdr:row>11</xdr:row>
          <xdr:rowOff>167640</xdr:rowOff>
        </xdr:from>
        <xdr:to>
          <xdr:col>4</xdr:col>
          <xdr:colOff>419100</xdr:colOff>
          <xdr:row>14</xdr:row>
          <xdr:rowOff>7620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38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"/>
                </a:rPr>
                <a:t>Calculate states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861060</xdr:colOff>
      <xdr:row>22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B42EEC-71AC-4B66-A9CD-DF7C229AEF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7</xdr:col>
      <xdr:colOff>15240</xdr:colOff>
      <xdr:row>22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8687B8-7E5A-47D7-9768-AB7F930149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2</xdr:row>
      <xdr:rowOff>0</xdr:rowOff>
    </xdr:from>
    <xdr:to>
      <xdr:col>7</xdr:col>
      <xdr:colOff>0</xdr:colOff>
      <xdr:row>22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67BE35-1FC9-409F-9BE7-BD0594CDFC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2</xdr:row>
      <xdr:rowOff>0</xdr:rowOff>
    </xdr:from>
    <xdr:to>
      <xdr:col>9</xdr:col>
      <xdr:colOff>0</xdr:colOff>
      <xdr:row>22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CE5568-A9C3-4FC2-966E-D9A8F7A887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9E8B00F-5075-4B8F-9E3A-FC979CEFCE83}" name="TableCost" displayName="TableCost" ref="B26:G40" totalsRowShown="0" headerRowDxfId="123" dataDxfId="121" headerRowBorderDxfId="122" tableBorderDxfId="120">
  <autoFilter ref="B26:G40" xr:uid="{A9E8B00F-5075-4B8F-9E3A-FC979CEFCE83}"/>
  <tableColumns count="6">
    <tableColumn id="1" xr3:uid="{CB24FFF8-8E85-48FF-AC78-C3C72FB2954E}" name="Year" dataDxfId="119"/>
    <tableColumn id="2" xr3:uid="{9E651FBF-6530-4738-9D7A-2875AB659A6B}" name="Term" dataDxfId="118"/>
    <tableColumn id="3" xr3:uid="{F1672139-AFE0-4925-B4CB-89B10E7CB1E3}" name="Area" dataDxfId="117"/>
    <tableColumn id="4" xr3:uid="{AA035EFC-FA4E-4991-9D47-E7D3ACA9B828}" name="Price [$/Cook]" dataDxfId="116"/>
    <tableColumn id="5" xr3:uid="{4A9561EB-FE4A-4D78-90C2-193E3957568E}" name="Expenditure [$/year]" dataDxfId="115"/>
    <tableColumn id="6" xr3:uid="{58CB77AA-A289-4502-976E-A7D221BD754E}" name="Variation_x000a_[%]" dataDxfId="114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EA2660-E93A-4343-A8F8-B1EE12475C69}" name="TableAdoption" displayName="TableAdoption" ref="B26:F292" totalsRowShown="0" headerRowDxfId="113" dataDxfId="111" headerRowBorderDxfId="112" tableBorderDxfId="110">
  <autoFilter ref="B26:F292" xr:uid="{39EA2660-E93A-4343-A8F8-B1EE12475C69}"/>
  <tableColumns count="5">
    <tableColumn id="1" xr3:uid="{CAB343FE-2F1D-43BA-8823-BCB782539959}" name="Year" dataDxfId="109"/>
    <tableColumn id="2" xr3:uid="{AA463D1A-1E90-4800-B798-625888251472}" name="Term" dataDxfId="108"/>
    <tableColumn id="3" xr3:uid="{43686047-8874-479D-9C00-2D3BC00532F2}" name="Area" dataDxfId="107"/>
    <tableColumn id="4" xr3:uid="{9A62F8DD-C09D-4879-98C7-BC66667F56FD}" name="Technology" dataDxfId="106"/>
    <tableColumn id="5" xr3:uid="{BC4FFAF1-8EF2-4BBF-BD8A-D13901B2423F}" name="Adoption" dataDxfId="105" dataCellStyle="Perc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8EF155-7114-4BA0-A19D-C02B2BF5AA7B}" name="TableSocialImpact" displayName="TableSocialImpact" ref="B26:G292" totalsRowShown="0" headerRowDxfId="104" dataDxfId="102" headerRowBorderDxfId="103" tableBorderDxfId="101">
  <autoFilter ref="B26:G292" xr:uid="{39EA2660-E93A-4343-A8F8-B1EE12475C69}"/>
  <tableColumns count="6">
    <tableColumn id="1" xr3:uid="{DFB7E906-AB08-4419-A4A5-433C92B198FF}" name="Year" dataDxfId="100"/>
    <tableColumn id="2" xr3:uid="{680C71DA-B0EB-42EE-9D60-F52E2FA305A9}" name="Term" dataDxfId="99"/>
    <tableColumn id="7" xr3:uid="{B4F03211-682A-448F-AED0-01A985F64C30}" name="Health" dataDxfId="98"/>
    <tableColumn id="8" xr3:uid="{CD28AD18-1EFA-4A9C-87DA-8EABC3C34BA3}" name="Gender" dataDxfId="97"/>
    <tableColumn id="4" xr3:uid="{27CF0167-8662-472E-A08D-8D304A552FAF}" name="Emissions" dataDxfId="96"/>
    <tableColumn id="5" xr3:uid="{77917EEE-7DCD-42E6-865F-EB6546FCA414}" name="Deforestation" dataDxfId="95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1CEE863-20E3-4A63-A3C2-54ECAE5D020D}" name="TableSocioeconomic" displayName="TableSocioeconomic" ref="B26:I292" totalsRowShown="0" headerRowDxfId="94" dataDxfId="92" headerRowBorderDxfId="93" tableBorderDxfId="91">
  <autoFilter ref="B26:I292" xr:uid="{39EA2660-E93A-4343-A8F8-B1EE12475C69}"/>
  <tableColumns count="8">
    <tableColumn id="1" xr3:uid="{F27F8C3F-06EF-49C6-B735-C66C77907C6F}" name="Year" dataDxfId="90"/>
    <tableColumn id="2" xr3:uid="{B56B58CE-FF23-4912-81A2-E4C8094E3B93}" name="Term" dataDxfId="89"/>
    <tableColumn id="3" xr3:uid="{A8B03DD5-29A9-4DBE-AF07-69F2A5BA45E2}" name="Grand" dataDxfId="88"/>
    <tableColumn id="6" xr3:uid="{73D6C193-BDAE-4B4F-B130-8BBEBF4CD601}" name="Base" dataDxfId="87"/>
    <tableColumn id="7" xr3:uid="{28C0BBA8-7079-4603-B91D-2315BB87AD81}" name="Health" dataDxfId="86"/>
    <tableColumn id="8" xr3:uid="{8C606495-A508-4ABC-84C3-D1FB3EF49824}" name="Gender" dataDxfId="85"/>
    <tableColumn id="4" xr3:uid="{0A293458-057E-4F41-877A-9F4297392361}" name="Emissions" dataDxfId="84"/>
    <tableColumn id="5" xr3:uid="{810016B8-54B9-4084-99C0-FBCD4D7B6A82}" name="Deforestation" dataDxfId="83" dataCellStyle="Perc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etropolitan">
  <a:themeElements>
    <a:clrScheme name="Metropolitan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Metropolitan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Metropolitan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7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35BEE-52E5-41DB-93FA-FA4DEA30078B}">
  <sheetPr codeName="Sheet10">
    <tabColor theme="7" tint="-0.499984740745262"/>
  </sheetPr>
  <dimension ref="A1:Y27"/>
  <sheetViews>
    <sheetView showRowColHeaders="0" tabSelected="1" zoomScaleNormal="100" workbookViewId="0">
      <selection activeCell="F23" sqref="F23"/>
    </sheetView>
  </sheetViews>
  <sheetFormatPr defaultColWidth="8.88671875" defaultRowHeight="14.4" x14ac:dyDescent="0.3"/>
  <cols>
    <col min="1" max="1" width="3.6640625" style="9" customWidth="1"/>
    <col min="2" max="2" width="4.77734375" style="9" customWidth="1"/>
    <col min="3" max="3" width="18.77734375" style="9" customWidth="1"/>
    <col min="4" max="4" width="21.77734375" style="9" customWidth="1"/>
    <col min="5" max="5" width="3.77734375" style="9" customWidth="1"/>
    <col min="6" max="7" width="17.77734375" style="9" customWidth="1"/>
    <col min="8" max="8" width="5.77734375" style="9" customWidth="1"/>
    <col min="9" max="9" width="3.6640625" style="9" customWidth="1"/>
    <col min="10" max="10" width="3.77734375" style="9" customWidth="1"/>
    <col min="11" max="11" width="17.77734375" style="9" customWidth="1"/>
    <col min="12" max="12" width="3.77734375" style="9" customWidth="1"/>
    <col min="13" max="13" width="17.77734375" style="9" customWidth="1"/>
    <col min="14" max="14" width="3.77734375" style="9" customWidth="1"/>
    <col min="15" max="15" width="17.77734375" style="9" customWidth="1"/>
    <col min="16" max="16" width="3.77734375" style="9" customWidth="1"/>
    <col min="17" max="17" width="17.77734375" style="9" customWidth="1"/>
    <col min="18" max="18" width="3.77734375" style="9" customWidth="1"/>
    <col min="19" max="19" width="17.77734375" style="9" customWidth="1"/>
    <col min="20" max="20" width="3.77734375" style="9" customWidth="1"/>
    <col min="21" max="21" width="17.77734375" style="9" customWidth="1"/>
    <col min="22" max="22" width="3.77734375" style="9" customWidth="1"/>
    <col min="23" max="23" width="17.77734375" style="9" customWidth="1"/>
    <col min="24" max="24" width="3.77734375" style="9" customWidth="1"/>
    <col min="25" max="25" width="17.77734375" style="9" customWidth="1"/>
    <col min="26" max="26" width="2.77734375" style="9" customWidth="1"/>
    <col min="27" max="27" width="15.77734375" style="9" customWidth="1"/>
    <col min="28" max="16384" width="8.88671875" style="9"/>
  </cols>
  <sheetData>
    <row r="1" spans="1:25" s="4" customFormat="1" ht="84" customHeight="1" thickBot="1" x14ac:dyDescent="0.35">
      <c r="A1" s="125" t="s">
        <v>2154</v>
      </c>
      <c r="B1" s="125"/>
      <c r="C1" s="3"/>
    </row>
    <row r="2" spans="1:25" ht="15.6" thickTop="1" thickBot="1" x14ac:dyDescent="0.35">
      <c r="J2" s="126"/>
    </row>
    <row r="3" spans="1:25" ht="22.2" customHeight="1" thickTop="1" thickBot="1" x14ac:dyDescent="0.35">
      <c r="B3" s="198"/>
      <c r="C3" s="199"/>
      <c r="D3" s="200"/>
      <c r="E3" s="199"/>
      <c r="F3" s="199"/>
      <c r="G3" s="199"/>
      <c r="H3" s="201"/>
      <c r="J3" s="885" t="s">
        <v>0</v>
      </c>
      <c r="K3" s="882"/>
      <c r="L3" s="886" t="s">
        <v>1</v>
      </c>
      <c r="M3" s="887"/>
      <c r="N3" s="882" t="s">
        <v>2</v>
      </c>
      <c r="O3" s="882"/>
      <c r="P3" s="883" t="s">
        <v>3</v>
      </c>
      <c r="Q3" s="884"/>
      <c r="R3" s="882" t="s">
        <v>4</v>
      </c>
      <c r="S3" s="882"/>
      <c r="T3" s="883" t="s">
        <v>7</v>
      </c>
      <c r="U3" s="884"/>
      <c r="V3" s="882" t="s">
        <v>5</v>
      </c>
      <c r="W3" s="882"/>
      <c r="X3" s="883" t="s">
        <v>6</v>
      </c>
      <c r="Y3" s="884"/>
    </row>
    <row r="4" spans="1:25" ht="22.2" customHeight="1" thickTop="1" thickBot="1" x14ac:dyDescent="0.35">
      <c r="B4" s="202"/>
      <c r="C4" s="650" t="s">
        <v>2055</v>
      </c>
      <c r="D4" s="879" t="s">
        <v>2089</v>
      </c>
      <c r="E4" s="880"/>
      <c r="F4" s="881"/>
      <c r="G4" s="197"/>
      <c r="H4" s="642"/>
      <c r="J4" s="510">
        <f>IF(Internal!D2&lt;&gt;"",Internal!D2,"")</f>
        <v>1</v>
      </c>
      <c r="K4" s="511" t="str">
        <f>IF(Internal!E2&lt;&gt;"",Internal!E2,"")</f>
        <v>Domestic</v>
      </c>
      <c r="L4" s="516">
        <f>IF(Internal!F2&lt;&gt;"",Internal!F2,"")</f>
        <v>1</v>
      </c>
      <c r="M4" s="511" t="str">
        <f>IF(Internal!G2&lt;&gt;"",Internal!G2,"")</f>
        <v>residential_S</v>
      </c>
      <c r="N4" s="516">
        <f>IF(Internal!H2&lt;&gt;"",Internal!H2,"")</f>
        <v>1</v>
      </c>
      <c r="O4" s="519" t="str">
        <f>IF(Internal!I2&lt;&gt;"",Internal!I2,"")</f>
        <v>adm_R</v>
      </c>
      <c r="P4" s="526">
        <f>IF(Internal!J2&lt;&gt;"",Internal!J2,"")</f>
        <v>1</v>
      </c>
      <c r="Q4" s="527" t="str">
        <f>IF(Internal!K2&lt;&gt;"",Internal!K2,"")</f>
        <v>Electricity</v>
      </c>
      <c r="R4" s="344">
        <f>IF(Internal!L2&lt;&gt;"",Internal!L2,"")</f>
        <v>1</v>
      </c>
      <c r="S4" s="504" t="str">
        <f>IF(Internal!M2&lt;&gt;"",Internal!M2,"")</f>
        <v>Electricity</v>
      </c>
      <c r="T4" s="345">
        <f>IF(Internal!N2&lt;&gt;"",Internal!N2,"")</f>
        <v>1</v>
      </c>
      <c r="U4" s="509" t="str">
        <f>IF(Internal!O2&lt;&gt;"",Internal!O2,"")</f>
        <v>Electricity</v>
      </c>
      <c r="V4" s="344">
        <f>IF(Internal!P2&lt;&gt;"",Internal!P2,"")</f>
        <v>1</v>
      </c>
      <c r="W4" s="504" t="str">
        <f>IF(Internal!Q2&lt;&gt;"",Internal!Q2,"")</f>
        <v>Electric_0</v>
      </c>
      <c r="X4" s="345">
        <f>IF(Internal!R2&lt;&gt;"",Internal!R2,"")</f>
        <v>1</v>
      </c>
      <c r="Y4" s="509" t="str">
        <f>IF(Internal!S2&lt;&gt;"",Internal!S2,"")</f>
        <v>Electric_0</v>
      </c>
    </row>
    <row r="5" spans="1:25" ht="22.2" customHeight="1" thickTop="1" thickBot="1" x14ac:dyDescent="0.35">
      <c r="B5" s="202"/>
      <c r="C5" s="197"/>
      <c r="D5" s="197"/>
      <c r="E5" s="197"/>
      <c r="F5" s="197"/>
      <c r="G5" s="197"/>
      <c r="H5" s="203"/>
      <c r="J5" s="512">
        <f>IF(Internal!D3&lt;&gt;"",Internal!D3,"")</f>
        <v>2</v>
      </c>
      <c r="K5" s="513" t="str">
        <f>IF(Internal!E3&lt;&gt;"",Internal!E3,"")</f>
        <v>Commercial</v>
      </c>
      <c r="L5" s="517">
        <f>IF(Internal!F3&lt;&gt;"",Internal!F3,"")</f>
        <v>2</v>
      </c>
      <c r="M5" s="513" t="str">
        <f>IF(Internal!G3&lt;&gt;"",Internal!G3,"")</f>
        <v>residential_M</v>
      </c>
      <c r="N5" s="517">
        <f>IF(Internal!H3&lt;&gt;"",Internal!H3,"")</f>
        <v>2</v>
      </c>
      <c r="O5" s="520" t="str">
        <f>IF(Internal!I3&lt;&gt;"",Internal!I3,"")</f>
        <v>com_R</v>
      </c>
      <c r="P5" s="528">
        <f>IF(Internal!J3&lt;&gt;"",Internal!J3,"")</f>
        <v>2</v>
      </c>
      <c r="Q5" s="529" t="str">
        <f>IF(Internal!K3&lt;&gt;"",Internal!K3,"")</f>
        <v>LPG</v>
      </c>
      <c r="R5" s="500">
        <f>IF(Internal!L3&lt;&gt;"",Internal!L3,"")</f>
        <v>2</v>
      </c>
      <c r="S5" s="505" t="str">
        <f>IF(Internal!M3&lt;&gt;"",Internal!M3,"")</f>
        <v>LPG</v>
      </c>
      <c r="T5" s="501">
        <f>IF(Internal!N3&lt;&gt;"",Internal!N3,"")</f>
        <v>2</v>
      </c>
      <c r="U5" s="507" t="str">
        <f>IF(Internal!O3&lt;&gt;"",Internal!O3,"")</f>
        <v>LPG</v>
      </c>
      <c r="V5" s="500">
        <f>IF(Internal!P3&lt;&gt;"",Internal!P3,"")</f>
        <v>2</v>
      </c>
      <c r="W5" s="505" t="str">
        <f>IF(Internal!Q3&lt;&gt;"",Internal!Q3,"")</f>
        <v>Electric_1</v>
      </c>
      <c r="X5" s="501">
        <f>IF(Internal!R3&lt;&gt;"",Internal!R3,"")</f>
        <v>2</v>
      </c>
      <c r="Y5" s="507" t="str">
        <f>IF(Internal!S3&lt;&gt;"",Internal!S3,"")</f>
        <v>Electric_1</v>
      </c>
    </row>
    <row r="6" spans="1:25" ht="22.2" customHeight="1" thickTop="1" x14ac:dyDescent="0.3">
      <c r="B6" s="202"/>
      <c r="C6" s="416" t="s">
        <v>2110</v>
      </c>
      <c r="D6" s="653" t="s">
        <v>336</v>
      </c>
      <c r="E6" s="197"/>
      <c r="F6" s="794" t="s">
        <v>2118</v>
      </c>
      <c r="G6" s="197"/>
      <c r="H6" s="203"/>
      <c r="J6" s="514">
        <f>IF(Internal!D4&lt;&gt;"",Internal!D4,"")</f>
        <v>3</v>
      </c>
      <c r="K6" s="515" t="str">
        <f>IF(Internal!E4&lt;&gt;"",Internal!E4,"")</f>
        <v>Industrial</v>
      </c>
      <c r="L6" s="518">
        <f>IF(Internal!F4&lt;&gt;"",Internal!F4,"")</f>
        <v>3</v>
      </c>
      <c r="M6" s="515" t="str">
        <f>IF(Internal!G4&lt;&gt;"",Internal!G4,"")</f>
        <v>residential_L</v>
      </c>
      <c r="N6" s="518">
        <f>IF(Internal!H4&lt;&gt;"",Internal!H4,"")</f>
        <v>3</v>
      </c>
      <c r="O6" s="521" t="str">
        <f>IF(Internal!I4&lt;&gt;"",Internal!I4,"")</f>
        <v>res_low_R</v>
      </c>
      <c r="P6" s="530">
        <f>IF(Internal!J4&lt;&gt;"",Internal!J4,"")</f>
        <v>3</v>
      </c>
      <c r="Q6" s="531" t="str">
        <f>IF(Internal!K4&lt;&gt;"",Internal!K4,"")</f>
        <v>Wood</v>
      </c>
      <c r="R6" s="346">
        <f>IF(Internal!L4&lt;&gt;"",Internal!L4,"")</f>
        <v>3</v>
      </c>
      <c r="S6" s="506" t="str">
        <f>IF(Internal!M4&lt;&gt;"",Internal!M4,"")</f>
        <v>Biogas</v>
      </c>
      <c r="T6" s="347">
        <f>IF(Internal!N4&lt;&gt;"",Internal!N4,"")</f>
        <v>3</v>
      </c>
      <c r="U6" s="508" t="str">
        <f>IF(Internal!O4&lt;&gt;"",Internal!O4,"")</f>
        <v>Private-Biogas</v>
      </c>
      <c r="V6" s="346">
        <f>IF(Internal!P4&lt;&gt;"",Internal!P4,"")</f>
        <v>3</v>
      </c>
      <c r="W6" s="506" t="str">
        <f>IF(Internal!Q4&lt;&gt;"",Internal!Q4,"")</f>
        <v>Electric_2</v>
      </c>
      <c r="X6" s="347">
        <f>IF(Internal!R4&lt;&gt;"",Internal!R4,"")</f>
        <v>3</v>
      </c>
      <c r="Y6" s="508" t="str">
        <f>IF(Internal!S4&lt;&gt;"",Internal!S4,"")</f>
        <v>Electric_2</v>
      </c>
    </row>
    <row r="7" spans="1:25" ht="22.2" customHeight="1" thickBot="1" x14ac:dyDescent="0.35">
      <c r="B7" s="202"/>
      <c r="C7" s="655" t="s">
        <v>2111</v>
      </c>
      <c r="D7" s="654" t="s">
        <v>355</v>
      </c>
      <c r="E7" s="197"/>
      <c r="F7" s="197"/>
      <c r="G7" s="197"/>
      <c r="H7" s="203"/>
      <c r="J7" s="512" t="str">
        <f>IF(Internal!D5&lt;&gt;"",Internal!D5,"")</f>
        <v/>
      </c>
      <c r="K7" s="513" t="str">
        <f>IF(Internal!E5&lt;&gt;"",Internal!E5,"")</f>
        <v/>
      </c>
      <c r="L7" s="517">
        <f>IF(Internal!F5&lt;&gt;"",Internal!F5,"")</f>
        <v>4</v>
      </c>
      <c r="M7" s="513" t="str">
        <f>IF(Internal!G5&lt;&gt;"",Internal!G5,"")</f>
        <v>residential_XL</v>
      </c>
      <c r="N7" s="517">
        <f>IF(Internal!H5&lt;&gt;"",Internal!H5,"")</f>
        <v>4</v>
      </c>
      <c r="O7" s="520" t="str">
        <f>IF(Internal!I5&lt;&gt;"",Internal!I5,"")</f>
        <v>res_med_R</v>
      </c>
      <c r="P7" s="522">
        <f>IF(Internal!J5&lt;&gt;"",Internal!J5,"")</f>
        <v>4</v>
      </c>
      <c r="Q7" s="523" t="str">
        <f>IF(Internal!K5&lt;&gt;"",Internal!K5,"")</f>
        <v>Ethanol</v>
      </c>
      <c r="R7" s="500">
        <f>IF(Internal!L5&lt;&gt;"",Internal!L5,"")</f>
        <v>4</v>
      </c>
      <c r="S7" s="505" t="str">
        <f>IF(Internal!M5&lt;&gt;"",Internal!M5,"")</f>
        <v>Charcoal</v>
      </c>
      <c r="T7" s="501">
        <f>IF(Internal!N5&lt;&gt;"",Internal!N5,"")</f>
        <v>4</v>
      </c>
      <c r="U7" s="507" t="str">
        <f>IF(Internal!O5&lt;&gt;"",Internal!O5,"")</f>
        <v>Charcoal-Remote</v>
      </c>
      <c r="V7" s="500">
        <f>IF(Internal!P5&lt;&gt;"",Internal!P5,"")</f>
        <v>4</v>
      </c>
      <c r="W7" s="505" t="str">
        <f>IF(Internal!Q5&lt;&gt;"",Internal!Q5,"")</f>
        <v>LPG</v>
      </c>
      <c r="X7" s="501">
        <f>IF(Internal!R5&lt;&gt;"",Internal!R5,"")</f>
        <v>4</v>
      </c>
      <c r="Y7" s="507" t="str">
        <f>IF(Internal!S5&lt;&gt;"",Internal!S5,"")</f>
        <v>LPG</v>
      </c>
    </row>
    <row r="8" spans="1:25" ht="22.2" customHeight="1" thickTop="1" thickBot="1" x14ac:dyDescent="0.35">
      <c r="B8" s="202"/>
      <c r="C8" s="197"/>
      <c r="D8" s="197"/>
      <c r="E8" s="197"/>
      <c r="F8" s="204"/>
      <c r="G8" s="204"/>
      <c r="H8" s="203"/>
      <c r="J8" s="514" t="str">
        <f>IF(Internal!D6&lt;&gt;"",Internal!D6,"")</f>
        <v/>
      </c>
      <c r="K8" s="515" t="str">
        <f>IF(Internal!E6&lt;&gt;"",Internal!E6,"")</f>
        <v/>
      </c>
      <c r="L8" s="518">
        <f>IF(Internal!F6&lt;&gt;"",Internal!F6,"")</f>
        <v>5</v>
      </c>
      <c r="M8" s="515" t="str">
        <f>IF(Internal!G6&lt;&gt;"",Internal!G6,"")</f>
        <v>commercial_S</v>
      </c>
      <c r="N8" s="518">
        <f>IF(Internal!H6&lt;&gt;"",Internal!H6,"")</f>
        <v>5</v>
      </c>
      <c r="O8" s="521" t="str">
        <f>IF(Internal!I6&lt;&gt;"",Internal!I6,"")</f>
        <v>res_high_R</v>
      </c>
      <c r="P8" s="524">
        <f>IF(Internal!J6&lt;&gt;"",Internal!J6,"")</f>
        <v>5</v>
      </c>
      <c r="Q8" s="525" t="str">
        <f>IF(Internal!K6&lt;&gt;"",Internal!K6,"")</f>
        <v>Livestock-Waste</v>
      </c>
      <c r="R8" s="346">
        <f>IF(Internal!L6&lt;&gt;"",Internal!L6,"")</f>
        <v>5</v>
      </c>
      <c r="S8" s="506" t="str">
        <f>IF(Internal!M6&lt;&gt;"",Internal!M6,"")</f>
        <v>Com-Firewood</v>
      </c>
      <c r="T8" s="347">
        <f>IF(Internal!N6&lt;&gt;"",Internal!N6,"")</f>
        <v>5</v>
      </c>
      <c r="U8" s="508" t="str">
        <f>IF(Internal!O6&lt;&gt;"",Internal!O6,"")</f>
        <v>Charcoal-Local</v>
      </c>
      <c r="V8" s="346">
        <f>IF(Internal!P6&lt;&gt;"",Internal!P6,"")</f>
        <v>5</v>
      </c>
      <c r="W8" s="506" t="str">
        <f>IF(Internal!Q6&lt;&gt;"",Internal!Q6,"")</f>
        <v>Biogas</v>
      </c>
      <c r="X8" s="347">
        <f>IF(Internal!R6&lt;&gt;"",Internal!R6,"")</f>
        <v>5</v>
      </c>
      <c r="Y8" s="508" t="str">
        <f>IF(Internal!S6&lt;&gt;"",Internal!S6,"")</f>
        <v>Biogas</v>
      </c>
    </row>
    <row r="9" spans="1:25" ht="22.2" customHeight="1" thickTop="1" thickBot="1" x14ac:dyDescent="0.35">
      <c r="A9" s="107"/>
      <c r="B9" s="202"/>
      <c r="C9" s="650" t="s">
        <v>2266</v>
      </c>
      <c r="D9" s="879" t="s">
        <v>2217</v>
      </c>
      <c r="E9" s="880"/>
      <c r="F9" s="881"/>
      <c r="G9" s="197"/>
      <c r="H9" s="203"/>
      <c r="J9" s="512" t="str">
        <f>IF(Internal!D7&lt;&gt;"",Internal!D7,"")</f>
        <v/>
      </c>
      <c r="K9" s="513" t="str">
        <f>IF(Internal!E7&lt;&gt;"",Internal!E7,"")</f>
        <v/>
      </c>
      <c r="L9" s="517">
        <f>IF(Internal!F7&lt;&gt;"",Internal!F7,"")</f>
        <v>6</v>
      </c>
      <c r="M9" s="513" t="str">
        <f>IF(Internal!G7&lt;&gt;"",Internal!G7,"")</f>
        <v>commercial_L</v>
      </c>
      <c r="N9" s="517">
        <f>IF(Internal!H7&lt;&gt;"",Internal!H7,"")</f>
        <v>6</v>
      </c>
      <c r="O9" s="520" t="str">
        <f>IF(Internal!I7&lt;&gt;"",Internal!I7,"")</f>
        <v>adm_U</v>
      </c>
      <c r="P9" s="522">
        <f>IF(Internal!J7&lt;&gt;"",Internal!J7,"")</f>
        <v>6</v>
      </c>
      <c r="Q9" s="523" t="str">
        <f>IF(Internal!K7&lt;&gt;"",Internal!K7,"")</f>
        <v>Crops-Waste</v>
      </c>
      <c r="R9" s="500">
        <f>IF(Internal!L7&lt;&gt;"",Internal!L7,"")</f>
        <v>6</v>
      </c>
      <c r="S9" s="505" t="str">
        <f>IF(Internal!M7&lt;&gt;"",Internal!M7,"")</f>
        <v>Free-Biomass</v>
      </c>
      <c r="T9" s="501">
        <f>IF(Internal!N7&lt;&gt;"",Internal!N7,"")</f>
        <v>6</v>
      </c>
      <c r="U9" s="507" t="str">
        <f>IF(Internal!O7&lt;&gt;"",Internal!O7,"")</f>
        <v>Firewood-Remote</v>
      </c>
      <c r="V9" s="500">
        <f>IF(Internal!P7&lt;&gt;"",Internal!P7,"")</f>
        <v>6</v>
      </c>
      <c r="W9" s="505" t="str">
        <f>IF(Internal!Q7&lt;&gt;"",Internal!Q7,"")</f>
        <v>Charcoal_0</v>
      </c>
      <c r="X9" s="501">
        <f>IF(Internal!R7&lt;&gt;"",Internal!R7,"")</f>
        <v>6</v>
      </c>
      <c r="Y9" s="507" t="str">
        <f>IF(Internal!S7&lt;&gt;"",Internal!S7,"")</f>
        <v>Charcoal_0</v>
      </c>
    </row>
    <row r="10" spans="1:25" ht="22.2" customHeight="1" thickTop="1" thickBot="1" x14ac:dyDescent="0.35">
      <c r="B10" s="202"/>
      <c r="C10" s="197"/>
      <c r="D10" s="197"/>
      <c r="E10" s="808" t="s">
        <v>2218</v>
      </c>
      <c r="F10" s="152" t="s">
        <v>2219</v>
      </c>
      <c r="G10" s="197"/>
      <c r="H10" s="203"/>
      <c r="J10" s="514" t="str">
        <f>IF(Internal!D8&lt;&gt;"",Internal!D8,"")</f>
        <v/>
      </c>
      <c r="K10" s="515" t="str">
        <f>IF(Internal!E8&lt;&gt;"",Internal!E8,"")</f>
        <v/>
      </c>
      <c r="L10" s="518">
        <f>IF(Internal!F8&lt;&gt;"",Internal!F8,"")</f>
        <v>7</v>
      </c>
      <c r="M10" s="515" t="str">
        <f>IF(Internal!G8&lt;&gt;"",Internal!G8,"")</f>
        <v>hotel</v>
      </c>
      <c r="N10" s="518">
        <f>IF(Internal!H8&lt;&gt;"",Internal!H8,"")</f>
        <v>7</v>
      </c>
      <c r="O10" s="521" t="str">
        <f>IF(Internal!I8&lt;&gt;"",Internal!I8,"")</f>
        <v>com_U</v>
      </c>
      <c r="P10" s="524" t="str">
        <f>IF(Internal!J8&lt;&gt;"",Internal!J8,"")</f>
        <v/>
      </c>
      <c r="Q10" s="525" t="str">
        <f>IF(Internal!K8&lt;&gt;"",Internal!K8,"")</f>
        <v/>
      </c>
      <c r="R10" s="346">
        <f>IF(Internal!L8&lt;&gt;"",Internal!L8,"")</f>
        <v>7</v>
      </c>
      <c r="S10" s="506" t="str">
        <f>IF(Internal!M8&lt;&gt;"",Internal!M8,"")</f>
        <v>Pellets</v>
      </c>
      <c r="T10" s="347">
        <f>IF(Internal!N8&lt;&gt;"",Internal!N8,"")</f>
        <v>7</v>
      </c>
      <c r="U10" s="508" t="str">
        <f>IF(Internal!O8&lt;&gt;"",Internal!O8,"")</f>
        <v>Firewood-Local</v>
      </c>
      <c r="V10" s="346">
        <f>IF(Internal!P8&lt;&gt;"",Internal!P8,"")</f>
        <v>7</v>
      </c>
      <c r="W10" s="506" t="str">
        <f>IF(Internal!Q8&lt;&gt;"",Internal!Q8,"")</f>
        <v>Charcoal_1</v>
      </c>
      <c r="X10" s="347">
        <f>IF(Internal!R8&lt;&gt;"",Internal!R8,"")</f>
        <v>7</v>
      </c>
      <c r="Y10" s="508" t="str">
        <f>IF(Internal!S8&lt;&gt;"",Internal!S8,"")</f>
        <v>Charcoal_1</v>
      </c>
    </row>
    <row r="11" spans="1:25" ht="22.2" customHeight="1" thickTop="1" thickBot="1" x14ac:dyDescent="0.35">
      <c r="B11" s="202"/>
      <c r="C11" s="197"/>
      <c r="D11" s="197"/>
      <c r="E11" s="197"/>
      <c r="F11" s="204"/>
      <c r="G11" s="204"/>
      <c r="H11" s="203"/>
      <c r="J11" s="512" t="str">
        <f>IF(Internal!D9&lt;&gt;"",Internal!D9,"")</f>
        <v/>
      </c>
      <c r="K11" s="513" t="str">
        <f>IF(Internal!E9&lt;&gt;"",Internal!E9,"")</f>
        <v/>
      </c>
      <c r="L11" s="517">
        <f>IF(Internal!F9&lt;&gt;"",Internal!F9,"")</f>
        <v>8</v>
      </c>
      <c r="M11" s="513" t="str">
        <f>IF(Internal!G9&lt;&gt;"",Internal!G9,"")</f>
        <v>commercial-CC</v>
      </c>
      <c r="N11" s="517">
        <f>IF(Internal!H9&lt;&gt;"",Internal!H9,"")</f>
        <v>8</v>
      </c>
      <c r="O11" s="520" t="str">
        <f>IF(Internal!I9&lt;&gt;"",Internal!I9,"")</f>
        <v>res_low_U</v>
      </c>
      <c r="P11" s="522" t="str">
        <f>IF(Internal!J9&lt;&gt;"",Internal!J9,"")</f>
        <v/>
      </c>
      <c r="Q11" s="523" t="str">
        <f>IF(Internal!K9&lt;&gt;"",Internal!K9,"")</f>
        <v/>
      </c>
      <c r="R11" s="500">
        <f>IF(Internal!L9&lt;&gt;"",Internal!L9,"")</f>
        <v>8</v>
      </c>
      <c r="S11" s="505" t="str">
        <f>IF(Internal!M9&lt;&gt;"",Internal!M9,"")</f>
        <v>Free-Firewood</v>
      </c>
      <c r="T11" s="501">
        <f>IF(Internal!N9&lt;&gt;"",Internal!N9,"")</f>
        <v>8</v>
      </c>
      <c r="U11" s="507" t="str">
        <f>IF(Internal!O9&lt;&gt;"",Internal!O9,"")</f>
        <v xml:space="preserve">Free-CropsWaste </v>
      </c>
      <c r="V11" s="500">
        <f>IF(Internal!P9&lt;&gt;"",Internal!P9,"")</f>
        <v>8</v>
      </c>
      <c r="W11" s="505" t="str">
        <f>IF(Internal!Q9&lt;&gt;"",Internal!Q9,"")</f>
        <v>Charcoal_2</v>
      </c>
      <c r="X11" s="501">
        <f>IF(Internal!R9&lt;&gt;"",Internal!R9,"")</f>
        <v>8</v>
      </c>
      <c r="Y11" s="507" t="str">
        <f>IF(Internal!S9&lt;&gt;"",Internal!S9,"")</f>
        <v>Charcoal_2</v>
      </c>
    </row>
    <row r="12" spans="1:25" ht="22.2" customHeight="1" thickTop="1" thickBot="1" x14ac:dyDescent="0.35">
      <c r="B12" s="202"/>
      <c r="C12" s="650" t="s">
        <v>2266</v>
      </c>
      <c r="D12" s="879" t="s">
        <v>2287</v>
      </c>
      <c r="E12" s="880"/>
      <c r="F12" s="881"/>
      <c r="G12" s="197"/>
      <c r="H12" s="203"/>
      <c r="J12" s="514" t="str">
        <f>IF(Internal!D10&lt;&gt;"",Internal!D10,"")</f>
        <v/>
      </c>
      <c r="K12" s="515" t="str">
        <f>IF(Internal!E10&lt;&gt;"",Internal!E10,"")</f>
        <v/>
      </c>
      <c r="L12" s="518">
        <f>IF(Internal!F10&lt;&gt;"",Internal!F10,"")</f>
        <v>9</v>
      </c>
      <c r="M12" s="515" t="str">
        <f>IF(Internal!G10&lt;&gt;"",Internal!G10,"")</f>
        <v>industry_S-CC</v>
      </c>
      <c r="N12" s="518">
        <f>IF(Internal!H10&lt;&gt;"",Internal!H10,"")</f>
        <v>9</v>
      </c>
      <c r="O12" s="521" t="str">
        <f>IF(Internal!I10&lt;&gt;"",Internal!I10,"")</f>
        <v>res_med_U</v>
      </c>
      <c r="P12" s="524" t="str">
        <f>IF(Internal!J10&lt;&gt;"",Internal!J10,"")</f>
        <v/>
      </c>
      <c r="Q12" s="525" t="str">
        <f>IF(Internal!K10&lt;&gt;"",Internal!K10,"")</f>
        <v/>
      </c>
      <c r="R12" s="346">
        <f>IF(Internal!L10&lt;&gt;"",Internal!L10,"")</f>
        <v>9</v>
      </c>
      <c r="S12" s="506" t="str">
        <f>IF(Internal!M10&lt;&gt;"",Internal!M10,"")</f>
        <v>Ethanol</v>
      </c>
      <c r="T12" s="347">
        <f>IF(Internal!N10&lt;&gt;"",Internal!N10,"")</f>
        <v>9</v>
      </c>
      <c r="U12" s="508" t="str">
        <f>IF(Internal!O10&lt;&gt;"",Internal!O10,"")</f>
        <v>Wood-Pellets</v>
      </c>
      <c r="V12" s="346">
        <f>IF(Internal!P10&lt;&gt;"",Internal!P10,"")</f>
        <v>9</v>
      </c>
      <c r="W12" s="506" t="str">
        <f>IF(Internal!Q10&lt;&gt;"",Internal!Q10,"")</f>
        <v>Firewood-Bio_0</v>
      </c>
      <c r="X12" s="347">
        <f>IF(Internal!R10&lt;&gt;"",Internal!R10,"")</f>
        <v>9</v>
      </c>
      <c r="Y12" s="508" t="str">
        <f>IF(Internal!S10&lt;&gt;"",Internal!S10,"")</f>
        <v>Com-Firewood_0</v>
      </c>
    </row>
    <row r="13" spans="1:25" ht="22.2" customHeight="1" thickTop="1" thickBot="1" x14ac:dyDescent="0.35">
      <c r="B13" s="202"/>
      <c r="C13" s="197"/>
      <c r="D13" s="197"/>
      <c r="E13" s="808" t="s">
        <v>2218</v>
      </c>
      <c r="F13" s="152" t="s">
        <v>2288</v>
      </c>
      <c r="G13" s="197"/>
      <c r="H13" s="203"/>
      <c r="J13" s="512" t="str">
        <f>IF(Internal!D11&lt;&gt;"",Internal!D11,"")</f>
        <v/>
      </c>
      <c r="K13" s="513" t="str">
        <f>IF(Internal!E11&lt;&gt;"",Internal!E11,"")</f>
        <v/>
      </c>
      <c r="L13" s="517">
        <f>IF(Internal!F11&lt;&gt;"",Internal!F11,"")</f>
        <v>10</v>
      </c>
      <c r="M13" s="513" t="str">
        <f>IF(Internal!G11&lt;&gt;"",Internal!G11,"")</f>
        <v>industry_L-CC</v>
      </c>
      <c r="N13" s="517">
        <f>IF(Internal!H11&lt;&gt;"",Internal!H11,"")</f>
        <v>10</v>
      </c>
      <c r="O13" s="520" t="str">
        <f>IF(Internal!I11&lt;&gt;"",Internal!I11,"")</f>
        <v>res_high_U</v>
      </c>
      <c r="P13" s="522" t="str">
        <f>IF(Internal!J11&lt;&gt;"",Internal!J11,"")</f>
        <v/>
      </c>
      <c r="Q13" s="523" t="str">
        <f>IF(Internal!K11&lt;&gt;"",Internal!K11,"")</f>
        <v/>
      </c>
      <c r="R13" s="500" t="str">
        <f>IF(Internal!L11&lt;&gt;"",Internal!L11,"")</f>
        <v/>
      </c>
      <c r="S13" s="505" t="str">
        <f>IF(Internal!M11&lt;&gt;"",Internal!M11,"")</f>
        <v/>
      </c>
      <c r="T13" s="501">
        <f>IF(Internal!N11&lt;&gt;"",Internal!N11,"")</f>
        <v>10</v>
      </c>
      <c r="U13" s="507" t="str">
        <f>IF(Internal!O11&lt;&gt;"",Internal!O11,"")</f>
        <v>Free-Firewood</v>
      </c>
      <c r="V13" s="500">
        <f>IF(Internal!P11&lt;&gt;"",Internal!P11,"")</f>
        <v>10</v>
      </c>
      <c r="W13" s="505" t="str">
        <f>IF(Internal!Q11&lt;&gt;"",Internal!Q11,"")</f>
        <v>Firewood-Bio_1</v>
      </c>
      <c r="X13" s="501">
        <f>IF(Internal!R11&lt;&gt;"",Internal!R11,"")</f>
        <v>10</v>
      </c>
      <c r="Y13" s="507" t="str">
        <f>IF(Internal!S11&lt;&gt;"",Internal!S11,"")</f>
        <v>Com-Firewood_1</v>
      </c>
    </row>
    <row r="14" spans="1:25" ht="22.2" customHeight="1" thickTop="1" x14ac:dyDescent="0.3">
      <c r="B14" s="860"/>
      <c r="C14" s="861"/>
      <c r="D14" s="861"/>
      <c r="E14" s="861"/>
      <c r="F14" s="862"/>
      <c r="G14" s="862"/>
      <c r="H14" s="863"/>
      <c r="J14" s="514" t="str">
        <f>IF(Internal!D12&lt;&gt;"",Internal!D12,"")</f>
        <v/>
      </c>
      <c r="K14" s="515" t="str">
        <f>IF(Internal!E12&lt;&gt;"",Internal!E12,"")</f>
        <v/>
      </c>
      <c r="L14" s="518">
        <f>IF(Internal!F12&lt;&gt;"",Internal!F12,"")</f>
        <v>11</v>
      </c>
      <c r="M14" s="515" t="str">
        <f>IF(Internal!G12&lt;&gt;"",Internal!G12,"")</f>
        <v>industry</v>
      </c>
      <c r="N14" s="518" t="str">
        <f>IF(Internal!H12&lt;&gt;"",Internal!H12,"")</f>
        <v/>
      </c>
      <c r="O14" s="521" t="str">
        <f>IF(Internal!I12&lt;&gt;"",Internal!I12,"")</f>
        <v/>
      </c>
      <c r="P14" s="524" t="str">
        <f>IF(Internal!J12&lt;&gt;"",Internal!J12,"")</f>
        <v/>
      </c>
      <c r="Q14" s="525" t="str">
        <f>IF(Internal!K12&lt;&gt;"",Internal!K12,"")</f>
        <v/>
      </c>
      <c r="R14" s="346" t="str">
        <f>IF(Internal!L12&lt;&gt;"",Internal!L12,"")</f>
        <v/>
      </c>
      <c r="S14" s="506" t="str">
        <f>IF(Internal!M12&lt;&gt;"",Internal!M12,"")</f>
        <v/>
      </c>
      <c r="T14" s="347">
        <f>IF(Internal!N12&lt;&gt;"",Internal!N12,"")</f>
        <v>11</v>
      </c>
      <c r="U14" s="508" t="str">
        <f>IF(Internal!O12&lt;&gt;"",Internal!O12,"")</f>
        <v>Ethanol</v>
      </c>
      <c r="V14" s="346">
        <f>IF(Internal!P12&lt;&gt;"",Internal!P12,"")</f>
        <v>11</v>
      </c>
      <c r="W14" s="506" t="str">
        <f>IF(Internal!Q12&lt;&gt;"",Internal!Q12,"")</f>
        <v>Firewood-Bio_2</v>
      </c>
      <c r="X14" s="347">
        <f>IF(Internal!R12&lt;&gt;"",Internal!R12,"")</f>
        <v>11</v>
      </c>
      <c r="Y14" s="508" t="str">
        <f>IF(Internal!S12&lt;&gt;"",Internal!S12,"")</f>
        <v>Com-Firewood_2</v>
      </c>
    </row>
    <row r="15" spans="1:25" ht="22.2" customHeight="1" x14ac:dyDescent="0.3">
      <c r="B15" s="864"/>
      <c r="C15" s="865"/>
      <c r="D15" s="865"/>
      <c r="E15" s="865"/>
      <c r="F15" s="866"/>
      <c r="G15" s="866"/>
      <c r="H15" s="867"/>
      <c r="J15" s="512" t="str">
        <f>IF(Internal!D13&lt;&gt;"",Internal!D13,"")</f>
        <v/>
      </c>
      <c r="K15" s="513" t="str">
        <f>IF(Internal!E13&lt;&gt;"",Internal!E13,"")</f>
        <v/>
      </c>
      <c r="L15" s="517">
        <f>IF(Internal!F13&lt;&gt;"",Internal!F13,"")</f>
        <v>12</v>
      </c>
      <c r="M15" s="513" t="str">
        <f>IF(Internal!G13&lt;&gt;"",Internal!G13,"")</f>
        <v>education_S</v>
      </c>
      <c r="N15" s="517" t="str">
        <f>IF(Internal!H13&lt;&gt;"",Internal!H13,"")</f>
        <v/>
      </c>
      <c r="O15" s="520" t="str">
        <f>IF(Internal!I13&lt;&gt;"",Internal!I13,"")</f>
        <v/>
      </c>
      <c r="P15" s="522" t="str">
        <f>IF(Internal!J13&lt;&gt;"",Internal!J13,"")</f>
        <v/>
      </c>
      <c r="Q15" s="523" t="str">
        <f>IF(Internal!K13&lt;&gt;"",Internal!K13,"")</f>
        <v/>
      </c>
      <c r="R15" s="500" t="str">
        <f>IF(Internal!L13&lt;&gt;"",Internal!L13,"")</f>
        <v/>
      </c>
      <c r="S15" s="505" t="str">
        <f>IF(Internal!M13&lt;&gt;"",Internal!M13,"")</f>
        <v/>
      </c>
      <c r="T15" s="501" t="str">
        <f>IF(Internal!N13&lt;&gt;"",Internal!N13,"")</f>
        <v/>
      </c>
      <c r="U15" s="507" t="str">
        <f>IF(Internal!O13&lt;&gt;"",Internal!O13,"")</f>
        <v/>
      </c>
      <c r="V15" s="500">
        <f>IF(Internal!P13&lt;&gt;"",Internal!P13,"")</f>
        <v>12</v>
      </c>
      <c r="W15" s="505" t="str">
        <f>IF(Internal!Q13&lt;&gt;"",Internal!Q13,"")</f>
        <v>Pellets</v>
      </c>
      <c r="X15" s="501">
        <f>IF(Internal!R13&lt;&gt;"",Internal!R13,"")</f>
        <v>12</v>
      </c>
      <c r="Y15" s="507" t="str">
        <f>IF(Internal!S13&lt;&gt;"",Internal!S13,"")</f>
        <v>Free-Biomass_0</v>
      </c>
    </row>
    <row r="16" spans="1:25" ht="22.2" customHeight="1" x14ac:dyDescent="0.3">
      <c r="B16" s="202"/>
      <c r="C16" s="197"/>
      <c r="D16" s="197"/>
      <c r="E16" s="197"/>
      <c r="F16" s="204"/>
      <c r="G16" s="204"/>
      <c r="H16" s="203"/>
      <c r="J16" s="514" t="str">
        <f>IF(Internal!D14&lt;&gt;"",Internal!D14,"")</f>
        <v/>
      </c>
      <c r="K16" s="515" t="str">
        <f>IF(Internal!E14&lt;&gt;"",Internal!E14,"")</f>
        <v/>
      </c>
      <c r="L16" s="518">
        <f>IF(Internal!F14&lt;&gt;"",Internal!F14,"")</f>
        <v>13</v>
      </c>
      <c r="M16" s="515" t="str">
        <f>IF(Internal!G14&lt;&gt;"",Internal!G14,"")</f>
        <v>education_L</v>
      </c>
      <c r="N16" s="518" t="str">
        <f>IF(Internal!H14&lt;&gt;"",Internal!H14,"")</f>
        <v/>
      </c>
      <c r="O16" s="521" t="str">
        <f>IF(Internal!I14&lt;&gt;"",Internal!I14,"")</f>
        <v/>
      </c>
      <c r="P16" s="524" t="str">
        <f>IF(Internal!J14&lt;&gt;"",Internal!J14,"")</f>
        <v/>
      </c>
      <c r="Q16" s="525" t="str">
        <f>IF(Internal!K14&lt;&gt;"",Internal!K14,"")</f>
        <v/>
      </c>
      <c r="R16" s="346" t="str">
        <f>IF(Internal!L14&lt;&gt;"",Internal!L14,"")</f>
        <v/>
      </c>
      <c r="S16" s="506" t="str">
        <f>IF(Internal!M14&lt;&gt;"",Internal!M14,"")</f>
        <v/>
      </c>
      <c r="T16" s="347" t="str">
        <f>IF(Internal!N14&lt;&gt;"",Internal!N14,"")</f>
        <v/>
      </c>
      <c r="U16" s="508" t="str">
        <f>IF(Internal!O14&lt;&gt;"",Internal!O14,"")</f>
        <v/>
      </c>
      <c r="V16" s="346">
        <f>IF(Internal!P14&lt;&gt;"",Internal!P14,"")</f>
        <v>13</v>
      </c>
      <c r="W16" s="506" t="str">
        <f>IF(Internal!Q14&lt;&gt;"",Internal!Q14,"")</f>
        <v>Ethanol</v>
      </c>
      <c r="X16" s="347">
        <f>IF(Internal!R14&lt;&gt;"",Internal!R14,"")</f>
        <v>13</v>
      </c>
      <c r="Y16" s="508" t="str">
        <f>IF(Internal!S14&lt;&gt;"",Internal!S14,"")</f>
        <v>Free-Biomass_1</v>
      </c>
    </row>
    <row r="17" spans="2:25" ht="22.2" customHeight="1" x14ac:dyDescent="0.3">
      <c r="B17" s="860"/>
      <c r="C17" s="861"/>
      <c r="D17" s="861"/>
      <c r="E17" s="861"/>
      <c r="F17" s="862"/>
      <c r="G17" s="862"/>
      <c r="H17" s="863"/>
      <c r="J17" s="512" t="str">
        <f>IF(Internal!D15&lt;&gt;"",Internal!D15,"")</f>
        <v/>
      </c>
      <c r="K17" s="513" t="str">
        <f>IF(Internal!E15&lt;&gt;"",Internal!E15,"")</f>
        <v/>
      </c>
      <c r="L17" s="517">
        <f>IF(Internal!F15&lt;&gt;"",Internal!F15,"")</f>
        <v>14</v>
      </c>
      <c r="M17" s="513" t="str">
        <f>IF(Internal!G15&lt;&gt;"",Internal!G15,"")</f>
        <v>restaurant_S</v>
      </c>
      <c r="N17" s="517" t="str">
        <f>IF(Internal!H15&lt;&gt;"",Internal!H15,"")</f>
        <v/>
      </c>
      <c r="O17" s="520" t="str">
        <f>IF(Internal!I15&lt;&gt;"",Internal!I15,"")</f>
        <v/>
      </c>
      <c r="P17" s="522" t="str">
        <f>IF(Internal!J15&lt;&gt;"",Internal!J15,"")</f>
        <v/>
      </c>
      <c r="Q17" s="523" t="str">
        <f>IF(Internal!K15&lt;&gt;"",Internal!K15,"")</f>
        <v/>
      </c>
      <c r="R17" s="500" t="str">
        <f>IF(Internal!L15&lt;&gt;"",Internal!L15,"")</f>
        <v/>
      </c>
      <c r="S17" s="505" t="str">
        <f>IF(Internal!M15&lt;&gt;"",Internal!M15,"")</f>
        <v/>
      </c>
      <c r="T17" s="501" t="str">
        <f>IF(Internal!N15&lt;&gt;"",Internal!N15,"")</f>
        <v/>
      </c>
      <c r="U17" s="507" t="str">
        <f>IF(Internal!O15&lt;&gt;"",Internal!O15,"")</f>
        <v/>
      </c>
      <c r="V17" s="500" t="str">
        <f>IF(Internal!P15&lt;&gt;"",Internal!P15,"")</f>
        <v/>
      </c>
      <c r="W17" s="505" t="str">
        <f>IF(Internal!Q15&lt;&gt;"",Internal!Q15,"")</f>
        <v/>
      </c>
      <c r="X17" s="501">
        <f>IF(Internal!R15&lt;&gt;"",Internal!R15,"")</f>
        <v>14</v>
      </c>
      <c r="Y17" s="507" t="str">
        <f>IF(Internal!S15&lt;&gt;"",Internal!S15,"")</f>
        <v>Free-Biomass_2</v>
      </c>
    </row>
    <row r="18" spans="2:25" ht="22.2" customHeight="1" thickBot="1" x14ac:dyDescent="0.35">
      <c r="B18" s="864"/>
      <c r="C18" s="865"/>
      <c r="D18" s="869"/>
      <c r="E18" s="870" t="s">
        <v>154</v>
      </c>
      <c r="F18" s="866" t="s">
        <v>155</v>
      </c>
      <c r="G18" s="866" t="s">
        <v>156</v>
      </c>
      <c r="H18" s="867"/>
      <c r="J18" s="514" t="str">
        <f>IF(Internal!D16&lt;&gt;"",Internal!D16,"")</f>
        <v/>
      </c>
      <c r="K18" s="515" t="str">
        <f>IF(Internal!E16&lt;&gt;"",Internal!E16,"")</f>
        <v/>
      </c>
      <c r="L18" s="518">
        <f>IF(Internal!F16&lt;&gt;"",Internal!F16,"")</f>
        <v>15</v>
      </c>
      <c r="M18" s="515" t="str">
        <f>IF(Internal!G16&lt;&gt;"",Internal!G16,"")</f>
        <v>restaurant_M</v>
      </c>
      <c r="N18" s="518" t="str">
        <f>IF(Internal!H16&lt;&gt;"",Internal!H16,"")</f>
        <v/>
      </c>
      <c r="O18" s="521" t="str">
        <f>IF(Internal!I16&lt;&gt;"",Internal!I16,"")</f>
        <v/>
      </c>
      <c r="P18" s="524" t="str">
        <f>IF(Internal!J16&lt;&gt;"",Internal!J16,"")</f>
        <v/>
      </c>
      <c r="Q18" s="525" t="str">
        <f>IF(Internal!K16&lt;&gt;"",Internal!K16,"")</f>
        <v/>
      </c>
      <c r="R18" s="346" t="str">
        <f>IF(Internal!L16&lt;&gt;"",Internal!L16,"")</f>
        <v/>
      </c>
      <c r="S18" s="506" t="str">
        <f>IF(Internal!M16&lt;&gt;"",Internal!M16,"")</f>
        <v/>
      </c>
      <c r="T18" s="347" t="str">
        <f>IF(Internal!N16&lt;&gt;"",Internal!N16,"")</f>
        <v/>
      </c>
      <c r="U18" s="508" t="str">
        <f>IF(Internal!O16&lt;&gt;"",Internal!O16,"")</f>
        <v/>
      </c>
      <c r="V18" s="346" t="str">
        <f>IF(Internal!P16&lt;&gt;"",Internal!P16,"")</f>
        <v/>
      </c>
      <c r="W18" s="506" t="str">
        <f>IF(Internal!Q16&lt;&gt;"",Internal!Q16,"")</f>
        <v/>
      </c>
      <c r="X18" s="347">
        <f>IF(Internal!R16&lt;&gt;"",Internal!R16,"")</f>
        <v>15</v>
      </c>
      <c r="Y18" s="508" t="str">
        <f>IF(Internal!S16&lt;&gt;"",Internal!S16,"")</f>
        <v>Pellets</v>
      </c>
    </row>
    <row r="19" spans="2:25" ht="22.2" customHeight="1" thickTop="1" thickBot="1" x14ac:dyDescent="0.35">
      <c r="B19" s="202"/>
      <c r="C19" s="197"/>
      <c r="D19" s="196"/>
      <c r="E19" s="148"/>
      <c r="F19" s="147"/>
      <c r="G19" s="152"/>
      <c r="H19" s="203"/>
      <c r="J19" s="512" t="str">
        <f>IF(Internal!D17&lt;&gt;"",Internal!D17,"")</f>
        <v/>
      </c>
      <c r="K19" s="513" t="str">
        <f>IF(Internal!E17&lt;&gt;"",Internal!E17,"")</f>
        <v/>
      </c>
      <c r="L19" s="517">
        <f>IF(Internal!F17&lt;&gt;"",Internal!F17,"")</f>
        <v>16</v>
      </c>
      <c r="M19" s="513" t="str">
        <f>IF(Internal!G17&lt;&gt;"",Internal!G17,"")</f>
        <v>restaurant_L</v>
      </c>
      <c r="N19" s="517" t="str">
        <f>IF(Internal!H17&lt;&gt;"",Internal!H17,"")</f>
        <v/>
      </c>
      <c r="O19" s="520" t="str">
        <f>IF(Internal!I17&lt;&gt;"",Internal!I17,"")</f>
        <v/>
      </c>
      <c r="P19" s="522" t="str">
        <f>IF(Internal!J17&lt;&gt;"",Internal!J17,"")</f>
        <v/>
      </c>
      <c r="Q19" s="523" t="str">
        <f>IF(Internal!K17&lt;&gt;"",Internal!K17,"")</f>
        <v/>
      </c>
      <c r="R19" s="500" t="str">
        <f>IF(Internal!L17&lt;&gt;"",Internal!L17,"")</f>
        <v/>
      </c>
      <c r="S19" s="505" t="str">
        <f>IF(Internal!M17&lt;&gt;"",Internal!M17,"")</f>
        <v/>
      </c>
      <c r="T19" s="501" t="str">
        <f>IF(Internal!N17&lt;&gt;"",Internal!N17,"")</f>
        <v/>
      </c>
      <c r="U19" s="507" t="str">
        <f>IF(Internal!O17&lt;&gt;"",Internal!O17,"")</f>
        <v/>
      </c>
      <c r="V19" s="500" t="str">
        <f>IF(Internal!P17&lt;&gt;"",Internal!P17,"")</f>
        <v/>
      </c>
      <c r="W19" s="505" t="str">
        <f>IF(Internal!Q17&lt;&gt;"",Internal!Q17,"")</f>
        <v/>
      </c>
      <c r="X19" s="501">
        <f>IF(Internal!R17&lt;&gt;"",Internal!R17,"")</f>
        <v>16</v>
      </c>
      <c r="Y19" s="507" t="str">
        <f>IF(Internal!S17&lt;&gt;"",Internal!S17,"")</f>
        <v>Free-Firewood_0</v>
      </c>
    </row>
    <row r="20" spans="2:25" ht="22.2" customHeight="1" thickTop="1" thickBot="1" x14ac:dyDescent="0.35">
      <c r="B20" s="202"/>
      <c r="C20" s="197"/>
      <c r="D20" s="197"/>
      <c r="E20" s="197"/>
      <c r="F20" s="204" t="s">
        <v>155</v>
      </c>
      <c r="G20" s="204"/>
      <c r="H20" s="203"/>
      <c r="J20" s="514" t="str">
        <f>IF(Internal!D18&lt;&gt;"",Internal!D18,"")</f>
        <v/>
      </c>
      <c r="K20" s="515" t="str">
        <f>IF(Internal!E18&lt;&gt;"",Internal!E18,"")</f>
        <v/>
      </c>
      <c r="L20" s="518">
        <f>IF(Internal!F18&lt;&gt;"",Internal!F18,"")</f>
        <v>17</v>
      </c>
      <c r="M20" s="515" t="str">
        <f>IF(Internal!G18&lt;&gt;"",Internal!G18,"")</f>
        <v>hospital</v>
      </c>
      <c r="N20" s="518" t="str">
        <f>IF(Internal!H18&lt;&gt;"",Internal!H18,"")</f>
        <v/>
      </c>
      <c r="O20" s="521" t="str">
        <f>IF(Internal!I18&lt;&gt;"",Internal!I18,"")</f>
        <v/>
      </c>
      <c r="P20" s="524" t="str">
        <f>IF(Internal!J18&lt;&gt;"",Internal!J18,"")</f>
        <v/>
      </c>
      <c r="Q20" s="525" t="str">
        <f>IF(Internal!K18&lt;&gt;"",Internal!K18,"")</f>
        <v/>
      </c>
      <c r="R20" s="346" t="str">
        <f>IF(Internal!L18&lt;&gt;"",Internal!L18,"")</f>
        <v/>
      </c>
      <c r="S20" s="506" t="str">
        <f>IF(Internal!M18&lt;&gt;"",Internal!M18,"")</f>
        <v/>
      </c>
      <c r="T20" s="347" t="str">
        <f>IF(Internal!N18&lt;&gt;"",Internal!N18,"")</f>
        <v/>
      </c>
      <c r="U20" s="508" t="str">
        <f>IF(Internal!O18&lt;&gt;"",Internal!O18,"")</f>
        <v/>
      </c>
      <c r="V20" s="346" t="str">
        <f>IF(Internal!P18&lt;&gt;"",Internal!P18,"")</f>
        <v/>
      </c>
      <c r="W20" s="506" t="str">
        <f>IF(Internal!Q18&lt;&gt;"",Internal!Q18,"")</f>
        <v/>
      </c>
      <c r="X20" s="347">
        <f>IF(Internal!R18&lt;&gt;"",Internal!R18,"")</f>
        <v>17</v>
      </c>
      <c r="Y20" s="508" t="str">
        <f>IF(Internal!S18&lt;&gt;"",Internal!S18,"")</f>
        <v>Free-Firewood_1</v>
      </c>
    </row>
    <row r="21" spans="2:25" ht="22.2" customHeight="1" thickTop="1" thickBot="1" x14ac:dyDescent="0.35">
      <c r="B21" s="202"/>
      <c r="C21" s="197"/>
      <c r="D21" s="196"/>
      <c r="E21" s="195"/>
      <c r="F21" s="152"/>
      <c r="G21" s="197"/>
      <c r="H21" s="203"/>
      <c r="J21" s="512" t="str">
        <f>IF(Internal!D19&lt;&gt;"",Internal!D19,"")</f>
        <v/>
      </c>
      <c r="K21" s="513" t="str">
        <f>IF(Internal!E19&lt;&gt;"",Internal!E19,"")</f>
        <v/>
      </c>
      <c r="L21" s="517">
        <f>IF(Internal!F19&lt;&gt;"",Internal!F19,"")</f>
        <v>18</v>
      </c>
      <c r="M21" s="513" t="str">
        <f>IF(Internal!G19&lt;&gt;"",Internal!G19,"")</f>
        <v>office</v>
      </c>
      <c r="N21" s="517" t="str">
        <f>IF(Internal!H19&lt;&gt;"",Internal!H19,"")</f>
        <v/>
      </c>
      <c r="O21" s="520" t="str">
        <f>IF(Internal!I19&lt;&gt;"",Internal!I19,"")</f>
        <v/>
      </c>
      <c r="P21" s="522" t="str">
        <f>IF(Internal!J19&lt;&gt;"",Internal!J19,"")</f>
        <v/>
      </c>
      <c r="Q21" s="523" t="str">
        <f>IF(Internal!K19&lt;&gt;"",Internal!K19,"")</f>
        <v/>
      </c>
      <c r="R21" s="500" t="str">
        <f>IF(Internal!L19&lt;&gt;"",Internal!L19,"")</f>
        <v/>
      </c>
      <c r="S21" s="505" t="str">
        <f>IF(Internal!M19&lt;&gt;"",Internal!M19,"")</f>
        <v/>
      </c>
      <c r="T21" s="501" t="str">
        <f>IF(Internal!N19&lt;&gt;"",Internal!N19,"")</f>
        <v/>
      </c>
      <c r="U21" s="507" t="str">
        <f>IF(Internal!O19&lt;&gt;"",Internal!O19,"")</f>
        <v/>
      </c>
      <c r="V21" s="500" t="str">
        <f>IF(Internal!P19&lt;&gt;"",Internal!P19,"")</f>
        <v/>
      </c>
      <c r="W21" s="505" t="str">
        <f>IF(Internal!Q19&lt;&gt;"",Internal!Q19,"")</f>
        <v/>
      </c>
      <c r="X21" s="501">
        <f>IF(Internal!R19&lt;&gt;"",Internal!R19,"")</f>
        <v>18</v>
      </c>
      <c r="Y21" s="507" t="str">
        <f>IF(Internal!S19&lt;&gt;"",Internal!S19,"")</f>
        <v>Free-Firewood_2</v>
      </c>
    </row>
    <row r="22" spans="2:25" ht="22.2" customHeight="1" thickTop="1" thickBot="1" x14ac:dyDescent="0.35">
      <c r="B22" s="202"/>
      <c r="C22" s="197"/>
      <c r="D22" s="197"/>
      <c r="E22" s="197"/>
      <c r="F22" s="204" t="s">
        <v>170</v>
      </c>
      <c r="G22" s="204" t="s">
        <v>171</v>
      </c>
      <c r="H22" s="203"/>
      <c r="J22" s="514" t="str">
        <f>IF(Internal!D20&lt;&gt;"",Internal!D20,"")</f>
        <v/>
      </c>
      <c r="K22" s="515" t="str">
        <f>IF(Internal!E20&lt;&gt;"",Internal!E20,"")</f>
        <v/>
      </c>
      <c r="L22" s="518">
        <f>IF(Internal!F20&lt;&gt;"",Internal!F20,"")</f>
        <v>19</v>
      </c>
      <c r="M22" s="515" t="str">
        <f>IF(Internal!G20&lt;&gt;"",Internal!G20,"")</f>
        <v>airport</v>
      </c>
      <c r="N22" s="518" t="str">
        <f>IF(Internal!H20&lt;&gt;"",Internal!H20,"")</f>
        <v/>
      </c>
      <c r="O22" s="521" t="str">
        <f>IF(Internal!I20&lt;&gt;"",Internal!I20,"")</f>
        <v/>
      </c>
      <c r="P22" s="524" t="str">
        <f>IF(Internal!J20&lt;&gt;"",Internal!J20,"")</f>
        <v/>
      </c>
      <c r="Q22" s="525" t="str">
        <f>IF(Internal!K20&lt;&gt;"",Internal!K20,"")</f>
        <v/>
      </c>
      <c r="R22" s="346" t="str">
        <f>IF(Internal!L20&lt;&gt;"",Internal!L20,"")</f>
        <v/>
      </c>
      <c r="S22" s="506" t="str">
        <f>IF(Internal!M20&lt;&gt;"",Internal!M20,"")</f>
        <v/>
      </c>
      <c r="T22" s="347" t="str">
        <f>IF(Internal!N20&lt;&gt;"",Internal!N20,"")</f>
        <v/>
      </c>
      <c r="U22" s="508" t="str">
        <f>IF(Internal!O20&lt;&gt;"",Internal!O20,"")</f>
        <v/>
      </c>
      <c r="V22" s="346" t="str">
        <f>IF(Internal!P20&lt;&gt;"",Internal!P20,"")</f>
        <v/>
      </c>
      <c r="W22" s="506" t="str">
        <f>IF(Internal!Q20&lt;&gt;"",Internal!Q20,"")</f>
        <v/>
      </c>
      <c r="X22" s="347">
        <f>IF(Internal!R20&lt;&gt;"",Internal!R20,"")</f>
        <v>19</v>
      </c>
      <c r="Y22" s="508" t="str">
        <f>IF(Internal!S20&lt;&gt;"",Internal!S20,"")</f>
        <v>Ethanol</v>
      </c>
    </row>
    <row r="23" spans="2:25" ht="22.2" customHeight="1" thickTop="1" thickBot="1" x14ac:dyDescent="0.35">
      <c r="B23" s="202"/>
      <c r="C23" s="197"/>
      <c r="D23" s="196"/>
      <c r="E23" s="195"/>
      <c r="F23" s="153"/>
      <c r="G23" s="152"/>
      <c r="H23" s="203"/>
      <c r="J23" s="512" t="str">
        <f>IF(Internal!D21&lt;&gt;"",Internal!D21,"")</f>
        <v/>
      </c>
      <c r="K23" s="513" t="str">
        <f>IF(Internal!E21&lt;&gt;"",Internal!E21,"")</f>
        <v/>
      </c>
      <c r="L23" s="517">
        <f>IF(Internal!F21&lt;&gt;"",Internal!F21,"")</f>
        <v>20</v>
      </c>
      <c r="M23" s="513" t="str">
        <f>IF(Internal!G21&lt;&gt;"",Internal!G21,"")</f>
        <v>residential_GR</v>
      </c>
      <c r="N23" s="517" t="str">
        <f>IF(Internal!H21&lt;&gt;"",Internal!H21,"")</f>
        <v/>
      </c>
      <c r="O23" s="520" t="str">
        <f>IF(Internal!I21&lt;&gt;"",Internal!I21,"")</f>
        <v/>
      </c>
      <c r="P23" s="522" t="str">
        <f>IF(Internal!J21&lt;&gt;"",Internal!J21,"")</f>
        <v/>
      </c>
      <c r="Q23" s="523" t="str">
        <f>IF(Internal!K21&lt;&gt;"",Internal!K21,"")</f>
        <v/>
      </c>
      <c r="R23" s="500" t="str">
        <f>IF(Internal!L21&lt;&gt;"",Internal!L21,"")</f>
        <v/>
      </c>
      <c r="S23" s="505" t="str">
        <f>IF(Internal!M21&lt;&gt;"",Internal!M21,"")</f>
        <v/>
      </c>
      <c r="T23" s="501" t="str">
        <f>IF(Internal!N21&lt;&gt;"",Internal!N21,"")</f>
        <v/>
      </c>
      <c r="U23" s="507" t="str">
        <f>IF(Internal!O21&lt;&gt;"",Internal!O21,"")</f>
        <v/>
      </c>
      <c r="V23" s="500" t="str">
        <f>IF(Internal!P21&lt;&gt;"",Internal!P21,"")</f>
        <v/>
      </c>
      <c r="W23" s="505" t="str">
        <f>IF(Internal!Q21&lt;&gt;"",Internal!Q21,"")</f>
        <v/>
      </c>
      <c r="X23" s="501" t="str">
        <f>IF(Internal!R21&lt;&gt;"",Internal!R21,"")</f>
        <v/>
      </c>
      <c r="Y23" s="507" t="str">
        <f>IF(Internal!S21&lt;&gt;"",Internal!S21,"")</f>
        <v/>
      </c>
    </row>
    <row r="24" spans="2:25" ht="22.2" customHeight="1" thickTop="1" thickBot="1" x14ac:dyDescent="0.35">
      <c r="B24" s="202"/>
      <c r="C24" s="197"/>
      <c r="D24" s="197"/>
      <c r="E24" s="197"/>
      <c r="F24" s="204" t="s">
        <v>174</v>
      </c>
      <c r="G24" s="204" t="s">
        <v>175</v>
      </c>
      <c r="H24" s="203"/>
      <c r="J24" s="514" t="str">
        <f>IF(Internal!D22&lt;&gt;"",Internal!D22,"")</f>
        <v/>
      </c>
      <c r="K24" s="515" t="str">
        <f>IF(Internal!E22&lt;&gt;"",Internal!E22,"")</f>
        <v/>
      </c>
      <c r="L24" s="518" t="str">
        <f>IF(Internal!F22&lt;&gt;"",Internal!F22,"")</f>
        <v/>
      </c>
      <c r="M24" s="515" t="str">
        <f>IF(Internal!G22&lt;&gt;"",Internal!G22,"")</f>
        <v/>
      </c>
      <c r="N24" s="518" t="str">
        <f>IF(Internal!H22&lt;&gt;"",Internal!H22,"")</f>
        <v/>
      </c>
      <c r="O24" s="521" t="str">
        <f>IF(Internal!I22&lt;&gt;"",Internal!I22,"")</f>
        <v/>
      </c>
      <c r="P24" s="524" t="str">
        <f>IF(Internal!J22&lt;&gt;"",Internal!J22,"")</f>
        <v/>
      </c>
      <c r="Q24" s="525" t="str">
        <f>IF(Internal!K22&lt;&gt;"",Internal!K22,"")</f>
        <v/>
      </c>
      <c r="R24" s="346" t="str">
        <f>IF(Internal!L22&lt;&gt;"",Internal!L22,"")</f>
        <v/>
      </c>
      <c r="S24" s="506" t="str">
        <f>IF(Internal!M22&lt;&gt;"",Internal!M22,"")</f>
        <v/>
      </c>
      <c r="T24" s="347" t="str">
        <f>IF(Internal!N22&lt;&gt;"",Internal!N22,"")</f>
        <v/>
      </c>
      <c r="U24" s="508" t="str">
        <f>IF(Internal!O22&lt;&gt;"",Internal!O22,"")</f>
        <v/>
      </c>
      <c r="V24" s="346" t="str">
        <f>IF(Internal!P22&lt;&gt;"",Internal!P22,"")</f>
        <v/>
      </c>
      <c r="W24" s="506" t="str">
        <f>IF(Internal!Q22&lt;&gt;"",Internal!Q22,"")</f>
        <v/>
      </c>
      <c r="X24" s="347" t="str">
        <f>IF(Internal!R22&lt;&gt;"",Internal!R22,"")</f>
        <v/>
      </c>
      <c r="Y24" s="508" t="str">
        <f>IF(Internal!S22&lt;&gt;"",Internal!S22,"")</f>
        <v/>
      </c>
    </row>
    <row r="25" spans="2:25" ht="22.2" customHeight="1" thickTop="1" thickBot="1" x14ac:dyDescent="0.35">
      <c r="B25" s="202"/>
      <c r="C25" s="197"/>
      <c r="D25" s="196"/>
      <c r="E25" s="195"/>
      <c r="F25" s="153"/>
      <c r="G25" s="152"/>
      <c r="H25" s="203"/>
      <c r="J25" s="512" t="str">
        <f>IF(Internal!D23&lt;&gt;"",Internal!D23,"")</f>
        <v/>
      </c>
      <c r="K25" s="513" t="str">
        <f>IF(Internal!E23&lt;&gt;"",Internal!E23,"")</f>
        <v/>
      </c>
      <c r="L25" s="517" t="str">
        <f>IF(Internal!F23&lt;&gt;"",Internal!F23,"")</f>
        <v/>
      </c>
      <c r="M25" s="513" t="str">
        <f>IF(Internal!G23&lt;&gt;"",Internal!G23,"")</f>
        <v/>
      </c>
      <c r="N25" s="517" t="str">
        <f>IF(Internal!H23&lt;&gt;"",Internal!H23,"")</f>
        <v/>
      </c>
      <c r="O25" s="520" t="str">
        <f>IF(Internal!I23&lt;&gt;"",Internal!I23,"")</f>
        <v/>
      </c>
      <c r="P25" s="522" t="str">
        <f>IF(Internal!J23&lt;&gt;"",Internal!J23,"")</f>
        <v/>
      </c>
      <c r="Q25" s="523" t="str">
        <f>IF(Internal!K23&lt;&gt;"",Internal!K23,"")</f>
        <v/>
      </c>
      <c r="R25" s="500" t="str">
        <f>IF(Internal!L23&lt;&gt;"",Internal!L23,"")</f>
        <v/>
      </c>
      <c r="S25" s="505" t="str">
        <f>IF(Internal!M23&lt;&gt;"",Internal!M23,"")</f>
        <v/>
      </c>
      <c r="T25" s="501" t="str">
        <f>IF(Internal!N23&lt;&gt;"",Internal!N23,"")</f>
        <v/>
      </c>
      <c r="U25" s="507" t="str">
        <f>IF(Internal!O23&lt;&gt;"",Internal!O23,"")</f>
        <v/>
      </c>
      <c r="V25" s="500" t="str">
        <f>IF(Internal!P23&lt;&gt;"",Internal!P23,"")</f>
        <v/>
      </c>
      <c r="W25" s="505" t="str">
        <f>IF(Internal!Q23&lt;&gt;"",Internal!Q23,"")</f>
        <v/>
      </c>
      <c r="X25" s="501" t="str">
        <f>IF(Internal!R23&lt;&gt;"",Internal!R23,"")</f>
        <v/>
      </c>
      <c r="Y25" s="507" t="str">
        <f>IF(Internal!S23&lt;&gt;"",Internal!S23,"")</f>
        <v/>
      </c>
    </row>
    <row r="26" spans="2:25" ht="22.2" customHeight="1" thickTop="1" thickBot="1" x14ac:dyDescent="0.35">
      <c r="B26" s="205"/>
      <c r="C26" s="206"/>
      <c r="D26" s="206"/>
      <c r="E26" s="206"/>
      <c r="F26" s="878" t="s">
        <v>2290</v>
      </c>
      <c r="G26" s="868"/>
      <c r="H26" s="207"/>
      <c r="J26" s="871"/>
      <c r="K26" s="872"/>
      <c r="L26" s="873"/>
      <c r="M26" s="872"/>
      <c r="N26" s="873"/>
      <c r="O26" s="874"/>
      <c r="P26" s="875"/>
      <c r="Q26" s="874"/>
      <c r="R26" s="876"/>
      <c r="S26" s="877"/>
      <c r="T26" s="875"/>
      <c r="U26" s="874"/>
      <c r="V26" s="876"/>
      <c r="W26" s="877"/>
      <c r="X26" s="875"/>
      <c r="Y26" s="874"/>
    </row>
    <row r="27" spans="2:25" ht="15" thickTop="1" x14ac:dyDescent="0.3"/>
  </sheetData>
  <sheetProtection algorithmName="SHA-512" hashValue="Anku7EUGOdbXc+ZkIfTiK9wVWz9dpa0COZNCXPPBFivsAcbu27JDtdC8KNR+NWreLDWhYLR1z0B4acdoFKqp0A==" saltValue="QXOM8t+i4LVTQFOsdszoFQ==" spinCount="100000" sheet="1" selectLockedCells="1"/>
  <mergeCells count="11">
    <mergeCell ref="D12:F12"/>
    <mergeCell ref="D9:F9"/>
    <mergeCell ref="D4:F4"/>
    <mergeCell ref="V3:W3"/>
    <mergeCell ref="X3:Y3"/>
    <mergeCell ref="J3:K3"/>
    <mergeCell ref="L3:M3"/>
    <mergeCell ref="N3:O3"/>
    <mergeCell ref="P3:Q3"/>
    <mergeCell ref="R3:S3"/>
    <mergeCell ref="T3:U3"/>
  </mergeCells>
  <conditionalFormatting sqref="D6:D7">
    <cfRule type="containsBlanks" dxfId="82" priority="1">
      <formula>LEN(TRIM(D6))=0</formula>
    </cfRule>
  </conditionalFormatting>
  <dataValidations count="1">
    <dataValidation type="custom" allowBlank="1" showInputMessage="1" showErrorMessage="1" sqref="Z4" xr:uid="{5A500157-C8F5-4955-B00E-A846F78646E0}">
      <formula1>COUNTIF($B$1:$B$5, B1)&lt;=1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2" r:id="rId4" name="Button 128">
              <controlPr defaultSize="0" print="0" autoFill="0" autoPict="0" macro="[0]!CBt_WriteFiles_Click">
                <anchor moveWithCells="1" sizeWithCells="1">
                  <from>
                    <xdr:col>6</xdr:col>
                    <xdr:colOff>167640</xdr:colOff>
                    <xdr:row>2</xdr:row>
                    <xdr:rowOff>190500</xdr:rowOff>
                  </from>
                  <to>
                    <xdr:col>7</xdr:col>
                    <xdr:colOff>228600</xdr:colOff>
                    <xdr:row>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5" name="Button 129">
              <controlPr defaultSize="0" print="0" autoFill="0" autoPict="0" macro="[0]!CBt_RunModel_Click">
                <anchor moveWithCells="1" sizeWithCells="1">
                  <from>
                    <xdr:col>6</xdr:col>
                    <xdr:colOff>167640</xdr:colOff>
                    <xdr:row>4</xdr:row>
                    <xdr:rowOff>274320</xdr:rowOff>
                  </from>
                  <to>
                    <xdr:col>7</xdr:col>
                    <xdr:colOff>228600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" name="Button 131">
              <controlPr defaultSize="0" print="0" autoFill="0" autoPict="0" macro="[0]!CBt_AddElement_Click">
                <anchor moveWithCells="1" sizeWithCells="1">
                  <from>
                    <xdr:col>1</xdr:col>
                    <xdr:colOff>266700</xdr:colOff>
                    <xdr:row>17</xdr:row>
                    <xdr:rowOff>190500</xdr:rowOff>
                  </from>
                  <to>
                    <xdr:col>2</xdr:col>
                    <xdr:colOff>1219200</xdr:colOff>
                    <xdr:row>19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7" name="Button 132">
              <controlPr defaultSize="0" print="0" autoFill="0" autoPict="0" macro="[0]!CBt_RemoveElement_Click">
                <anchor moveWithCells="1" sizeWithCells="1">
                  <from>
                    <xdr:col>1</xdr:col>
                    <xdr:colOff>266700</xdr:colOff>
                    <xdr:row>19</xdr:row>
                    <xdr:rowOff>190500</xdr:rowOff>
                  </from>
                  <to>
                    <xdr:col>2</xdr:col>
                    <xdr:colOff>1219200</xdr:colOff>
                    <xdr:row>21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8" name="Button 133">
              <controlPr defaultSize="0" print="0" autoFill="0" autoPict="0" macro="[0]!CBt_RenameElement_Click">
                <anchor moveWithCells="1" sizeWithCells="1">
                  <from>
                    <xdr:col>1</xdr:col>
                    <xdr:colOff>266700</xdr:colOff>
                    <xdr:row>21</xdr:row>
                    <xdr:rowOff>182880</xdr:rowOff>
                  </from>
                  <to>
                    <xdr:col>2</xdr:col>
                    <xdr:colOff>1219200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9" name="Button 134">
              <controlPr defaultSize="0" print="0" autoFill="0" autoPict="0" macro="[0]!CBt_MoveElements_Click">
                <anchor moveWithCells="1" sizeWithCells="1">
                  <from>
                    <xdr:col>1</xdr:col>
                    <xdr:colOff>266700</xdr:colOff>
                    <xdr:row>23</xdr:row>
                    <xdr:rowOff>175260</xdr:rowOff>
                  </from>
                  <to>
                    <xdr:col>2</xdr:col>
                    <xdr:colOff>1219200</xdr:colOff>
                    <xdr:row>25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0" name="Drop Down 136">
              <controlPr defaultSize="0" autoLine="0" autoPict="0" macro="[0]!CBox_AddElement_Change">
                <anchor moveWithCells="1">
                  <from>
                    <xdr:col>3</xdr:col>
                    <xdr:colOff>30480</xdr:colOff>
                    <xdr:row>18</xdr:row>
                    <xdr:rowOff>22860</xdr:rowOff>
                  </from>
                  <to>
                    <xdr:col>3</xdr:col>
                    <xdr:colOff>1478280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1" name="Drop Down 137">
              <controlPr defaultSize="0" autoLine="0" autoPict="0" macro="[0]!CBox_RemoveElement_Change">
                <anchor moveWithCells="1">
                  <from>
                    <xdr:col>3</xdr:col>
                    <xdr:colOff>30480</xdr:colOff>
                    <xdr:row>20</xdr:row>
                    <xdr:rowOff>22860</xdr:rowOff>
                  </from>
                  <to>
                    <xdr:col>3</xdr:col>
                    <xdr:colOff>1478280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2" name="Drop Down 138">
              <controlPr defaultSize="0" autoLine="0" autoPict="0" macro="[0]!CBox_RenameElement_Change">
                <anchor moveWithCells="1">
                  <from>
                    <xdr:col>3</xdr:col>
                    <xdr:colOff>30480</xdr:colOff>
                    <xdr:row>22</xdr:row>
                    <xdr:rowOff>22860</xdr:rowOff>
                  </from>
                  <to>
                    <xdr:col>3</xdr:col>
                    <xdr:colOff>1478280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3" name="Drop Down 139">
              <controlPr defaultSize="0" autoLine="0" autoPict="0" macro="[0]!CBox_MoveElements_Change">
                <anchor moveWithCells="1">
                  <from>
                    <xdr:col>3</xdr:col>
                    <xdr:colOff>30480</xdr:colOff>
                    <xdr:row>24</xdr:row>
                    <xdr:rowOff>22860</xdr:rowOff>
                  </from>
                  <to>
                    <xdr:col>3</xdr:col>
                    <xdr:colOff>1478280</xdr:colOff>
                    <xdr:row>24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" name="Check Box 140">
              <controlPr defaultSize="0" autoFill="0" autoLine="0" autoPict="0">
                <anchor moveWithCells="1">
                  <from>
                    <xdr:col>4</xdr:col>
                    <xdr:colOff>167640</xdr:colOff>
                    <xdr:row>5</xdr:row>
                    <xdr:rowOff>15240</xdr:rowOff>
                  </from>
                  <to>
                    <xdr:col>6</xdr:col>
                    <xdr:colOff>60960</xdr:colOff>
                    <xdr:row>5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5" name="Button 142">
              <controlPr defaultSize="0" print="0" autoFill="0" autoPict="0" macro="[0]!CBt_SaveCase_Click">
                <anchor moveWithCells="1" sizeWithCells="1">
                  <from>
                    <xdr:col>6</xdr:col>
                    <xdr:colOff>144780</xdr:colOff>
                    <xdr:row>8</xdr:row>
                    <xdr:rowOff>68580</xdr:rowOff>
                  </from>
                  <to>
                    <xdr:col>7</xdr:col>
                    <xdr:colOff>205740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6" name="Button 146">
              <controlPr defaultSize="0" print="0" autoFill="0" autoPict="0" macro="[0]!CBt_ReadFiles_Click">
                <anchor moveWithCells="1" sizeWithCells="1">
                  <from>
                    <xdr:col>6</xdr:col>
                    <xdr:colOff>144780</xdr:colOff>
                    <xdr:row>11</xdr:row>
                    <xdr:rowOff>68580</xdr:rowOff>
                  </from>
                  <to>
                    <xdr:col>7</xdr:col>
                    <xdr:colOff>205740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7" name="CBt_preprocess">
              <controlPr defaultSize="0" print="0" autoFill="0" autoPict="0" macro="[0]!CBt_UnHide_Preprocess_Click">
                <anchor moveWithCells="1" sizeWithCells="1">
                  <from>
                    <xdr:col>1</xdr:col>
                    <xdr:colOff>266700</xdr:colOff>
                    <xdr:row>14</xdr:row>
                    <xdr:rowOff>190500</xdr:rowOff>
                  </from>
                  <to>
                    <xdr:col>3</xdr:col>
                    <xdr:colOff>114300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8" name="CBt_config">
              <controlPr defaultSize="0" print="0" autoFill="0" autoPict="0" macro="[0]!CBt_UnHide_Configuration_Click">
                <anchor moveWithCells="1" sizeWithCells="1">
                  <from>
                    <xdr:col>3</xdr:col>
                    <xdr:colOff>701040</xdr:colOff>
                    <xdr:row>14</xdr:row>
                    <xdr:rowOff>190500</xdr:rowOff>
                  </from>
                  <to>
                    <xdr:col>5</xdr:col>
                    <xdr:colOff>411480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9" name="CBt_output">
              <controlPr defaultSize="0" print="0" autoFill="0" autoPict="0" macro="[0]!CBt_UnHide_Outputs_Click">
                <anchor moveWithCells="1" sizeWithCells="1">
                  <from>
                    <xdr:col>5</xdr:col>
                    <xdr:colOff>998220</xdr:colOff>
                    <xdr:row>14</xdr:row>
                    <xdr:rowOff>190500</xdr:rowOff>
                  </from>
                  <to>
                    <xdr:col>7</xdr:col>
                    <xdr:colOff>22860</xdr:colOff>
                    <xdr:row>16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FD963AEA-8B8C-41AA-8002-E1D1FA118003}">
          <x14:formula1>
            <xm:f>OFFSET(Internal!$B$1,1+IF(addItem=4,3,0),2*addItem+1,OFFSET(Internal!$B$1,addItem,0)-IF(addItem=4,3,0))</xm:f>
          </x14:formula1>
          <xm:sqref>G19</xm:sqref>
        </x14:dataValidation>
        <x14:dataValidation type="custom" allowBlank="1" showInputMessage="1" showErrorMessage="1" errorTitle="CleanCooking-inputs" error="Identifier number already exist or must be integer." xr:uid="{CC80618F-F55C-43CA-A2B0-B07BF08D8BB1}">
          <x14:formula1>
            <xm:f>AND(COUNTIF(OFFSET(Internal!$C$1,1,MATCH(addItemN,Internal!$D$1:$U$1,0),OFFSET(Internal!$B$1,addItemN,0)),E23)=0,MOD(E23,1)=0)</xm:f>
          </x14:formula1>
          <xm:sqref>E25 E23</xm:sqref>
        </x14:dataValidation>
        <x14:dataValidation type="custom" allowBlank="1" showInputMessage="1" showErrorMessage="1" errorTitle="CleanCooking-inputs" error="Existing label or spaces in text or text length higher than 16 characters." xr:uid="{D9A8EAD0-7ED6-4F78-8AF3-45838DF17FEC}">
          <x14:formula1>
            <xm:f>AND(COUNTIF(OFFSET(Internal!$C$1,1,MATCH(addItemN,Internal!$D$1:$U$1,0)+1,OFFSET(Internal!$B$1,addItemN,0)),$F$19)=0,LEN($F$19)&lt;=16,IF(ISNUMBER(FIND(" ", $F$19)), FALSE, TRUE))</xm:f>
          </x14:formula1>
          <xm:sqref>F19</xm:sqref>
        </x14:dataValidation>
        <x14:dataValidation type="list" allowBlank="1" showInputMessage="1" showErrorMessage="1" xr:uid="{8353B85D-DEA1-4A0B-85C4-E7E621A38DFC}">
          <x14:formula1>
            <xm:f>OFFSET(Internal!$C$1,2+IF(removeItem=4,2,0),2*removeItem,OFFSET(Internal!$B$1,removeItem,0)-1-IF(removeItem=4,2,0))</xm:f>
          </x14:formula1>
          <xm:sqref>F21</xm:sqref>
        </x14:dataValidation>
        <x14:dataValidation type="list" allowBlank="1" showInputMessage="1" showErrorMessage="1" xr:uid="{E4527A0C-7E84-4422-A0EA-7D63D979C435}">
          <x14:formula1>
            <xm:f>OFFSET(Internal!$C$1,1+IF(renameItem=4,3,0),2*renameItem,OFFSET(Internal!$B$1,renameItem,0)-IF(renameItem=4,3,0))</xm:f>
          </x14:formula1>
          <xm:sqref>F23</xm:sqref>
        </x14:dataValidation>
        <x14:dataValidation type="list" allowBlank="1" showInputMessage="1" showErrorMessage="1" xr:uid="{4D28906A-A127-4D29-AAF5-2AA125DC17FD}">
          <x14:formula1>
            <xm:f>OFFSET(Internal!$C$1,1+IF(moveItem=4,3,0),2*moveItem,OFFSET(Internal!$B$1,moveItem,0)-IF(moveItem=4,3,0))</xm:f>
          </x14:formula1>
          <xm:sqref>F25:G25</xm:sqref>
        </x14:dataValidation>
        <x14:dataValidation type="custom" allowBlank="1" showInputMessage="1" showErrorMessage="1" errorTitle="CleanCooking-inputs" error="Existing label or spaces in text or text length higher than 16 characters." xr:uid="{B191A41F-B4CC-4FE2-8FD9-5001BBA08932}">
          <x14:formula1>
            <xm:f>AND(COUNTIF(OFFSET(Internal!$C$1,1,MATCH(renameItemN,Internal!$D$1:$U$1,0)+1,OFFSET(Internal!$B$1,renameItemN,0)),$G$23)=0,LEN($G$23)&lt;=16,IF(ISNUMBER(FIND(" ", $G$23)),FALSE,TRUE))</xm:f>
          </x14:formula1>
          <xm:sqref>G23</xm:sqref>
        </x14:dataValidation>
        <x14:dataValidation type="list" operator="greaterThan" allowBlank="1" showInputMessage="1" showErrorMessage="1" errorTitle="CleanCooking-inputs" error="Value always greater than one (&gt;1)." xr:uid="{7120A686-D308-481C-A3B3-F6102205820F}">
          <x14:formula1>
            <xm:f>OFFSET(Internal!$AD$1,1,0,Internal!$B$16,1)</xm:f>
          </x14:formula1>
          <xm:sqref>D7</xm:sqref>
        </x14:dataValidation>
        <x14:dataValidation type="list" operator="greaterThan" allowBlank="1" showInputMessage="1" showErrorMessage="1" errorTitle="CleanCooking-inputs" error="Value always greater than one (&gt;1)." xr:uid="{1F276C15-8B81-40F7-9926-7F16BD6323C5}">
          <x14:formula1>
            <xm:f>OFFSET(Internal!$AB$1,1,0,Internal!$B$15,1)</xm:f>
          </x14:formula1>
          <xm:sqref>D6</xm:sqref>
        </x14:dataValidation>
        <x14:dataValidation type="custom" allowBlank="1" showInputMessage="1" showErrorMessage="1" errorTitle="CleanCooking-inputs" error="Identifier number already exist or must be integer." xr:uid="{D8497B7D-16EE-43B5-A241-466CE2678131}">
          <x14:formula1>
            <xm:f>AND(COUNTIF(OFFSET(Internal!$C$1,1,2*addItem-1,OFFSET(Internal!$B$1,addItem,0)),E19)=0,MOD(E19,1)=0)</xm:f>
          </x14:formula1>
          <xm:sqref>E19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76D19-F92F-4F5C-B6D8-39F8E3890D9A}">
  <sheetPr codeName="Sheet0"/>
  <dimension ref="A1:AE105"/>
  <sheetViews>
    <sheetView zoomScaleNormal="100" workbookViewId="0">
      <selection activeCell="B10" sqref="B10"/>
    </sheetView>
  </sheetViews>
  <sheetFormatPr defaultColWidth="8.88671875" defaultRowHeight="13.8" x14ac:dyDescent="0.3"/>
  <cols>
    <col min="1" max="1" width="15.6640625" style="1" customWidth="1"/>
    <col min="2" max="3" width="14.77734375" style="1" customWidth="1"/>
    <col min="4" max="4" width="8.77734375" style="1" customWidth="1"/>
    <col min="5" max="5" width="14.6640625" style="1" customWidth="1"/>
    <col min="6" max="6" width="8.77734375" style="1" customWidth="1"/>
    <col min="7" max="7" width="14.6640625" style="1" customWidth="1"/>
    <col min="8" max="8" width="8.77734375" style="1" customWidth="1"/>
    <col min="9" max="9" width="14.6640625" style="1" customWidth="1"/>
    <col min="10" max="10" width="5.6640625" style="1" customWidth="1"/>
    <col min="11" max="11" width="14.6640625" style="1" customWidth="1"/>
    <col min="12" max="12" width="5.6640625" style="1" customWidth="1"/>
    <col min="13" max="13" width="14.6640625" style="1" customWidth="1"/>
    <col min="14" max="14" width="5.6640625" style="1" customWidth="1"/>
    <col min="15" max="15" width="14.6640625" style="1" customWidth="1"/>
    <col min="16" max="16" width="5.6640625" style="1" customWidth="1"/>
    <col min="17" max="17" width="14.6640625" style="1" customWidth="1"/>
    <col min="18" max="18" width="5.6640625" style="1" customWidth="1"/>
    <col min="19" max="19" width="14.6640625" style="1" customWidth="1"/>
    <col min="20" max="20" width="5.6640625" style="1" customWidth="1"/>
    <col min="21" max="21" width="14.6640625" style="1" customWidth="1"/>
    <col min="22" max="24" width="8.88671875" style="1"/>
    <col min="25" max="25" width="12.77734375" style="1" customWidth="1"/>
    <col min="26" max="26" width="8.88671875" style="1"/>
    <col min="27" max="30" width="13.77734375" style="1" customWidth="1"/>
    <col min="31" max="16384" width="8.88671875" style="1"/>
  </cols>
  <sheetData>
    <row r="1" spans="1:31" s="127" customFormat="1" x14ac:dyDescent="0.3">
      <c r="A1" s="128" t="s">
        <v>41</v>
      </c>
      <c r="D1" s="129">
        <v>1</v>
      </c>
      <c r="E1" s="129" t="s">
        <v>0</v>
      </c>
      <c r="F1" s="129">
        <v>2</v>
      </c>
      <c r="G1" s="129" t="s">
        <v>1</v>
      </c>
      <c r="H1" s="129">
        <v>3</v>
      </c>
      <c r="I1" s="129" t="s">
        <v>2</v>
      </c>
      <c r="J1" s="129">
        <v>4</v>
      </c>
      <c r="K1" s="129" t="s">
        <v>3</v>
      </c>
      <c r="L1" s="129">
        <v>5</v>
      </c>
      <c r="M1" s="129" t="s">
        <v>4</v>
      </c>
      <c r="N1" s="129">
        <v>6</v>
      </c>
      <c r="O1" s="129" t="s">
        <v>7</v>
      </c>
      <c r="P1" s="129">
        <v>7</v>
      </c>
      <c r="Q1" s="129" t="s">
        <v>5</v>
      </c>
      <c r="R1" s="129">
        <v>8</v>
      </c>
      <c r="S1" s="129" t="s">
        <v>6</v>
      </c>
      <c r="T1" s="129">
        <v>9</v>
      </c>
      <c r="U1" s="129" t="s">
        <v>168</v>
      </c>
      <c r="V1" s="129" t="s">
        <v>50</v>
      </c>
      <c r="W1" s="129" t="s">
        <v>133</v>
      </c>
      <c r="X1" s="129" t="s">
        <v>42</v>
      </c>
      <c r="Y1" s="129" t="s">
        <v>168</v>
      </c>
      <c r="AA1" s="129" t="s">
        <v>2113</v>
      </c>
      <c r="AB1" s="129" t="s">
        <v>2112</v>
      </c>
      <c r="AC1" s="129" t="s">
        <v>2114</v>
      </c>
      <c r="AD1" s="129" t="s">
        <v>2115</v>
      </c>
      <c r="AE1" s="129" t="s">
        <v>2270</v>
      </c>
    </row>
    <row r="2" spans="1:31" x14ac:dyDescent="0.3">
      <c r="A2" s="108" t="s">
        <v>0</v>
      </c>
      <c r="B2" s="1">
        <v>3</v>
      </c>
      <c r="D2" s="1">
        <v>1</v>
      </c>
      <c r="E2" s="1" t="s">
        <v>8</v>
      </c>
      <c r="F2" s="1">
        <v>1</v>
      </c>
      <c r="G2" s="1" t="s">
        <v>180</v>
      </c>
      <c r="H2" s="1">
        <v>1</v>
      </c>
      <c r="I2" s="1" t="s">
        <v>198</v>
      </c>
      <c r="J2" s="1">
        <v>1</v>
      </c>
      <c r="K2" s="1" t="s">
        <v>282</v>
      </c>
      <c r="L2" s="1">
        <v>1</v>
      </c>
      <c r="M2" s="1" t="s">
        <v>282</v>
      </c>
      <c r="N2" s="1">
        <v>1</v>
      </c>
      <c r="O2" s="1" t="s">
        <v>282</v>
      </c>
      <c r="P2" s="1">
        <v>1</v>
      </c>
      <c r="Q2" s="1" t="s">
        <v>24</v>
      </c>
      <c r="R2" s="1">
        <v>1</v>
      </c>
      <c r="S2" s="1" t="s">
        <v>24</v>
      </c>
      <c r="T2" s="1" cm="1">
        <f t="array" ref="T2:T5">_xlfn._xlws.FILTER($X$2:$X$10,$Z$2:$Z$10)</f>
        <v>2</v>
      </c>
      <c r="U2" s="1" t="s">
        <v>399</v>
      </c>
      <c r="V2" s="1">
        <v>1</v>
      </c>
      <c r="W2" s="1">
        <v>0</v>
      </c>
      <c r="X2" s="1">
        <v>1</v>
      </c>
      <c r="Y2" s="1" t="s">
        <v>2100</v>
      </c>
      <c r="Z2" s="1" t="b">
        <v>0</v>
      </c>
      <c r="AA2" s="1" cm="1">
        <f t="array" ref="AA2:AA3">_xlfn.LET(_xlpm.cnt,Internal!$B$15,_xlpm.startRow,29+Internal!$B$6+2+1+1+Internal!$B$8+1+3+2+2+Internal!$B$6+2+Internal!$B$8+1+4,_xlpm.cols,_xlfn.SEQUENCE(1,_xlpm.cnt,3,2),_xlpm.src,INDEX(Pl!$1:$1048576,_xlpm.startRow,_xlpm.cols),_xlpm.idx,_xlfn.SEQUENCE(_xlpm.cnt,1,1,1),INDEX(_xlpm.src,_xlpm.idx))</f>
        <v>1</v>
      </c>
      <c r="AB2" s="1" t="str" cm="1">
        <f t="array" ref="AB2:AB3">_xlfn.LET(_xlpm.cnt,Internal!$B$15,_xlpm.startRow,29+Internal!$B$6+2+1+1+Internal!$B$8+1+3+2+2+Internal!$B$6+2+Internal!$B$8+1+4+1,_xlpm.cols,_xlfn.SEQUENCE(1,_xlpm.cnt,3,2),_xlpm.src,INDEX(Pl!$1:$1048576,_xlpm.startRow,_xlpm.cols),_xlpm.idx,_xlfn.SEQUENCE(_xlpm.cnt,1,1,1),INDEX(_xlpm.src,_xlpm.idx))</f>
        <v>High</v>
      </c>
      <c r="AC2" s="1" t="str" cm="1">
        <f t="array" ref="AC2:AC3">_xlfn.LET(_xlpm.cnt,Internal!$B$16,_xlpm.startRow,16,_xlpm.cols,_xlfn.SEQUENCE(1,_xlpm.cnt,3,3),_xlpm.src,INDEX('De5'!$1:$1048576,_xlpm.startRow,_xlpm.cols),_xlpm.idx,_xlfn.SEQUENCE(_xlpm.cnt,1,1,1),INDEX(_xlpm.src,_xlpm.idx))</f>
        <v>1</v>
      </c>
      <c r="AD2" s="1" t="str" cm="1">
        <f t="array" ref="AD2:AD3">_xlfn.LET(_xlpm.cnt,Internal!$B$16,_xlpm.startRow,17,_xlpm.cols,_xlfn.SEQUENCE(1,_xlpm.cnt,3,3),_xlpm.src,INDEX('De5'!$1:$1048576,_xlpm.startRow,_xlpm.cols),_xlpm.idx,_xlfn.SEQUENCE(_xlpm.cnt,1,1,1),INDEX(_xlpm.src,_xlpm.idx))</f>
        <v>General</v>
      </c>
      <c r="AE2" s="1" t="s">
        <v>114</v>
      </c>
    </row>
    <row r="3" spans="1:31" x14ac:dyDescent="0.3">
      <c r="A3" s="108" t="s">
        <v>1</v>
      </c>
      <c r="B3" s="1">
        <v>20</v>
      </c>
      <c r="D3" s="1">
        <v>2</v>
      </c>
      <c r="E3" s="1" t="s">
        <v>9</v>
      </c>
      <c r="F3" s="1">
        <v>2</v>
      </c>
      <c r="G3" s="1" t="s">
        <v>181</v>
      </c>
      <c r="H3" s="1">
        <v>2</v>
      </c>
      <c r="I3" s="1" t="s">
        <v>199</v>
      </c>
      <c r="J3" s="1">
        <v>2</v>
      </c>
      <c r="K3" s="1" t="s">
        <v>11</v>
      </c>
      <c r="L3" s="1">
        <v>2</v>
      </c>
      <c r="M3" s="1" t="s">
        <v>11</v>
      </c>
      <c r="N3" s="1">
        <v>2</v>
      </c>
      <c r="O3" s="1" t="s">
        <v>11</v>
      </c>
      <c r="P3" s="1">
        <v>2</v>
      </c>
      <c r="Q3" s="1" t="s">
        <v>25</v>
      </c>
      <c r="R3" s="1">
        <v>2</v>
      </c>
      <c r="S3" s="1" t="s">
        <v>25</v>
      </c>
      <c r="T3" s="1">
        <v>5</v>
      </c>
      <c r="U3" s="1" t="s">
        <v>398</v>
      </c>
      <c r="V3" s="1">
        <v>2</v>
      </c>
      <c r="W3" s="1">
        <v>1</v>
      </c>
      <c r="X3" s="1">
        <v>2</v>
      </c>
      <c r="Y3" s="1" t="s">
        <v>2101</v>
      </c>
      <c r="Z3" s="1" t="b">
        <v>1</v>
      </c>
      <c r="AA3" s="1">
        <v>2</v>
      </c>
      <c r="AB3" s="1" t="str">
        <v>Low</v>
      </c>
      <c r="AC3" s="1" t="str">
        <v>2</v>
      </c>
      <c r="AD3" s="1" t="str">
        <v>Special</v>
      </c>
      <c r="AE3" s="1" t="s">
        <v>326</v>
      </c>
    </row>
    <row r="4" spans="1:31" x14ac:dyDescent="0.3">
      <c r="A4" s="108" t="s">
        <v>2</v>
      </c>
      <c r="B4" s="1">
        <v>10</v>
      </c>
      <c r="D4" s="1">
        <v>3</v>
      </c>
      <c r="E4" s="1" t="s">
        <v>178</v>
      </c>
      <c r="F4" s="1">
        <v>3</v>
      </c>
      <c r="G4" s="1" t="s">
        <v>182</v>
      </c>
      <c r="H4" s="1">
        <v>3</v>
      </c>
      <c r="I4" s="1" t="s">
        <v>200</v>
      </c>
      <c r="J4" s="1">
        <v>3</v>
      </c>
      <c r="K4" s="1" t="s">
        <v>10</v>
      </c>
      <c r="L4" s="1">
        <v>3</v>
      </c>
      <c r="M4" s="1" t="s">
        <v>14</v>
      </c>
      <c r="N4" s="1">
        <v>3</v>
      </c>
      <c r="O4" s="1" t="s">
        <v>23</v>
      </c>
      <c r="P4" s="1">
        <v>3</v>
      </c>
      <c r="Q4" s="1" t="s">
        <v>26</v>
      </c>
      <c r="R4" s="1">
        <v>3</v>
      </c>
      <c r="S4" s="1" t="s">
        <v>26</v>
      </c>
      <c r="T4" s="1">
        <v>7</v>
      </c>
      <c r="U4" s="1" t="s">
        <v>397</v>
      </c>
      <c r="V4" s="1">
        <v>3</v>
      </c>
      <c r="X4" s="1">
        <v>4</v>
      </c>
      <c r="Y4" s="1" t="s">
        <v>2102</v>
      </c>
      <c r="Z4" s="1" t="b">
        <v>0</v>
      </c>
    </row>
    <row r="5" spans="1:31" x14ac:dyDescent="0.3">
      <c r="A5" s="108" t="s">
        <v>3</v>
      </c>
      <c r="B5" s="1">
        <v>6</v>
      </c>
      <c r="F5" s="1">
        <v>4</v>
      </c>
      <c r="G5" s="1" t="s">
        <v>183</v>
      </c>
      <c r="H5" s="1">
        <v>4</v>
      </c>
      <c r="I5" s="1" t="s">
        <v>201</v>
      </c>
      <c r="J5" s="1">
        <v>4</v>
      </c>
      <c r="K5" s="1" t="s">
        <v>197</v>
      </c>
      <c r="L5" s="1">
        <v>4</v>
      </c>
      <c r="M5" s="1" t="s">
        <v>12</v>
      </c>
      <c r="N5" s="1">
        <v>4</v>
      </c>
      <c r="O5" s="1" t="s">
        <v>145</v>
      </c>
      <c r="P5" s="1">
        <v>4</v>
      </c>
      <c r="Q5" s="1" t="s">
        <v>11</v>
      </c>
      <c r="R5" s="1">
        <v>4</v>
      </c>
      <c r="S5" s="1" t="s">
        <v>11</v>
      </c>
      <c r="T5" s="1">
        <v>11</v>
      </c>
      <c r="U5" s="1" t="s">
        <v>445</v>
      </c>
      <c r="V5" s="1">
        <v>4</v>
      </c>
      <c r="X5" s="1">
        <v>5</v>
      </c>
      <c r="Y5" s="1" t="s">
        <v>2103</v>
      </c>
      <c r="Z5" s="1" t="b">
        <v>1</v>
      </c>
    </row>
    <row r="6" spans="1:31" x14ac:dyDescent="0.3">
      <c r="A6" s="108" t="s">
        <v>4</v>
      </c>
      <c r="B6" s="1">
        <v>9</v>
      </c>
      <c r="F6" s="1">
        <v>5</v>
      </c>
      <c r="G6" s="1" t="s">
        <v>185</v>
      </c>
      <c r="H6" s="1">
        <v>5</v>
      </c>
      <c r="I6" s="1" t="s">
        <v>202</v>
      </c>
      <c r="J6" s="1">
        <v>5</v>
      </c>
      <c r="K6" s="1" t="s">
        <v>19</v>
      </c>
      <c r="L6" s="1">
        <v>5</v>
      </c>
      <c r="M6" s="1" t="s">
        <v>15</v>
      </c>
      <c r="N6" s="1">
        <v>5</v>
      </c>
      <c r="O6" s="1" t="s">
        <v>20</v>
      </c>
      <c r="P6" s="1">
        <v>5</v>
      </c>
      <c r="Q6" s="1" t="s">
        <v>14</v>
      </c>
      <c r="R6" s="1">
        <v>5</v>
      </c>
      <c r="S6" s="1" t="s">
        <v>14</v>
      </c>
      <c r="X6" s="1">
        <v>7</v>
      </c>
      <c r="Y6" s="1" t="s">
        <v>2104</v>
      </c>
      <c r="Z6" s="1" t="b">
        <v>1</v>
      </c>
    </row>
    <row r="7" spans="1:31" x14ac:dyDescent="0.3">
      <c r="A7" s="108" t="s">
        <v>7</v>
      </c>
      <c r="B7" s="1">
        <v>11</v>
      </c>
      <c r="F7" s="1">
        <v>6</v>
      </c>
      <c r="G7" s="1" t="s">
        <v>184</v>
      </c>
      <c r="H7" s="1">
        <v>6</v>
      </c>
      <c r="I7" s="1" t="s">
        <v>203</v>
      </c>
      <c r="J7" s="1">
        <v>6</v>
      </c>
      <c r="K7" s="1" t="s">
        <v>18</v>
      </c>
      <c r="L7" s="1">
        <v>6</v>
      </c>
      <c r="M7" s="1" t="s">
        <v>17</v>
      </c>
      <c r="N7" s="1">
        <v>6</v>
      </c>
      <c r="O7" s="1" t="s">
        <v>146</v>
      </c>
      <c r="P7" s="1">
        <v>6</v>
      </c>
      <c r="Q7" s="1" t="s">
        <v>27</v>
      </c>
      <c r="R7" s="1">
        <v>6</v>
      </c>
      <c r="S7" s="1" t="s">
        <v>27</v>
      </c>
      <c r="X7" s="1">
        <v>8</v>
      </c>
      <c r="Y7" s="1" t="s">
        <v>2105</v>
      </c>
      <c r="Z7" s="1" t="b">
        <v>0</v>
      </c>
    </row>
    <row r="8" spans="1:31" x14ac:dyDescent="0.3">
      <c r="A8" s="108" t="s">
        <v>5</v>
      </c>
      <c r="B8" s="1">
        <v>13</v>
      </c>
      <c r="F8" s="1">
        <v>7</v>
      </c>
      <c r="G8" s="1" t="s">
        <v>393</v>
      </c>
      <c r="H8" s="1">
        <v>7</v>
      </c>
      <c r="I8" s="1" t="s">
        <v>204</v>
      </c>
      <c r="L8" s="1">
        <v>7</v>
      </c>
      <c r="M8" s="1" t="s">
        <v>13</v>
      </c>
      <c r="N8" s="1">
        <v>7</v>
      </c>
      <c r="O8" s="1" t="s">
        <v>21</v>
      </c>
      <c r="P8" s="1">
        <v>7</v>
      </c>
      <c r="Q8" s="1" t="s">
        <v>28</v>
      </c>
      <c r="R8" s="1">
        <v>7</v>
      </c>
      <c r="S8" s="1" t="s">
        <v>28</v>
      </c>
      <c r="X8" s="1">
        <v>9</v>
      </c>
      <c r="Y8" s="1" t="s">
        <v>2106</v>
      </c>
      <c r="Z8" s="1" t="b">
        <v>0</v>
      </c>
    </row>
    <row r="9" spans="1:31" x14ac:dyDescent="0.3">
      <c r="A9" s="108" t="s">
        <v>6</v>
      </c>
      <c r="B9" s="1">
        <v>19</v>
      </c>
      <c r="F9" s="1">
        <v>8</v>
      </c>
      <c r="G9" s="1" t="s">
        <v>394</v>
      </c>
      <c r="H9" s="1">
        <v>8</v>
      </c>
      <c r="I9" s="1" t="s">
        <v>205</v>
      </c>
      <c r="L9" s="1">
        <v>8</v>
      </c>
      <c r="M9" s="1" t="s">
        <v>16</v>
      </c>
      <c r="N9" s="1">
        <v>8</v>
      </c>
      <c r="O9" s="1" t="s">
        <v>147</v>
      </c>
      <c r="P9" s="1">
        <v>8</v>
      </c>
      <c r="Q9" s="1" t="s">
        <v>29</v>
      </c>
      <c r="R9" s="1">
        <v>8</v>
      </c>
      <c r="S9" s="1" t="s">
        <v>29</v>
      </c>
      <c r="X9" s="1">
        <v>10</v>
      </c>
      <c r="Y9" s="1" t="s">
        <v>2107</v>
      </c>
      <c r="Z9" s="1" t="b">
        <v>0</v>
      </c>
    </row>
    <row r="10" spans="1:31" x14ac:dyDescent="0.3">
      <c r="A10" s="108" t="s">
        <v>168</v>
      </c>
      <c r="B10" s="1">
        <v>4</v>
      </c>
      <c r="F10" s="1">
        <v>9</v>
      </c>
      <c r="G10" s="1" t="s">
        <v>186</v>
      </c>
      <c r="H10" s="1">
        <v>9</v>
      </c>
      <c r="I10" s="1" t="s">
        <v>206</v>
      </c>
      <c r="L10" s="1">
        <v>9</v>
      </c>
      <c r="M10" s="1" t="s">
        <v>197</v>
      </c>
      <c r="N10" s="1">
        <v>9</v>
      </c>
      <c r="O10" s="1" t="s">
        <v>22</v>
      </c>
      <c r="P10" s="1">
        <v>9</v>
      </c>
      <c r="Q10" s="1" t="s">
        <v>30</v>
      </c>
      <c r="R10" s="1">
        <v>9</v>
      </c>
      <c r="S10" s="1" t="s">
        <v>33</v>
      </c>
      <c r="X10" s="1">
        <v>11</v>
      </c>
      <c r="Y10" s="1" t="s">
        <v>2108</v>
      </c>
      <c r="Z10" s="1" t="b">
        <v>1</v>
      </c>
    </row>
    <row r="11" spans="1:31" x14ac:dyDescent="0.3">
      <c r="A11" s="108" t="s">
        <v>2153</v>
      </c>
      <c r="B11" s="1">
        <v>9</v>
      </c>
      <c r="F11" s="1">
        <v>10</v>
      </c>
      <c r="G11" s="1" t="s">
        <v>187</v>
      </c>
      <c r="H11" s="1">
        <v>10</v>
      </c>
      <c r="I11" s="1" t="s">
        <v>207</v>
      </c>
      <c r="N11" s="1">
        <v>10</v>
      </c>
      <c r="O11" s="1" t="s">
        <v>16</v>
      </c>
      <c r="P11" s="1">
        <v>10</v>
      </c>
      <c r="Q11" s="1" t="s">
        <v>31</v>
      </c>
      <c r="R11" s="1">
        <v>10</v>
      </c>
      <c r="S11" s="1" t="s">
        <v>34</v>
      </c>
    </row>
    <row r="12" spans="1:31" x14ac:dyDescent="0.3">
      <c r="A12" s="108" t="s">
        <v>339</v>
      </c>
      <c r="B12" s="1">
        <v>3</v>
      </c>
      <c r="F12" s="1">
        <v>11</v>
      </c>
      <c r="G12" s="1" t="s">
        <v>395</v>
      </c>
      <c r="N12" s="1">
        <v>11</v>
      </c>
      <c r="O12" s="1" t="s">
        <v>197</v>
      </c>
      <c r="P12" s="1">
        <v>11</v>
      </c>
      <c r="Q12" s="1" t="s">
        <v>32</v>
      </c>
      <c r="R12" s="1">
        <v>11</v>
      </c>
      <c r="S12" s="1" t="s">
        <v>35</v>
      </c>
    </row>
    <row r="13" spans="1:31" x14ac:dyDescent="0.3">
      <c r="A13" s="108" t="s">
        <v>342</v>
      </c>
      <c r="B13" s="1">
        <v>3</v>
      </c>
      <c r="F13" s="1">
        <v>12</v>
      </c>
      <c r="G13" s="1" t="s">
        <v>188</v>
      </c>
      <c r="P13" s="1">
        <v>12</v>
      </c>
      <c r="Q13" s="1" t="s">
        <v>13</v>
      </c>
      <c r="R13" s="1">
        <v>12</v>
      </c>
      <c r="S13" s="1" t="s">
        <v>36</v>
      </c>
    </row>
    <row r="14" spans="1:31" x14ac:dyDescent="0.3">
      <c r="A14" s="108" t="s">
        <v>340</v>
      </c>
      <c r="B14" s="1">
        <v>2</v>
      </c>
      <c r="F14" s="1">
        <v>13</v>
      </c>
      <c r="G14" s="1" t="s">
        <v>189</v>
      </c>
      <c r="P14" s="1">
        <v>13</v>
      </c>
      <c r="Q14" s="1" t="s">
        <v>197</v>
      </c>
      <c r="R14" s="1">
        <v>13</v>
      </c>
      <c r="S14" s="1" t="s">
        <v>37</v>
      </c>
    </row>
    <row r="15" spans="1:31" x14ac:dyDescent="0.3">
      <c r="A15" s="108" t="s">
        <v>341</v>
      </c>
      <c r="B15" s="1">
        <v>2</v>
      </c>
      <c r="F15" s="1">
        <v>14</v>
      </c>
      <c r="G15" s="1" t="s">
        <v>190</v>
      </c>
      <c r="R15" s="1">
        <v>14</v>
      </c>
      <c r="S15" s="1" t="s">
        <v>38</v>
      </c>
    </row>
    <row r="16" spans="1:31" x14ac:dyDescent="0.3">
      <c r="A16" s="108" t="s">
        <v>358</v>
      </c>
      <c r="B16" s="1">
        <v>2</v>
      </c>
      <c r="F16" s="1">
        <v>15</v>
      </c>
      <c r="G16" s="1" t="s">
        <v>191</v>
      </c>
      <c r="R16" s="1">
        <v>15</v>
      </c>
      <c r="S16" s="1" t="s">
        <v>13</v>
      </c>
    </row>
    <row r="17" spans="1:19" x14ac:dyDescent="0.3">
      <c r="F17" s="1">
        <v>16</v>
      </c>
      <c r="G17" s="1" t="s">
        <v>192</v>
      </c>
      <c r="R17" s="1">
        <v>16</v>
      </c>
      <c r="S17" s="1" t="s">
        <v>39</v>
      </c>
    </row>
    <row r="18" spans="1:19" x14ac:dyDescent="0.3">
      <c r="A18" s="108"/>
      <c r="B18" s="108"/>
      <c r="F18" s="1">
        <v>17</v>
      </c>
      <c r="G18" s="1" t="s">
        <v>193</v>
      </c>
      <c r="R18" s="1">
        <v>17</v>
      </c>
      <c r="S18" s="1" t="s">
        <v>84</v>
      </c>
    </row>
    <row r="19" spans="1:19" x14ac:dyDescent="0.3">
      <c r="A19" s="108"/>
      <c r="B19" s="108"/>
      <c r="F19" s="1">
        <v>18</v>
      </c>
      <c r="G19" s="1" t="s">
        <v>194</v>
      </c>
      <c r="R19" s="1">
        <v>18</v>
      </c>
      <c r="S19" s="1" t="s">
        <v>40</v>
      </c>
    </row>
    <row r="20" spans="1:19" x14ac:dyDescent="0.3">
      <c r="A20" s="108"/>
      <c r="B20" s="108"/>
      <c r="F20" s="1">
        <v>19</v>
      </c>
      <c r="G20" s="1" t="s">
        <v>195</v>
      </c>
      <c r="H20" s="1" t="str">
        <f t="shared" ref="H20:P20" si="0">IF(I20&lt;&gt;"",H19+1,"")</f>
        <v/>
      </c>
      <c r="J20" s="1" t="str">
        <f t="shared" si="0"/>
        <v/>
      </c>
      <c r="L20" s="1" t="str">
        <f t="shared" si="0"/>
        <v/>
      </c>
      <c r="N20" s="1" t="str">
        <f t="shared" si="0"/>
        <v/>
      </c>
      <c r="P20" s="1" t="str">
        <f t="shared" si="0"/>
        <v/>
      </c>
      <c r="R20" s="1">
        <v>19</v>
      </c>
      <c r="S20" s="1" t="s">
        <v>197</v>
      </c>
    </row>
    <row r="21" spans="1:19" x14ac:dyDescent="0.3">
      <c r="F21" s="1">
        <v>20</v>
      </c>
      <c r="G21" s="1" t="s">
        <v>196</v>
      </c>
    </row>
    <row r="22" spans="1:19" x14ac:dyDescent="0.3">
      <c r="A22" s="108" t="s">
        <v>2118</v>
      </c>
      <c r="B22" s="1" t="b">
        <v>1</v>
      </c>
    </row>
    <row r="23" spans="1:19" ht="14.4" thickBot="1" x14ac:dyDescent="0.35"/>
    <row r="24" spans="1:19" x14ac:dyDescent="0.3">
      <c r="A24" s="108" t="s">
        <v>157</v>
      </c>
      <c r="B24" s="1">
        <v>1</v>
      </c>
      <c r="E24" s="108" t="s">
        <v>156</v>
      </c>
      <c r="F24" s="130" t="s">
        <v>166</v>
      </c>
      <c r="G24" s="131"/>
      <c r="H24" s="132"/>
      <c r="K24" s="652" t="s">
        <v>2109</v>
      </c>
      <c r="L24" s="108"/>
      <c r="S24" s="108"/>
    </row>
    <row r="25" spans="1:19" ht="14.4" thickBot="1" x14ac:dyDescent="0.35">
      <c r="A25" s="149" t="b">
        <f ca="1">ISNUMBER(addInList)</f>
        <v>0</v>
      </c>
      <c r="B25" s="1">
        <f>Console!$E$19</f>
        <v>0</v>
      </c>
      <c r="C25" s="1">
        <f>Console!$F$19</f>
        <v>0</v>
      </c>
      <c r="D25" s="1" t="e">
        <f ca="1">MATCH($E$25,OFFSET($C$1,1,2*addItem,OFFSET($B$1,addItem,0)),0)</f>
        <v>#N/A</v>
      </c>
      <c r="E25" s="108">
        <f>Console!$G$19</f>
        <v>0</v>
      </c>
      <c r="F25" s="133" t="s">
        <v>167</v>
      </c>
      <c r="G25" s="134"/>
      <c r="H25" s="135"/>
      <c r="K25" s="651" t="str">
        <f>pathProject</f>
        <v>C:/projectTesting/rwanda</v>
      </c>
      <c r="L25" s="108"/>
      <c r="S25" s="194"/>
    </row>
    <row r="26" spans="1:19" x14ac:dyDescent="0.3">
      <c r="A26" s="108" t="s">
        <v>158</v>
      </c>
      <c r="B26" s="1">
        <v>1</v>
      </c>
      <c r="K26" s="651" t="str">
        <f>_xlfn.CONCAT($K$25,"/CleanCooking_os/data")</f>
        <v>C:/projectTesting/rwanda/CleanCooking_os/data</v>
      </c>
      <c r="L26" s="108"/>
      <c r="S26" s="194"/>
    </row>
    <row r="27" spans="1:19" x14ac:dyDescent="0.3">
      <c r="A27" s="149" t="b">
        <f ca="1">ISNUMBER(removeInList)</f>
        <v>0</v>
      </c>
      <c r="C27" s="1">
        <f>Console!$F$21</f>
        <v>0</v>
      </c>
      <c r="D27" s="1" t="e">
        <f ca="1">MATCH($C$27,OFFSET($C$1,1,2*removeItem,OFFSET($B$1,removeItem,0)),0)</f>
        <v>#N/A</v>
      </c>
      <c r="K27" s="651" t="str">
        <f>_xlfn.CONCAT($K$25,"/CleanCooking_os/data/inputs")</f>
        <v>C:/projectTesting/rwanda/CleanCooking_os/data/inputs</v>
      </c>
    </row>
    <row r="28" spans="1:19" x14ac:dyDescent="0.3">
      <c r="A28" s="108" t="s">
        <v>172</v>
      </c>
      <c r="B28" s="1">
        <v>1</v>
      </c>
      <c r="K28" s="651" t="str">
        <f>_xlfn.CONCAT(pathProject,"/CleanCooking_os/data/inputs/Catalogs")</f>
        <v>C:/projectTesting/rwanda/CleanCooking_os/data/inputs/Catalogs</v>
      </c>
    </row>
    <row r="29" spans="1:19" x14ac:dyDescent="0.3">
      <c r="A29" s="149" t="b">
        <f ca="1">AND(ISNUMBER(renameInList),ISNA($E$29))</f>
        <v>0</v>
      </c>
      <c r="B29" s="1">
        <f>Console!F23</f>
        <v>0</v>
      </c>
      <c r="C29" s="1">
        <f>Console!G23</f>
        <v>0</v>
      </c>
      <c r="D29" s="1" t="e">
        <f ca="1">MATCH($B$29,OFFSET($C$1,1,2*renameItem,OFFSET($B$1,renameItem,0)),0)</f>
        <v>#N/A</v>
      </c>
      <c r="E29" s="1" t="e">
        <f ca="1">MATCH($C$29,OFFSET($C$1,1,2*renameItem,OFFSET($B$1,renameItem,0)),0)</f>
        <v>#N/A</v>
      </c>
      <c r="K29" s="651" t="str">
        <f>_xlfn.CONCAT(pathProject,"/CleanCooking_os/data/inputs/Country")</f>
        <v>C:/projectTesting/rwanda/CleanCooking_os/data/inputs/Country</v>
      </c>
    </row>
    <row r="30" spans="1:19" x14ac:dyDescent="0.3">
      <c r="A30" s="108" t="s">
        <v>173</v>
      </c>
      <c r="B30" s="1">
        <v>1</v>
      </c>
      <c r="K30" s="651" t="str">
        <f>_xlfn.CONCAT(pathProject,"/CleanCooking_os/data/inputs/Plan")</f>
        <v>C:/projectTesting/rwanda/CleanCooking_os/data/inputs/Plan</v>
      </c>
    </row>
    <row r="31" spans="1:19" x14ac:dyDescent="0.3">
      <c r="A31" s="149" t="e">
        <f ca="1">AND(ISNUMBER(moveInList1),ISNUMBER(moveInList2),moveInList1&lt;&gt;moveInList2)</f>
        <v>#N/A</v>
      </c>
      <c r="B31" s="1">
        <f>Console!F25</f>
        <v>0</v>
      </c>
      <c r="C31" s="1">
        <f>Console!G25</f>
        <v>0</v>
      </c>
      <c r="D31" s="1" t="e">
        <f ca="1">MATCH($B$31,OFFSET($C$1,1,2*moveItem,OFFSET($B$1,moveItem,0)),0)</f>
        <v>#N/A</v>
      </c>
      <c r="E31" s="1" t="e">
        <f ca="1">MATCH($C$31,OFFSET($C$1,1,2*moveItem,OFFSET($B$1,moveItem,0)),0)</f>
        <v>#N/A</v>
      </c>
      <c r="K31" s="651" t="str">
        <f>_xlfn.CONCAT($K$25,"/CleanCooking_os/data/outputs")</f>
        <v>C:/projectTesting/rwanda/CleanCooking_os/data/outputs</v>
      </c>
    </row>
    <row r="32" spans="1:19" x14ac:dyDescent="0.3">
      <c r="K32" s="651" t="str">
        <f>_xlfn.CONCAT($K$25,"/CleanCooking_os/data/offline_data_files")</f>
        <v>C:/projectTesting/rwanda/CleanCooking_os/data/offline_data_files</v>
      </c>
    </row>
    <row r="33" spans="1:11" x14ac:dyDescent="0.3">
      <c r="A33" s="1" t="s">
        <v>169</v>
      </c>
      <c r="B33" s="1" t="s">
        <v>163</v>
      </c>
      <c r="C33" s="1" t="s">
        <v>159</v>
      </c>
      <c r="D33" s="1" t="s">
        <v>160</v>
      </c>
      <c r="E33" s="1" t="s">
        <v>161</v>
      </c>
      <c r="F33" s="1" t="s">
        <v>162</v>
      </c>
      <c r="G33" s="1" t="s">
        <v>164</v>
      </c>
      <c r="H33" s="1" t="s">
        <v>165</v>
      </c>
      <c r="I33" s="1" t="s">
        <v>179</v>
      </c>
      <c r="K33" s="651" t="str">
        <f>_xlfn.CONCAT($K$25,"/CleanCooking_os/data/summary_results")</f>
        <v>C:/projectTesting/rwanda/CleanCooking_os/data/summary_results</v>
      </c>
    </row>
    <row r="34" spans="1:11" x14ac:dyDescent="0.3">
      <c r="A34" s="150">
        <v>1</v>
      </c>
      <c r="B34" s="150" t="s">
        <v>148</v>
      </c>
      <c r="C34" s="150" t="e">
        <f ca="1">IF($A34=addItem,9+addInList+1,FALSE)</f>
        <v>#N/A</v>
      </c>
      <c r="D34" s="150"/>
      <c r="E34" s="150" t="e">
        <f ca="1">IF($A34=removeItem,9+removeInList)</f>
        <v>#N/A</v>
      </c>
      <c r="F34" s="150"/>
      <c r="G34" s="150"/>
      <c r="H34" s="150"/>
      <c r="I34" s="150">
        <v>28</v>
      </c>
      <c r="K34" s="651" t="str">
        <f>_xlfn.CONCAT($K$25,"/CleanCooking_os/data/tmp")</f>
        <v>C:/projectTesting/rwanda/CleanCooking_os/data/tmp</v>
      </c>
    </row>
    <row r="35" spans="1:11" x14ac:dyDescent="0.3">
      <c r="A35" s="150">
        <v>1</v>
      </c>
      <c r="B35" s="150" t="s">
        <v>149</v>
      </c>
      <c r="C35" s="150" t="e">
        <f ca="1">IF($A35=addItem,9+addInList+1,FALSE)</f>
        <v>#N/A</v>
      </c>
      <c r="D35" s="150"/>
      <c r="E35" s="150" t="e">
        <f ca="1">IF($A35=removeItem,9+removeInList)</f>
        <v>#N/A</v>
      </c>
      <c r="F35" s="150"/>
      <c r="G35" s="150"/>
      <c r="H35" s="150"/>
      <c r="I35" s="150">
        <v>28</v>
      </c>
      <c r="K35" s="651" t="str">
        <f>_xlfn.CONCAT($K$25,"/CleanCooking_os/logs")</f>
        <v>C:/projectTesting/rwanda/CleanCooking_os/logs</v>
      </c>
    </row>
    <row r="36" spans="1:11" x14ac:dyDescent="0.3">
      <c r="A36" s="150">
        <v>1</v>
      </c>
      <c r="B36" s="150" t="s">
        <v>150</v>
      </c>
      <c r="C36" s="150" t="e">
        <f ca="1">IF($A36=addItem,9+addInList+1,FALSE)</f>
        <v>#N/A</v>
      </c>
      <c r="D36" s="150"/>
      <c r="E36" s="150" t="e">
        <f ca="1">IF($A36=removeItem,9+removeInList)</f>
        <v>#N/A</v>
      </c>
      <c r="F36" s="150"/>
      <c r="G36" s="150"/>
      <c r="H36" s="150"/>
      <c r="I36" s="150">
        <v>28</v>
      </c>
      <c r="K36" s="651" t="str">
        <f>_xlfn.CONCAT($K$25,"/CleanCooking_os/reports")</f>
        <v>C:/projectTesting/rwanda/CleanCooking_os/reports</v>
      </c>
    </row>
    <row r="37" spans="1:11" x14ac:dyDescent="0.3">
      <c r="A37" s="150">
        <v>1</v>
      </c>
      <c r="B37" s="150" t="s">
        <v>48</v>
      </c>
      <c r="C37" s="150"/>
      <c r="D37" s="150" t="e">
        <f ca="1">IF($A37=addItem,2+2+addInList+1)</f>
        <v>#N/A</v>
      </c>
      <c r="E37" s="150"/>
      <c r="F37" s="150" t="e">
        <f ca="1">IF($A37=removeItem,2+2+removeInList)</f>
        <v>#N/A</v>
      </c>
      <c r="G37" s="150">
        <v>13</v>
      </c>
      <c r="H37" s="150">
        <f>13+$B$3+1+1</f>
        <v>35</v>
      </c>
      <c r="I37" s="150"/>
      <c r="K37" s="651"/>
    </row>
    <row r="38" spans="1:11" x14ac:dyDescent="0.3">
      <c r="A38" s="150">
        <v>1</v>
      </c>
      <c r="B38" s="150" t="s">
        <v>48</v>
      </c>
      <c r="C38" s="150"/>
      <c r="D38" s="150" t="e">
        <f ca="1">IF($A38=addItem,2+2+$B$2+1+1+addInList+1)</f>
        <v>#N/A</v>
      </c>
      <c r="E38" s="150"/>
      <c r="F38" s="150" t="e">
        <f ca="1">IF($A38=removeItem,2+2+$B$2-1+1+removeInList)</f>
        <v>#N/A</v>
      </c>
      <c r="G38" s="150">
        <v>13</v>
      </c>
      <c r="H38" s="150">
        <f>13+$B$3+1+1</f>
        <v>35</v>
      </c>
      <c r="I38" s="150"/>
      <c r="K38" s="651"/>
    </row>
    <row r="39" spans="1:11" x14ac:dyDescent="0.3">
      <c r="A39" s="150">
        <v>1</v>
      </c>
      <c r="B39" s="150" t="s">
        <v>48</v>
      </c>
      <c r="C39" s="150"/>
      <c r="D39" s="150" t="e">
        <f ca="1">IF($A39=addItem,2+2+$B$2+1+1+$B$2+1+1+addInList+1)</f>
        <v>#N/A</v>
      </c>
      <c r="E39" s="150"/>
      <c r="F39" s="150" t="e">
        <f ca="1">IF($A39=removeItem,2+2+$B$2-1+1+$B$2-1+1+removeInList)</f>
        <v>#N/A</v>
      </c>
      <c r="G39" s="150">
        <v>13</v>
      </c>
      <c r="H39" s="150">
        <f>13+$B$3+1+1</f>
        <v>35</v>
      </c>
      <c r="I39" s="150"/>
    </row>
    <row r="40" spans="1:11" x14ac:dyDescent="0.3">
      <c r="A40" s="150">
        <v>2</v>
      </c>
      <c r="B40" s="150" t="s">
        <v>48</v>
      </c>
      <c r="C40" s="150" t="b">
        <f>IF($A40=addItem,13+addInList+1,FALSE)</f>
        <v>0</v>
      </c>
      <c r="D40" s="150"/>
      <c r="E40" s="150" t="b">
        <f>IF($A40=removeItem,13+removeInList)</f>
        <v>0</v>
      </c>
      <c r="F40" s="150"/>
      <c r="G40" s="150"/>
      <c r="H40" s="150"/>
      <c r="I40" s="150"/>
    </row>
    <row r="41" spans="1:11" x14ac:dyDescent="0.3">
      <c r="A41" s="150">
        <v>3</v>
      </c>
      <c r="B41" s="150" t="s">
        <v>54</v>
      </c>
      <c r="C41" s="150" t="b">
        <f>IF($A41=addItem,16+addInList+1,FALSE)</f>
        <v>0</v>
      </c>
      <c r="D41" s="150"/>
      <c r="E41" s="150" t="b">
        <f>IF($A41=removeItem,16+removeInList)</f>
        <v>0</v>
      </c>
      <c r="F41" s="150"/>
      <c r="G41" s="150"/>
      <c r="H41" s="150"/>
      <c r="I41" s="150">
        <v>16</v>
      </c>
    </row>
    <row r="42" spans="1:11" x14ac:dyDescent="0.3">
      <c r="A42" s="150">
        <v>3</v>
      </c>
      <c r="B42" s="150" t="s">
        <v>83</v>
      </c>
      <c r="C42" s="150" t="b">
        <f>IF($A42=addItem,9+addInList+1,FALSE)</f>
        <v>0</v>
      </c>
      <c r="D42" s="150"/>
      <c r="E42" s="150" t="b">
        <f>IF($A42=removeItem,9+removeInList)</f>
        <v>0</v>
      </c>
      <c r="F42" s="150"/>
      <c r="G42" s="150"/>
      <c r="H42" s="150"/>
      <c r="I42" s="150"/>
    </row>
    <row r="43" spans="1:11" x14ac:dyDescent="0.3">
      <c r="A43" s="150">
        <v>4</v>
      </c>
      <c r="B43" s="150" t="s">
        <v>64</v>
      </c>
      <c r="C43" s="150" t="b">
        <f>IF($A43=addItem,20+addInList+1,FALSE)</f>
        <v>0</v>
      </c>
      <c r="D43" s="150"/>
      <c r="E43" s="150" t="b">
        <f>IF($A43=removeItem,20+removeInList)</f>
        <v>0</v>
      </c>
      <c r="F43" s="150"/>
      <c r="G43" s="150"/>
      <c r="H43" s="150"/>
      <c r="I43" s="150"/>
    </row>
    <row r="44" spans="1:11" x14ac:dyDescent="0.3">
      <c r="A44" s="150">
        <v>5</v>
      </c>
      <c r="B44" s="150" t="s">
        <v>152</v>
      </c>
      <c r="C44" s="150" t="b">
        <f>IF($A44=addItem,20+$B$5+4+addInList+1,FALSE)</f>
        <v>0</v>
      </c>
      <c r="D44" s="150"/>
      <c r="E44" s="150" t="b">
        <f>IF($A44=removeItem,20+$B$5+4+removeInList)</f>
        <v>0</v>
      </c>
      <c r="F44" s="150"/>
      <c r="G44" s="150"/>
      <c r="H44" s="150"/>
      <c r="I44" s="150"/>
    </row>
    <row r="45" spans="1:11" x14ac:dyDescent="0.3">
      <c r="A45" s="150">
        <v>5</v>
      </c>
      <c r="B45" s="150" t="s">
        <v>2220</v>
      </c>
      <c r="C45" s="150" t="b">
        <f>IF($A45=addItem,29+addInList+1,FALSE)</f>
        <v>0</v>
      </c>
      <c r="D45" s="150"/>
      <c r="E45" s="150" t="b">
        <f>IF($A45=removeItem,29+removeInList)</f>
        <v>0</v>
      </c>
      <c r="F45" s="150"/>
      <c r="G45" s="150"/>
      <c r="H45" s="150"/>
      <c r="I45" s="150"/>
    </row>
    <row r="46" spans="1:11" x14ac:dyDescent="0.3">
      <c r="A46" s="150">
        <v>5</v>
      </c>
      <c r="B46" s="150" t="s">
        <v>2220</v>
      </c>
      <c r="C46" s="150" t="b">
        <f>IF($A46=addItem,29+$B$6+1+3+$B$8+8+addInList+1,FALSE)</f>
        <v>0</v>
      </c>
      <c r="D46" s="150"/>
      <c r="E46" s="150" t="b">
        <f>IF($A46=removeItem,29+$B$6+3+$B$8+7+removeInList)</f>
        <v>0</v>
      </c>
      <c r="F46" s="150"/>
      <c r="G46" s="150"/>
      <c r="H46" s="150"/>
      <c r="I46" s="150"/>
    </row>
    <row r="47" spans="1:11" x14ac:dyDescent="0.3">
      <c r="A47" s="150">
        <v>5</v>
      </c>
      <c r="B47" s="150" t="s">
        <v>351</v>
      </c>
      <c r="C47" s="150" t="b">
        <f>IF($A47=addItem,43+addInList+1,FALSE)</f>
        <v>0</v>
      </c>
      <c r="D47" s="150"/>
      <c r="E47" s="150" t="b">
        <f>IF($A47=removeItem,43+removeInList)</f>
        <v>0</v>
      </c>
      <c r="F47" s="150"/>
      <c r="G47" s="150"/>
      <c r="H47" s="150"/>
      <c r="I47" s="150"/>
    </row>
    <row r="48" spans="1:11" x14ac:dyDescent="0.3">
      <c r="A48" s="150">
        <v>5</v>
      </c>
      <c r="B48" s="150" t="s">
        <v>151</v>
      </c>
      <c r="C48" s="150"/>
      <c r="D48" s="150" t="b">
        <f>IF($A48=addItem,3+addInList+1)</f>
        <v>0</v>
      </c>
      <c r="E48" s="150"/>
      <c r="F48" s="150" t="b">
        <f>IF($A48=removeItem,3+removeInList)</f>
        <v>0</v>
      </c>
      <c r="G48" s="150">
        <v>13</v>
      </c>
      <c r="H48" s="150">
        <f>13+2*$B$10+1</f>
        <v>22</v>
      </c>
      <c r="I48" s="150"/>
    </row>
    <row r="49" spans="1:9" x14ac:dyDescent="0.3">
      <c r="A49" s="150">
        <v>5</v>
      </c>
      <c r="B49" s="150" t="s">
        <v>151</v>
      </c>
      <c r="C49" s="150"/>
      <c r="D49" s="150" t="b">
        <f>IF($A49=addItem,3+addInList+1)</f>
        <v>0</v>
      </c>
      <c r="E49" s="150"/>
      <c r="F49" s="150" t="b">
        <f>IF($A49=removeItem,3+removeInList)</f>
        <v>0</v>
      </c>
      <c r="G49" s="150">
        <f>14+2*$B$10+2</f>
        <v>24</v>
      </c>
      <c r="H49" s="150">
        <f>13+2*$B$10+3+2*$B$10+1</f>
        <v>33</v>
      </c>
      <c r="I49" s="150"/>
    </row>
    <row r="50" spans="1:9" x14ac:dyDescent="0.3">
      <c r="A50" s="150">
        <v>6</v>
      </c>
      <c r="B50" s="150" t="s">
        <v>64</v>
      </c>
      <c r="C50" s="150" t="b">
        <f>IF($A50=addItem,20+$B$5+4+$B$6+5+addInList+1,FALSE)</f>
        <v>0</v>
      </c>
      <c r="D50" s="150"/>
      <c r="E50" s="150" t="b">
        <f>IF($A50=removeItem,20+$B$5+4+$B$6+5+removeInList)</f>
        <v>0</v>
      </c>
      <c r="F50" s="150"/>
      <c r="G50" s="150"/>
      <c r="H50" s="150"/>
      <c r="I50" s="150"/>
    </row>
    <row r="51" spans="1:9" x14ac:dyDescent="0.3">
      <c r="A51" s="150">
        <v>7</v>
      </c>
      <c r="B51" s="150" t="s">
        <v>64</v>
      </c>
      <c r="C51" s="150" t="b">
        <f>IF($A51=addItem,20+$B$5+4+$B$6+5+$B$7+4+addInList+1,FALSE)</f>
        <v>0</v>
      </c>
      <c r="D51" s="150"/>
      <c r="E51" s="150" t="b">
        <f>IF($A51=removeItem,20+$B$5+4+$B$6+5+$B$7+4+removeInList)</f>
        <v>0</v>
      </c>
      <c r="F51" s="150"/>
      <c r="G51" s="150"/>
      <c r="H51" s="150"/>
      <c r="I51" s="150"/>
    </row>
    <row r="52" spans="1:9" x14ac:dyDescent="0.3">
      <c r="A52" s="150">
        <v>7</v>
      </c>
      <c r="B52" s="150" t="s">
        <v>2220</v>
      </c>
      <c r="C52" s="150" t="b">
        <f>IF($A52=addItem,29+$B$6+3+addInList+1,FALSE)</f>
        <v>0</v>
      </c>
      <c r="D52" s="150"/>
      <c r="E52" s="150" t="b">
        <f>IF($A52=removeItem,29+$B$6+3+removeInList)</f>
        <v>0</v>
      </c>
      <c r="F52" s="150"/>
      <c r="G52" s="150"/>
      <c r="H52" s="150"/>
      <c r="I52" s="150"/>
    </row>
    <row r="53" spans="1:9" x14ac:dyDescent="0.3">
      <c r="A53" s="150">
        <v>7</v>
      </c>
      <c r="B53" s="150" t="s">
        <v>2220</v>
      </c>
      <c r="C53" s="150" t="b">
        <f>IF($A53=addItem,29+$B$6+1+3+$B$8+7+$B$6+3+1+addInList+1,FALSE)</f>
        <v>0</v>
      </c>
      <c r="D53" s="150"/>
      <c r="E53" s="150" t="b">
        <f>IF($A53=removeItem,29+$B$6+3+$B$8+7+$B$6+3+removeInList)</f>
        <v>0</v>
      </c>
      <c r="F53" s="150"/>
      <c r="G53" s="150"/>
      <c r="H53" s="150"/>
      <c r="I53" s="150"/>
    </row>
    <row r="54" spans="1:9" x14ac:dyDescent="0.3">
      <c r="A54" s="150">
        <v>7</v>
      </c>
      <c r="B54" s="150" t="s">
        <v>351</v>
      </c>
      <c r="C54" s="150" t="b">
        <f>IF($A54=addItem,43+$B$6+3+addInList+1,FALSE)</f>
        <v>0</v>
      </c>
      <c r="D54" s="150"/>
      <c r="E54" s="150" t="b">
        <f>IF($A54=removeItem,43+$B$6+3+removeInList)</f>
        <v>0</v>
      </c>
      <c r="F54" s="150"/>
      <c r="G54" s="150"/>
      <c r="H54" s="150"/>
      <c r="I54" s="150"/>
    </row>
    <row r="55" spans="1:9" x14ac:dyDescent="0.3">
      <c r="A55" s="150">
        <v>8</v>
      </c>
      <c r="B55" s="150" t="s">
        <v>64</v>
      </c>
      <c r="C55" s="150" t="b">
        <f>IF($A55=addItem,20+$B$5+4+$B$6+5+$B$7+4+$B$8+3+addInList+1,FALSE)</f>
        <v>0</v>
      </c>
      <c r="D55" s="150"/>
      <c r="E55" s="150" t="b">
        <f>IF($A55=removeItem,20+$B$5+4+$B$6+5+$B$7+4+$B$8+3+removeInList)</f>
        <v>0</v>
      </c>
      <c r="F55" s="150"/>
      <c r="G55" s="150"/>
      <c r="H55" s="150"/>
      <c r="I55" s="150"/>
    </row>
    <row r="56" spans="1:9" x14ac:dyDescent="0.3">
      <c r="A56" s="150">
        <v>8</v>
      </c>
      <c r="B56" s="150" t="s">
        <v>83</v>
      </c>
      <c r="C56" s="150"/>
      <c r="D56" s="150" t="b">
        <f>IF($A56=addItem,3+addInList+1)</f>
        <v>0</v>
      </c>
      <c r="E56" s="150"/>
      <c r="F56" s="150" t="b">
        <f>IF($A56=removeItem,3+removeInList)</f>
        <v>0</v>
      </c>
      <c r="G56" s="150">
        <v>9</v>
      </c>
      <c r="H56" s="150">
        <f>9+$B$4+1</f>
        <v>20</v>
      </c>
      <c r="I56" s="150">
        <f>2+$B$9+1+1</f>
        <v>23</v>
      </c>
    </row>
    <row r="57" spans="1:9" x14ac:dyDescent="0.3">
      <c r="A57" s="127" t="s">
        <v>153</v>
      </c>
    </row>
    <row r="59" spans="1:9" x14ac:dyDescent="0.3">
      <c r="A59" s="1" t="s">
        <v>283</v>
      </c>
      <c r="B59" s="1" t="s">
        <v>163</v>
      </c>
      <c r="C59" s="1" t="s">
        <v>396</v>
      </c>
      <c r="D59" s="1" t="s">
        <v>1237</v>
      </c>
      <c r="E59" s="1" t="s">
        <v>176</v>
      </c>
      <c r="F59" s="1" t="s">
        <v>177</v>
      </c>
    </row>
    <row r="60" spans="1:9" x14ac:dyDescent="0.3">
      <c r="A60" s="1" t="str">
        <f>pathProject</f>
        <v>C:/projectTesting/rwanda</v>
      </c>
      <c r="B60" s="1" t="s">
        <v>2116</v>
      </c>
      <c r="C60" s="1" t="s">
        <v>2117</v>
      </c>
      <c r="E60" s="1">
        <f ca="1">COUNTA(YAML!A:A)</f>
        <v>167</v>
      </c>
      <c r="F60" s="1">
        <v>1</v>
      </c>
    </row>
    <row r="61" spans="1:9" x14ac:dyDescent="0.3">
      <c r="A61" s="1" t="str">
        <f>_xlfn.CONCAT(pathProject,"/CleanCooking_os/data")</f>
        <v>C:/projectTesting/rwanda/CleanCooking_os/data</v>
      </c>
      <c r="B61" s="1" t="s">
        <v>2054</v>
      </c>
      <c r="C61" s="1" t="str">
        <f>_xlfn.CONCAT(B61,".tsv")</f>
        <v>Co0_routes_config.tsv</v>
      </c>
      <c r="E61" s="1">
        <v>36</v>
      </c>
      <c r="F61" s="1">
        <v>3</v>
      </c>
    </row>
    <row r="62" spans="1:9" x14ac:dyDescent="0.3">
      <c r="A62" s="1" t="str">
        <f>_xlfn.CONCAT(pathProject,"/CleanCooking_os/data")</f>
        <v>C:/projectTesting/rwanda/CleanCooking_os/data</v>
      </c>
      <c r="B62" s="1" t="s">
        <v>2083</v>
      </c>
      <c r="C62" s="1" t="str">
        <f>_xlfn.CONCAT(B62,".tsv")</f>
        <v>Co0_general_config.tsv</v>
      </c>
      <c r="E62" s="1">
        <v>27</v>
      </c>
      <c r="F62" s="1">
        <v>3</v>
      </c>
    </row>
    <row r="63" spans="1:9" x14ac:dyDescent="0.3">
      <c r="A63" s="1" t="str">
        <f>_xlfn.CONCAT(pathProject,"/CleanCooking_os/data/inputs/Catalogs")</f>
        <v>C:/projectTesting/rwanda/CleanCooking_os/data/inputs/Catalogs</v>
      </c>
      <c r="B63" s="1" t="s">
        <v>1230</v>
      </c>
      <c r="C63" s="1" t="str">
        <f>_xlfn.CONCAT(Co!C32,".tsv")</f>
        <v>De1-Electric.tsv</v>
      </c>
      <c r="D63" s="1" t="s">
        <v>43</v>
      </c>
      <c r="E63" s="1">
        <f>1+$B$2</f>
        <v>4</v>
      </c>
      <c r="F63" s="1">
        <f>1+1+24+3</f>
        <v>29</v>
      </c>
    </row>
    <row r="64" spans="1:9" x14ac:dyDescent="0.3">
      <c r="A64" s="1" t="str">
        <f t="shared" ref="A64:A74" si="1">_xlfn.CONCAT(pathProject,"/CleanCooking_os/data/inputs/Catalogs")</f>
        <v>C:/projectTesting/rwanda/CleanCooking_os/data/inputs/Catalogs</v>
      </c>
      <c r="B64" s="1" t="s">
        <v>1231</v>
      </c>
      <c r="C64" s="1" t="str">
        <f>_xlfn.CONCAT(Co!C33,".tsv")</f>
        <v>De1-Cooking.tsv</v>
      </c>
      <c r="D64" s="1" t="s">
        <v>43</v>
      </c>
      <c r="E64" s="1">
        <f>1+$B$2</f>
        <v>4</v>
      </c>
      <c r="F64" s="1">
        <f>1+1+24+3</f>
        <v>29</v>
      </c>
    </row>
    <row r="65" spans="1:6" x14ac:dyDescent="0.3">
      <c r="A65" s="1" t="str">
        <f t="shared" si="1"/>
        <v>C:/projectTesting/rwanda/CleanCooking_os/data/inputs/Catalogs</v>
      </c>
      <c r="B65" s="1" t="s">
        <v>1232</v>
      </c>
      <c r="C65" s="1" t="str">
        <f>_xlfn.CONCAT(Co!C34,".tsv")</f>
        <v>De1-Heating.tsv</v>
      </c>
      <c r="D65" s="1" t="s">
        <v>43</v>
      </c>
      <c r="E65" s="1">
        <f>1+$B$2</f>
        <v>4</v>
      </c>
      <c r="F65" s="1">
        <f>1+1+24+3</f>
        <v>29</v>
      </c>
    </row>
    <row r="66" spans="1:6" x14ac:dyDescent="0.3">
      <c r="A66" s="1" t="str">
        <f t="shared" si="1"/>
        <v>C:/projectTesting/rwanda/CleanCooking_os/data/inputs/Catalogs</v>
      </c>
      <c r="B66" s="1" t="s">
        <v>1229</v>
      </c>
      <c r="C66" s="1" t="str">
        <f>_xlfn.CONCAT(Co!C35,".tsv")</f>
        <v>De2-Config.tsv</v>
      </c>
      <c r="D66" s="1" t="s">
        <v>48</v>
      </c>
      <c r="E66" s="1">
        <f>1+$B$3</f>
        <v>21</v>
      </c>
      <c r="F66" s="1">
        <f>1+1+2</f>
        <v>4</v>
      </c>
    </row>
    <row r="67" spans="1:6" x14ac:dyDescent="0.3">
      <c r="A67" s="1" t="str">
        <f t="shared" si="1"/>
        <v>C:/projectTesting/rwanda/CleanCooking_os/data/inputs/Catalogs</v>
      </c>
      <c r="B67" s="1" t="s">
        <v>1234</v>
      </c>
      <c r="C67" s="1" t="str">
        <f>_xlfn.CONCAT(Co!C36,".tsv")</f>
        <v>De2-Electric.tsv</v>
      </c>
      <c r="D67" s="1" t="s">
        <v>48</v>
      </c>
      <c r="E67" s="1">
        <f>1+$B$3</f>
        <v>21</v>
      </c>
      <c r="F67" s="1">
        <f>1+1+$B$2</f>
        <v>5</v>
      </c>
    </row>
    <row r="68" spans="1:6" x14ac:dyDescent="0.3">
      <c r="A68" s="1" t="str">
        <f t="shared" si="1"/>
        <v>C:/projectTesting/rwanda/CleanCooking_os/data/inputs/Catalogs</v>
      </c>
      <c r="B68" s="1" t="s">
        <v>1235</v>
      </c>
      <c r="C68" s="1" t="str">
        <f>_xlfn.CONCAT(Co!C37,".tsv")</f>
        <v>De2-Cooking.tsv</v>
      </c>
      <c r="D68" s="1" t="s">
        <v>48</v>
      </c>
      <c r="E68" s="1">
        <f>1+$B$3</f>
        <v>21</v>
      </c>
      <c r="F68" s="1">
        <f>1+1+$B$2</f>
        <v>5</v>
      </c>
    </row>
    <row r="69" spans="1:6" x14ac:dyDescent="0.3">
      <c r="A69" s="1" t="str">
        <f t="shared" si="1"/>
        <v>C:/projectTesting/rwanda/CleanCooking_os/data/inputs/Catalogs</v>
      </c>
      <c r="B69" s="1" t="s">
        <v>1236</v>
      </c>
      <c r="C69" s="1" t="str">
        <f>_xlfn.CONCAT(Co!C38,".tsv")</f>
        <v>De2-Heating.tsv</v>
      </c>
      <c r="D69" s="1" t="s">
        <v>48</v>
      </c>
      <c r="E69" s="1">
        <f>1+$B$3</f>
        <v>21</v>
      </c>
      <c r="F69" s="1">
        <f>1+1+$B$2</f>
        <v>5</v>
      </c>
    </row>
    <row r="70" spans="1:6" x14ac:dyDescent="0.3">
      <c r="A70" s="1" t="str">
        <f t="shared" si="1"/>
        <v>C:/projectTesting/rwanda/CleanCooking_os/data/inputs/Catalogs</v>
      </c>
      <c r="B70" s="1" t="s">
        <v>1269</v>
      </c>
      <c r="C70" s="1" t="str">
        <f>_xlfn.CONCAT(Co!C43,".tsv")</f>
        <v>Ck1-Technologies.tsv</v>
      </c>
      <c r="D70" s="1" t="s">
        <v>64</v>
      </c>
      <c r="E70" s="1">
        <f>1+$B$9</f>
        <v>20</v>
      </c>
      <c r="F70" s="1">
        <v>4</v>
      </c>
    </row>
    <row r="71" spans="1:6" x14ac:dyDescent="0.3">
      <c r="A71" s="1" t="str">
        <f t="shared" si="1"/>
        <v>C:/projectTesting/rwanda/CleanCooking_os/data/inputs/Catalogs</v>
      </c>
      <c r="B71" s="1" t="s">
        <v>1268</v>
      </c>
      <c r="C71" s="1" t="str">
        <f>_xlfn.CONCAT(Co!C42,".tsv")</f>
        <v>Ck1-Appliances.tsv</v>
      </c>
      <c r="D71" s="1" t="s">
        <v>64</v>
      </c>
      <c r="E71" s="1">
        <f>1+$B$8</f>
        <v>14</v>
      </c>
      <c r="F71" s="1">
        <v>11</v>
      </c>
    </row>
    <row r="72" spans="1:6" x14ac:dyDescent="0.3">
      <c r="A72" s="1" t="str">
        <f t="shared" si="1"/>
        <v>C:/projectTesting/rwanda/CleanCooking_os/data/inputs/Catalogs</v>
      </c>
      <c r="B72" s="1" t="s">
        <v>1266</v>
      </c>
      <c r="C72" s="1" t="str">
        <f>_xlfn.CONCAT(Co!C40,".tsv")</f>
        <v>Ck1-Fuels.tsv</v>
      </c>
      <c r="D72" s="1" t="s">
        <v>64</v>
      </c>
      <c r="E72" s="1">
        <f>1+$B$6</f>
        <v>10</v>
      </c>
      <c r="F72" s="1">
        <v>5</v>
      </c>
    </row>
    <row r="73" spans="1:6" x14ac:dyDescent="0.3">
      <c r="A73" s="1" t="str">
        <f t="shared" si="1"/>
        <v>C:/projectTesting/rwanda/CleanCooking_os/data/inputs/Catalogs</v>
      </c>
      <c r="B73" s="1" t="s">
        <v>1265</v>
      </c>
      <c r="C73" s="1" t="str">
        <f>_xlfn.CONCAT(Co!C39,".tsv")</f>
        <v>Ck1-RawMaterials.tsv</v>
      </c>
      <c r="D73" s="1" t="s">
        <v>64</v>
      </c>
      <c r="E73" s="1">
        <f>1+$B$5</f>
        <v>7</v>
      </c>
      <c r="F73" s="1">
        <v>4</v>
      </c>
    </row>
    <row r="74" spans="1:6" x14ac:dyDescent="0.3">
      <c r="A74" s="1" t="str">
        <f t="shared" si="1"/>
        <v>C:/projectTesting/rwanda/CleanCooking_os/data/inputs/Catalogs</v>
      </c>
      <c r="B74" s="1" t="s">
        <v>1267</v>
      </c>
      <c r="C74" s="1" t="str">
        <f>_xlfn.CONCAT(Co!C41,".tsv")</f>
        <v>Ck1-SupChains.tsv</v>
      </c>
      <c r="D74" s="1" t="s">
        <v>64</v>
      </c>
      <c r="E74" s="1">
        <f>1+$B$7</f>
        <v>12</v>
      </c>
      <c r="F74" s="1">
        <v>11</v>
      </c>
    </row>
    <row r="75" spans="1:6" x14ac:dyDescent="0.3">
      <c r="A75" s="1" t="str">
        <f t="shared" ref="A75:A86" si="2">_xlfn.CONCAT(pathProject,"/CleanCooking_os/data/inputs/Country")</f>
        <v>C:/projectTesting/rwanda/CleanCooking_os/data/inputs/Country</v>
      </c>
      <c r="B75" s="1" t="s">
        <v>1280</v>
      </c>
      <c r="C75" s="1" t="str">
        <f>_xlfn.CONCAT(Co!C44,".tsv")</f>
        <v>De4.tsv</v>
      </c>
      <c r="D75" s="1" t="s">
        <v>54</v>
      </c>
      <c r="E75" s="1">
        <f>1+$B$4</f>
        <v>11</v>
      </c>
      <c r="F75" s="1">
        <v>14</v>
      </c>
    </row>
    <row r="76" spans="1:6" x14ac:dyDescent="0.3">
      <c r="A76" s="1" t="str">
        <f>_xlfn.CONCAT(pathProject,"/CleanCooking_os/data/inputs/Country")</f>
        <v>C:/projectTesting/rwanda/CleanCooking_os/data/inputs/Country</v>
      </c>
      <c r="B76" s="1" t="s">
        <v>1103</v>
      </c>
      <c r="C76" s="1" t="str">
        <f>_xlfn.CONCAT(Co!C55,".tsv")</f>
        <v>Tp1-Rwanda.tsv</v>
      </c>
      <c r="D76" s="1" t="s">
        <v>1103</v>
      </c>
      <c r="E76" s="1">
        <f>1+COUNTA(_xlfn.DROP(Tp!$B:$B,4))</f>
        <v>37</v>
      </c>
      <c r="F76" s="1">
        <v>14</v>
      </c>
    </row>
    <row r="77" spans="1:6" x14ac:dyDescent="0.3">
      <c r="A77" s="1" t="str">
        <f t="shared" si="2"/>
        <v>C:/projectTesting/rwanda/CleanCooking_os/data/inputs/Country</v>
      </c>
      <c r="B77" s="1" t="s">
        <v>1285</v>
      </c>
      <c r="C77" s="1" t="str">
        <f>_xlfn.CONCAT(Co!C46,".tsv")</f>
        <v>Bm1-LocalPriceMult.tsv</v>
      </c>
      <c r="D77" s="1" t="s">
        <v>151</v>
      </c>
      <c r="E77" s="1">
        <f>1+2*$B$10</f>
        <v>9</v>
      </c>
      <c r="F77" s="1">
        <f>1+1+1+$B$6</f>
        <v>12</v>
      </c>
    </row>
    <row r="78" spans="1:6" x14ac:dyDescent="0.3">
      <c r="A78" s="1" t="str">
        <f t="shared" si="2"/>
        <v>C:/projectTesting/rwanda/CleanCooking_os/data/inputs/Country</v>
      </c>
      <c r="B78" s="1" t="s">
        <v>1295</v>
      </c>
      <c r="C78" s="1" t="str">
        <f>_xlfn.CONCAT(Co!C47,".tsv")</f>
        <v>Bm1-LocalTimeGenMult.tsv</v>
      </c>
      <c r="D78" s="1" t="s">
        <v>151</v>
      </c>
      <c r="E78" s="1">
        <f>1+2*$B$10</f>
        <v>9</v>
      </c>
      <c r="F78" s="1">
        <f>1+1+1+$B$6</f>
        <v>12</v>
      </c>
    </row>
    <row r="79" spans="1:6" x14ac:dyDescent="0.3">
      <c r="A79" s="1" t="str">
        <f t="shared" si="2"/>
        <v>C:/projectTesting/rwanda/CleanCooking_os/data/inputs/Country</v>
      </c>
      <c r="B79" s="1" t="s">
        <v>1978</v>
      </c>
      <c r="C79" s="1" t="str">
        <f>_xlfn.CONCAT(Co!C48,".tsv")</f>
        <v>De5-Config.tsv</v>
      </c>
      <c r="D79" s="1" t="s">
        <v>351</v>
      </c>
      <c r="E79" s="1">
        <f>1+$B$16</f>
        <v>3</v>
      </c>
      <c r="F79" s="1">
        <v>2</v>
      </c>
    </row>
    <row r="80" spans="1:6" x14ac:dyDescent="0.3">
      <c r="A80" s="1" t="str">
        <f t="shared" si="2"/>
        <v>C:/projectTesting/rwanda/CleanCooking_os/data/inputs/Country</v>
      </c>
      <c r="B80" s="1" t="s">
        <v>1983</v>
      </c>
      <c r="C80" s="1" t="str">
        <f>_xlfn.CONCAT(Co!C54,".tsv")</f>
        <v>De5-AppliancesRetPrice.tsv</v>
      </c>
      <c r="D80" s="1" t="s">
        <v>351</v>
      </c>
      <c r="E80" s="1">
        <f>1+$B$8</f>
        <v>14</v>
      </c>
      <c r="F80" s="1">
        <v>4</v>
      </c>
    </row>
    <row r="81" spans="1:6" x14ac:dyDescent="0.3">
      <c r="A81" s="1" t="str">
        <f t="shared" si="2"/>
        <v>C:/projectTesting/rwanda/CleanCooking_os/data/inputs/Country</v>
      </c>
      <c r="B81" s="1" t="s">
        <v>1991</v>
      </c>
      <c r="C81" s="1" t="str">
        <f>_xlfn.CONCAT(Co!C50,".tsv")</f>
        <v>De5-DemandElast.tsv</v>
      </c>
      <c r="D81" s="1" t="s">
        <v>351</v>
      </c>
      <c r="E81" s="1">
        <f>1+$B$16</f>
        <v>3</v>
      </c>
      <c r="F81" s="1">
        <v>4</v>
      </c>
    </row>
    <row r="82" spans="1:6" x14ac:dyDescent="0.3">
      <c r="A82" s="1" t="str">
        <f t="shared" si="2"/>
        <v>C:/projectTesting/rwanda/CleanCooking_os/data/inputs/Country</v>
      </c>
      <c r="B82" s="1" t="s">
        <v>1979</v>
      </c>
      <c r="C82" s="1" t="str">
        <f>_xlfn.CONCAT(Co!C49,".tsv")</f>
        <v>De5-DemandMult.tsv</v>
      </c>
      <c r="D82" s="1" t="s">
        <v>351</v>
      </c>
      <c r="E82" s="1">
        <f>1+$B$16</f>
        <v>3</v>
      </c>
      <c r="F82" s="1">
        <v>6</v>
      </c>
    </row>
    <row r="83" spans="1:6" x14ac:dyDescent="0.3">
      <c r="A83" s="1" t="str">
        <f t="shared" si="2"/>
        <v>C:/projectTesting/rwanda/CleanCooking_os/data/inputs/Country</v>
      </c>
      <c r="B83" s="1" t="s">
        <v>1981</v>
      </c>
      <c r="C83" s="1" t="str">
        <f>_xlfn.CONCAT(Co!C52,".tsv")</f>
        <v>De5-DepFuelsCostVariation.tsv</v>
      </c>
      <c r="D83" s="1" t="s">
        <v>351</v>
      </c>
      <c r="E83" s="1">
        <f>1+$B$16</f>
        <v>3</v>
      </c>
      <c r="F83" s="1">
        <v>6</v>
      </c>
    </row>
    <row r="84" spans="1:6" x14ac:dyDescent="0.3">
      <c r="A84" s="1" t="str">
        <f t="shared" si="2"/>
        <v>C:/projectTesting/rwanda/CleanCooking_os/data/inputs/Country</v>
      </c>
      <c r="B84" s="1" t="s">
        <v>1982</v>
      </c>
      <c r="C84" s="1" t="str">
        <f>_xlfn.CONCAT(Co!C53,".tsv")</f>
        <v>De5-FuelsRetPrice.tsv</v>
      </c>
      <c r="D84" s="1" t="s">
        <v>351</v>
      </c>
      <c r="E84" s="1">
        <f>1+$B$6</f>
        <v>10</v>
      </c>
      <c r="F84" s="1">
        <v>4</v>
      </c>
    </row>
    <row r="85" spans="1:6" x14ac:dyDescent="0.3">
      <c r="A85" s="1" t="str">
        <f t="shared" si="2"/>
        <v>C:/projectTesting/rwanda/CleanCooking_os/data/inputs/Country</v>
      </c>
      <c r="B85" s="1" t="s">
        <v>1980</v>
      </c>
      <c r="C85" s="1" t="str">
        <f>_xlfn.CONCAT(Co!C51,".tsv")</f>
        <v>De5-SocClustPar.tsv</v>
      </c>
      <c r="D85" s="1" t="s">
        <v>351</v>
      </c>
      <c r="E85" s="1">
        <f>1+$B$16</f>
        <v>3</v>
      </c>
      <c r="F85" s="1">
        <v>11</v>
      </c>
    </row>
    <row r="86" spans="1:6" x14ac:dyDescent="0.3">
      <c r="A86" s="1" t="str">
        <f t="shared" si="2"/>
        <v>C:/projectTesting/rwanda/CleanCooking_os/data/inputs/Country</v>
      </c>
      <c r="B86" s="1" t="s">
        <v>1282</v>
      </c>
      <c r="C86" s="1" t="str">
        <f>_xlfn.CONCAT(Co!C45,".tsv")</f>
        <v>Ck2.tsv</v>
      </c>
      <c r="D86" s="1" t="s">
        <v>83</v>
      </c>
      <c r="E86" s="1">
        <f>1+$B$4</f>
        <v>11</v>
      </c>
      <c r="F86" s="1">
        <f>1+1+1+$B$9</f>
        <v>22</v>
      </c>
    </row>
    <row r="87" spans="1:6" x14ac:dyDescent="0.3">
      <c r="A87" s="1" t="str">
        <f t="shared" ref="A87:A97" si="3">_xlfn.CONCAT(pathProject,"/CleanCooking_os/data/inputs/Plan")</f>
        <v>C:/projectTesting/rwanda/CleanCooking_os/data/inputs/Plan</v>
      </c>
      <c r="B87" s="1" t="s">
        <v>1904</v>
      </c>
      <c r="C87" s="1" t="str">
        <f>_xlfn.CONCAT(Co!C56,".tsv")</f>
        <v>El1.tsv</v>
      </c>
      <c r="D87" s="1" t="s">
        <v>1916</v>
      </c>
      <c r="E87" s="376">
        <f>1+'El1'!$C$14</f>
        <v>588</v>
      </c>
      <c r="F87" s="1">
        <v>22</v>
      </c>
    </row>
    <row r="88" spans="1:6" x14ac:dyDescent="0.3">
      <c r="A88" s="1" t="str">
        <f>_xlfn.CONCAT(pathProject,"/CleanCooking_os/data/inputs/Plan")</f>
        <v>C:/projectTesting/rwanda/CleanCooking_os/data/inputs/Plan</v>
      </c>
      <c r="B88" s="1" t="s">
        <v>1953</v>
      </c>
      <c r="C88" s="1" t="str">
        <f>_xlfn.CONCAT(Co!C58,".tsv")</f>
        <v>LPG1.tsv</v>
      </c>
      <c r="D88" s="1" t="s">
        <v>1957</v>
      </c>
      <c r="E88" s="376">
        <f>1+'LPG1'!$C$14</f>
        <v>31</v>
      </c>
      <c r="F88" s="1">
        <v>17</v>
      </c>
    </row>
    <row r="89" spans="1:6" x14ac:dyDescent="0.3">
      <c r="A89" s="1" t="str">
        <f t="shared" si="3"/>
        <v>C:/projectTesting/rwanda/CleanCooking_os/data/inputs/Plan</v>
      </c>
      <c r="B89" s="1" t="s">
        <v>1917</v>
      </c>
      <c r="C89" s="1" t="str">
        <f>_xlfn.CONCAT(Co!C57,".tsv")</f>
        <v>El1-CostBreakdown.tsv</v>
      </c>
      <c r="D89" s="1" t="s">
        <v>1916</v>
      </c>
      <c r="E89" s="376">
        <v>4</v>
      </c>
      <c r="F89" s="1">
        <v>4</v>
      </c>
    </row>
    <row r="90" spans="1:6" x14ac:dyDescent="0.3">
      <c r="A90" s="1" t="str">
        <f t="shared" si="3"/>
        <v>C:/projectTesting/rwanda/CleanCooking_os/data/inputs/Plan</v>
      </c>
      <c r="B90" s="1" t="s">
        <v>1954</v>
      </c>
      <c r="C90" s="1" t="str">
        <f>_xlfn.CONCAT(Co!C59,".tsv")</f>
        <v>LPG1-CostBreakdown.tsv</v>
      </c>
      <c r="D90" s="1" t="s">
        <v>1957</v>
      </c>
      <c r="E90" s="376">
        <v>9</v>
      </c>
      <c r="F90" s="1">
        <v>3</v>
      </c>
    </row>
    <row r="91" spans="1:6" x14ac:dyDescent="0.3">
      <c r="A91" s="1" t="str">
        <f t="shared" si="3"/>
        <v>C:/projectTesting/rwanda/CleanCooking_os/data/inputs/Plan</v>
      </c>
      <c r="B91" s="1" t="s">
        <v>2008</v>
      </c>
      <c r="C91" s="1" t="str">
        <f>_xlfn.CONCAT(Co!C66,".tsv")</f>
        <v>Pl0-Config.tsv</v>
      </c>
      <c r="D91" s="1" t="s">
        <v>319</v>
      </c>
      <c r="E91" s="1">
        <f>1+($B$12+1)*$B$15</f>
        <v>9</v>
      </c>
      <c r="F91" s="1">
        <v>8</v>
      </c>
    </row>
    <row r="92" spans="1:6" x14ac:dyDescent="0.3">
      <c r="A92" s="1" t="str">
        <f t="shared" si="3"/>
        <v>C:/projectTesting/rwanda/CleanCooking_os/data/inputs/Plan</v>
      </c>
      <c r="B92" s="1" t="s">
        <v>2004</v>
      </c>
      <c r="C92" s="1" t="str">
        <f>_xlfn.CONCAT(Co!C63,".tsv")</f>
        <v>Pl0-ApplianceMaxCap.tsv</v>
      </c>
      <c r="D92" s="1" t="s">
        <v>319</v>
      </c>
      <c r="E92" s="1">
        <f>1+2*($B$13+1)</f>
        <v>9</v>
      </c>
      <c r="F92" s="1">
        <f>2+$B$8</f>
        <v>15</v>
      </c>
    </row>
    <row r="93" spans="1:6" x14ac:dyDescent="0.3">
      <c r="A93" s="1" t="str">
        <f t="shared" si="3"/>
        <v>C:/projectTesting/rwanda/CleanCooking_os/data/inputs/Plan</v>
      </c>
      <c r="B93" s="1" t="s">
        <v>2006</v>
      </c>
      <c r="C93" s="1" t="str">
        <f>_xlfn.CONCAT(Co!C65,".tsv")</f>
        <v>Pl0-AppliancePriceMult.tsv</v>
      </c>
      <c r="D93" s="1" t="s">
        <v>319</v>
      </c>
      <c r="E93" s="1">
        <f>1+$B$14+1</f>
        <v>4</v>
      </c>
      <c r="F93" s="1">
        <f>1+$B$8</f>
        <v>14</v>
      </c>
    </row>
    <row r="94" spans="1:6" x14ac:dyDescent="0.3">
      <c r="A94" s="1" t="str">
        <f t="shared" si="3"/>
        <v>C:/projectTesting/rwanda/CleanCooking_os/data/inputs/Plan</v>
      </c>
      <c r="B94" s="1" t="s">
        <v>2002</v>
      </c>
      <c r="C94" s="1" t="str">
        <f>_xlfn.CONCAT(Co!C61,".tsv")</f>
        <v>Pl0-DepFuelsTarget.tsv</v>
      </c>
      <c r="D94" s="1" t="s">
        <v>319</v>
      </c>
      <c r="E94" s="1">
        <f>1+$B$13+1</f>
        <v>5</v>
      </c>
      <c r="F94" s="1">
        <v>3</v>
      </c>
    </row>
    <row r="95" spans="1:6" x14ac:dyDescent="0.3">
      <c r="A95" s="1" t="str">
        <f t="shared" si="3"/>
        <v>C:/projectTesting/rwanda/CleanCooking_os/data/inputs/Plan</v>
      </c>
      <c r="B95" s="1" t="s">
        <v>2007</v>
      </c>
      <c r="C95" s="1" t="str">
        <f>_xlfn.CONCAT(Co!C60,".tsv")</f>
        <v>Pl0-DeployFuels.tsv</v>
      </c>
      <c r="D95" s="1" t="s">
        <v>319</v>
      </c>
      <c r="E95" s="1">
        <v>3</v>
      </c>
      <c r="F95" s="1">
        <v>3</v>
      </c>
    </row>
    <row r="96" spans="1:6" x14ac:dyDescent="0.3">
      <c r="A96" s="1" t="str">
        <f t="shared" si="3"/>
        <v>C:/projectTesting/rwanda/CleanCooking_os/data/inputs/Plan</v>
      </c>
      <c r="B96" s="1" t="s">
        <v>2003</v>
      </c>
      <c r="C96" s="1" t="str">
        <f>_xlfn.CONCAT(Co!C62,".tsv")</f>
        <v>Pl0-FuelMaxCap.tsv</v>
      </c>
      <c r="D96" s="1" t="s">
        <v>319</v>
      </c>
      <c r="E96" s="1">
        <f>1+2*($B$13+1)</f>
        <v>9</v>
      </c>
      <c r="F96" s="1">
        <f>2+$B$6</f>
        <v>11</v>
      </c>
    </row>
    <row r="97" spans="1:6" x14ac:dyDescent="0.3">
      <c r="A97" s="1" t="str">
        <f t="shared" si="3"/>
        <v>C:/projectTesting/rwanda/CleanCooking_os/data/inputs/Plan</v>
      </c>
      <c r="B97" s="1" t="s">
        <v>2005</v>
      </c>
      <c r="C97" s="1" t="str">
        <f>_xlfn.CONCAT(Co!C64,".tsv")</f>
        <v>Pl0-FuelPriceMult.tsv</v>
      </c>
      <c r="D97" s="1" t="s">
        <v>319</v>
      </c>
      <c r="E97" s="1">
        <f>1+$B$14+1</f>
        <v>4</v>
      </c>
      <c r="F97" s="1">
        <f>1+$B$6</f>
        <v>10</v>
      </c>
    </row>
    <row r="98" spans="1:6" x14ac:dyDescent="0.3">
      <c r="A98" s="127" t="s">
        <v>153</v>
      </c>
    </row>
    <row r="100" spans="1:6" x14ac:dyDescent="0.3">
      <c r="A100" s="1" t="s">
        <v>396</v>
      </c>
      <c r="B100" s="1" t="s">
        <v>163</v>
      </c>
      <c r="C100" s="1" t="s">
        <v>2267</v>
      </c>
    </row>
    <row r="101" spans="1:6" x14ac:dyDescent="0.3">
      <c r="A101" s="1" t="s">
        <v>2265</v>
      </c>
      <c r="B101" s="1" t="s">
        <v>67</v>
      </c>
      <c r="C101" s="1" t="s">
        <v>2285</v>
      </c>
    </row>
    <row r="102" spans="1:6" x14ac:dyDescent="0.3">
      <c r="A102" s="1" t="s">
        <v>2272</v>
      </c>
      <c r="B102" s="1" t="s">
        <v>2273</v>
      </c>
      <c r="C102" s="1" t="s">
        <v>2285</v>
      </c>
    </row>
    <row r="103" spans="1:6" x14ac:dyDescent="0.3">
      <c r="A103" s="1" t="s">
        <v>2278</v>
      </c>
      <c r="B103" s="1" t="s">
        <v>2281</v>
      </c>
      <c r="C103" s="1" t="s">
        <v>2285</v>
      </c>
    </row>
    <row r="104" spans="1:6" x14ac:dyDescent="0.3">
      <c r="A104" s="1" t="s">
        <v>2279</v>
      </c>
      <c r="B104" s="1" t="s">
        <v>2280</v>
      </c>
      <c r="C104" s="1" t="s">
        <v>2285</v>
      </c>
    </row>
    <row r="105" spans="1:6" x14ac:dyDescent="0.3">
      <c r="A105" s="127" t="s">
        <v>153</v>
      </c>
    </row>
  </sheetData>
  <phoneticPr fontId="42" type="noConversion"/>
  <conditionalFormatting sqref="A34:I56">
    <cfRule type="containsBlanks" dxfId="81" priority="2">
      <formula>LEN(TRIM(A34))=0</formula>
    </cfRule>
  </conditionalFormatting>
  <pageMargins left="0.7" right="0.7" top="0.75" bottom="0.75" header="0.3" footer="0.3"/>
  <pageSetup paperSize="9" orientation="portrait" r:id="rId1"/>
  <ignoredErrors>
    <ignoredError sqref="D35 D36 C37 E37 F35:H35 F36:H36 G37:H3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CEBEF-6C53-470D-802F-AFE473F31EA9}">
  <sheetPr codeName="Sheet85"/>
  <dimension ref="A1:E36"/>
  <sheetViews>
    <sheetView workbookViewId="0">
      <selection activeCell="A25" sqref="A25"/>
    </sheetView>
  </sheetViews>
  <sheetFormatPr defaultColWidth="5.6640625" defaultRowHeight="14.4" x14ac:dyDescent="0.3"/>
  <cols>
    <col min="1" max="1" width="23" style="138" bestFit="1" customWidth="1"/>
    <col min="2" max="2" width="16.77734375" style="138" customWidth="1"/>
    <col min="3" max="3" width="26.109375" style="138" bestFit="1" customWidth="1"/>
    <col min="4" max="10" width="5.6640625" style="138"/>
    <col min="11" max="12" width="5.77734375" style="138" bestFit="1" customWidth="1"/>
    <col min="13" max="16384" width="5.6640625" style="138"/>
  </cols>
  <sheetData>
    <row r="1" spans="1:5" x14ac:dyDescent="0.3">
      <c r="A1" s="138" t="s">
        <v>2016</v>
      </c>
      <c r="B1" s="138" t="s">
        <v>2017</v>
      </c>
      <c r="C1" s="138" t="s">
        <v>2018</v>
      </c>
    </row>
    <row r="2" spans="1:5" x14ac:dyDescent="0.3">
      <c r="A2" s="139" t="s">
        <v>2019</v>
      </c>
      <c r="B2" s="138" t="str">
        <f>_xlfn.CONCAT("Catalogs/",Internal!$D63)</f>
        <v>Catalogs/De1</v>
      </c>
      <c r="C2" s="138" t="str">
        <f>Internal!C63</f>
        <v>De1-Electric.tsv</v>
      </c>
      <c r="D2" s="139"/>
      <c r="E2" s="139"/>
    </row>
    <row r="3" spans="1:5" x14ac:dyDescent="0.3">
      <c r="A3" s="138" t="s">
        <v>2020</v>
      </c>
      <c r="B3" s="138" t="str">
        <f>_xlfn.CONCAT("Catalogs/",Internal!$D64)</f>
        <v>Catalogs/De1</v>
      </c>
      <c r="C3" s="138" t="str">
        <f>Internal!C64</f>
        <v>De1-Cooking.tsv</v>
      </c>
    </row>
    <row r="4" spans="1:5" x14ac:dyDescent="0.3">
      <c r="A4" s="138" t="s">
        <v>2021</v>
      </c>
      <c r="B4" s="138" t="str">
        <f>_xlfn.CONCAT("Catalogs/",Internal!$D65)</f>
        <v>Catalogs/De1</v>
      </c>
      <c r="C4" s="138" t="str">
        <f>Internal!C65</f>
        <v>De1-Heating.tsv</v>
      </c>
    </row>
    <row r="5" spans="1:5" x14ac:dyDescent="0.3">
      <c r="A5" s="138" t="s">
        <v>2022</v>
      </c>
      <c r="B5" s="138" t="str">
        <f>_xlfn.CONCAT("Catalogs/",Internal!$D66)</f>
        <v>Catalogs/De2</v>
      </c>
      <c r="C5" s="138" t="str">
        <f>Internal!C66</f>
        <v>De2-Config.tsv</v>
      </c>
    </row>
    <row r="6" spans="1:5" x14ac:dyDescent="0.3">
      <c r="A6" s="138" t="s">
        <v>2023</v>
      </c>
      <c r="B6" s="138" t="str">
        <f>_xlfn.CONCAT("Catalogs/",Internal!$D67)</f>
        <v>Catalogs/De2</v>
      </c>
      <c r="C6" s="138" t="str">
        <f>Internal!C67</f>
        <v>De2-Electric.tsv</v>
      </c>
    </row>
    <row r="7" spans="1:5" x14ac:dyDescent="0.3">
      <c r="A7" s="138" t="s">
        <v>2024</v>
      </c>
      <c r="B7" s="138" t="str">
        <f>_xlfn.CONCAT("Catalogs/",Internal!$D68)</f>
        <v>Catalogs/De2</v>
      </c>
      <c r="C7" s="138" t="str">
        <f>Internal!C68</f>
        <v>De2-Cooking.tsv</v>
      </c>
    </row>
    <row r="8" spans="1:5" x14ac:dyDescent="0.3">
      <c r="A8" s="138" t="s">
        <v>2025</v>
      </c>
      <c r="B8" s="138" t="str">
        <f>_xlfn.CONCAT("Catalogs/",Internal!$D69)</f>
        <v>Catalogs/De2</v>
      </c>
      <c r="C8" s="138" t="str">
        <f>Internal!C69</f>
        <v>De2-Heating.tsv</v>
      </c>
    </row>
    <row r="9" spans="1:5" x14ac:dyDescent="0.3">
      <c r="A9" s="138" t="s">
        <v>2026</v>
      </c>
      <c r="B9" s="138" t="str">
        <f>_xlfn.CONCAT("Catalogs/",Internal!$D70)</f>
        <v>Catalogs/Ck1</v>
      </c>
      <c r="C9" s="138" t="str">
        <f>Internal!C70</f>
        <v>Ck1-Technologies.tsv</v>
      </c>
    </row>
    <row r="10" spans="1:5" x14ac:dyDescent="0.3">
      <c r="A10" s="138" t="s">
        <v>2027</v>
      </c>
      <c r="B10" s="138" t="str">
        <f>_xlfn.CONCAT("Catalogs/",Internal!$D71)</f>
        <v>Catalogs/Ck1</v>
      </c>
      <c r="C10" s="138" t="str">
        <f>Internal!C71</f>
        <v>Ck1-Appliances.tsv</v>
      </c>
    </row>
    <row r="11" spans="1:5" x14ac:dyDescent="0.3">
      <c r="A11" s="138" t="s">
        <v>2028</v>
      </c>
      <c r="B11" s="138" t="str">
        <f>_xlfn.CONCAT("Catalogs/",Internal!$D72)</f>
        <v>Catalogs/Ck1</v>
      </c>
      <c r="C11" s="138" t="str">
        <f>Internal!C72</f>
        <v>Ck1-Fuels.tsv</v>
      </c>
    </row>
    <row r="12" spans="1:5" x14ac:dyDescent="0.3">
      <c r="A12" s="138" t="s">
        <v>2029</v>
      </c>
      <c r="B12" s="138" t="str">
        <f>_xlfn.CONCAT("Catalogs/",Internal!$D73)</f>
        <v>Catalogs/Ck1</v>
      </c>
      <c r="C12" s="138" t="str">
        <f>Internal!C73</f>
        <v>Ck1-RawMaterials.tsv</v>
      </c>
    </row>
    <row r="13" spans="1:5" x14ac:dyDescent="0.3">
      <c r="A13" s="138" t="s">
        <v>2030</v>
      </c>
      <c r="B13" s="138" t="str">
        <f>_xlfn.CONCAT("Catalogs/",Internal!$D74)</f>
        <v>Catalogs/Ck1</v>
      </c>
      <c r="C13" s="138" t="str">
        <f>Internal!C74</f>
        <v>Ck1-SupChains.tsv</v>
      </c>
    </row>
    <row r="14" spans="1:5" x14ac:dyDescent="0.3">
      <c r="A14" s="138" t="s">
        <v>2031</v>
      </c>
      <c r="B14" s="138" t="str">
        <f>_xlfn.CONCAT("Country/",Internal!$D75)</f>
        <v>Country/De4</v>
      </c>
      <c r="C14" s="138" t="str">
        <f>Internal!C75</f>
        <v>De4.tsv</v>
      </c>
    </row>
    <row r="15" spans="1:5" x14ac:dyDescent="0.3">
      <c r="A15" s="640" t="s">
        <v>2032</v>
      </c>
      <c r="B15" s="138" t="str">
        <f>_xlfn.CONCAT("Country/",Internal!$D76)</f>
        <v>Country/Tp1</v>
      </c>
      <c r="C15" s="138" t="str">
        <f>Internal!C76</f>
        <v>Tp1-Rwanda.tsv</v>
      </c>
    </row>
    <row r="16" spans="1:5" x14ac:dyDescent="0.3">
      <c r="A16" s="138" t="s">
        <v>2033</v>
      </c>
      <c r="B16" s="138" t="str">
        <f>_xlfn.CONCAT("Country/",Internal!$D77)</f>
        <v>Country/Bm1</v>
      </c>
      <c r="C16" s="138" t="str">
        <f>Internal!C77</f>
        <v>Bm1-LocalPriceMult.tsv</v>
      </c>
    </row>
    <row r="17" spans="1:3" x14ac:dyDescent="0.3">
      <c r="A17" s="138" t="s">
        <v>2034</v>
      </c>
      <c r="B17" s="138" t="str">
        <f>_xlfn.CONCAT("Country/",Internal!$D78)</f>
        <v>Country/Bm1</v>
      </c>
      <c r="C17" s="138" t="str">
        <f>Internal!C78</f>
        <v>Bm1-LocalTimeGenMult.tsv</v>
      </c>
    </row>
    <row r="18" spans="1:3" x14ac:dyDescent="0.3">
      <c r="A18" s="138" t="s">
        <v>2035</v>
      </c>
      <c r="B18" s="138" t="str">
        <f>_xlfn.CONCAT("Country/",Internal!$D79)</f>
        <v>Country/De5</v>
      </c>
      <c r="C18" s="138" t="str">
        <f>Internal!C79</f>
        <v>De5-Config.tsv</v>
      </c>
    </row>
    <row r="19" spans="1:3" x14ac:dyDescent="0.3">
      <c r="A19" s="138" t="s">
        <v>2036</v>
      </c>
      <c r="B19" s="138" t="str">
        <f>_xlfn.CONCAT("Country/",Internal!$D80)</f>
        <v>Country/De5</v>
      </c>
      <c r="C19" s="138" t="str">
        <f>Internal!C80</f>
        <v>De5-AppliancesRetPrice.tsv</v>
      </c>
    </row>
    <row r="20" spans="1:3" x14ac:dyDescent="0.3">
      <c r="A20" s="138" t="s">
        <v>2037</v>
      </c>
      <c r="B20" s="138" t="str">
        <f>_xlfn.CONCAT("Country/",Internal!$D81)</f>
        <v>Country/De5</v>
      </c>
      <c r="C20" s="138" t="str">
        <f>Internal!C81</f>
        <v>De5-DemandElast.tsv</v>
      </c>
    </row>
    <row r="21" spans="1:3" x14ac:dyDescent="0.3">
      <c r="A21" s="138" t="s">
        <v>2038</v>
      </c>
      <c r="B21" s="138" t="str">
        <f>_xlfn.CONCAT("Country/",Internal!$D82)</f>
        <v>Country/De5</v>
      </c>
      <c r="C21" s="138" t="str">
        <f>Internal!C82</f>
        <v>De5-DemandMult.tsv</v>
      </c>
    </row>
    <row r="22" spans="1:3" x14ac:dyDescent="0.3">
      <c r="A22" s="138" t="s">
        <v>2039</v>
      </c>
      <c r="B22" s="138" t="str">
        <f>_xlfn.CONCAT("Country/",Internal!$D83)</f>
        <v>Country/De5</v>
      </c>
      <c r="C22" s="138" t="str">
        <f>Internal!C83</f>
        <v>De5-DepFuelsCostVariation.tsv</v>
      </c>
    </row>
    <row r="23" spans="1:3" x14ac:dyDescent="0.3">
      <c r="A23" s="138" t="s">
        <v>2040</v>
      </c>
      <c r="B23" s="138" t="str">
        <f>_xlfn.CONCAT("Country/",Internal!$D84)</f>
        <v>Country/De5</v>
      </c>
      <c r="C23" s="138" t="str">
        <f>Internal!C84</f>
        <v>De5-FuelsRetPrice.tsv</v>
      </c>
    </row>
    <row r="24" spans="1:3" x14ac:dyDescent="0.3">
      <c r="A24" s="138" t="s">
        <v>2041</v>
      </c>
      <c r="B24" s="138" t="str">
        <f>_xlfn.CONCAT("Country/",Internal!$D85)</f>
        <v>Country/De5</v>
      </c>
      <c r="C24" s="138" t="str">
        <f>Internal!C85</f>
        <v>De5-SocClustPar.tsv</v>
      </c>
    </row>
    <row r="25" spans="1:3" x14ac:dyDescent="0.3">
      <c r="A25" s="138" t="s">
        <v>2042</v>
      </c>
      <c r="B25" s="138" t="str">
        <f>_xlfn.CONCAT("Country/",Internal!$D86)</f>
        <v>Country/Ck2</v>
      </c>
      <c r="C25" s="138" t="str">
        <f>Internal!C86</f>
        <v>Ck2.tsv</v>
      </c>
    </row>
    <row r="26" spans="1:3" x14ac:dyDescent="0.3">
      <c r="A26" s="138" t="s">
        <v>2043</v>
      </c>
      <c r="B26" s="138" t="str">
        <f>_xlfn.CONCAT("Plan/",Internal!$D87)</f>
        <v>Plan/El1</v>
      </c>
      <c r="C26" s="138" t="str">
        <f>Internal!C87</f>
        <v>El1.tsv</v>
      </c>
    </row>
    <row r="27" spans="1:3" x14ac:dyDescent="0.3">
      <c r="A27" s="138" t="s">
        <v>2044</v>
      </c>
      <c r="B27" s="138" t="str">
        <f>_xlfn.CONCAT("Plan/",Internal!$D88)</f>
        <v>Plan/Lpg1</v>
      </c>
      <c r="C27" s="138" t="str">
        <f>Internal!C88</f>
        <v>LPG1.tsv</v>
      </c>
    </row>
    <row r="28" spans="1:3" x14ac:dyDescent="0.3">
      <c r="A28" s="138" t="s">
        <v>2045</v>
      </c>
      <c r="B28" s="138" t="str">
        <f>_xlfn.CONCAT("Plan/",Internal!$D89)</f>
        <v>Plan/El1</v>
      </c>
      <c r="C28" s="138" t="str">
        <f>Internal!C89</f>
        <v>El1-CostBreakdown.tsv</v>
      </c>
    </row>
    <row r="29" spans="1:3" x14ac:dyDescent="0.3">
      <c r="A29" s="138" t="s">
        <v>2046</v>
      </c>
      <c r="B29" s="138" t="str">
        <f>_xlfn.CONCAT("Plan/",Internal!$D90)</f>
        <v>Plan/Lpg1</v>
      </c>
      <c r="C29" s="138" t="str">
        <f>Internal!C90</f>
        <v>LPG1-CostBreakdown.tsv</v>
      </c>
    </row>
    <row r="30" spans="1:3" x14ac:dyDescent="0.3">
      <c r="A30" s="138" t="s">
        <v>2047</v>
      </c>
      <c r="B30" s="138" t="str">
        <f>_xlfn.CONCAT("Plan/",Internal!$D91)</f>
        <v>Plan/Pl0</v>
      </c>
      <c r="C30" s="138" t="str">
        <f>Internal!C91</f>
        <v>Pl0-Config.tsv</v>
      </c>
    </row>
    <row r="31" spans="1:3" x14ac:dyDescent="0.3">
      <c r="A31" s="138" t="s">
        <v>2048</v>
      </c>
      <c r="B31" s="138" t="str">
        <f>_xlfn.CONCAT("Plan/",Internal!$D92)</f>
        <v>Plan/Pl0</v>
      </c>
      <c r="C31" s="138" t="str">
        <f>Internal!C92</f>
        <v>Pl0-ApplianceMaxCap.tsv</v>
      </c>
    </row>
    <row r="32" spans="1:3" x14ac:dyDescent="0.3">
      <c r="A32" s="138" t="s">
        <v>2049</v>
      </c>
      <c r="B32" s="138" t="str">
        <f>_xlfn.CONCAT("Plan/",Internal!$D93)</f>
        <v>Plan/Pl0</v>
      </c>
      <c r="C32" s="138" t="str">
        <f>Internal!C93</f>
        <v>Pl0-AppliancePriceMult.tsv</v>
      </c>
    </row>
    <row r="33" spans="1:3" x14ac:dyDescent="0.3">
      <c r="A33" s="138" t="s">
        <v>2050</v>
      </c>
      <c r="B33" s="138" t="str">
        <f>_xlfn.CONCAT("Plan/",Internal!$D94)</f>
        <v>Plan/Pl0</v>
      </c>
      <c r="C33" s="138" t="str">
        <f>Internal!C94</f>
        <v>Pl0-DepFuelsTarget.tsv</v>
      </c>
    </row>
    <row r="34" spans="1:3" x14ac:dyDescent="0.3">
      <c r="A34" s="138" t="s">
        <v>2051</v>
      </c>
      <c r="B34" s="138" t="str">
        <f>_xlfn.CONCAT("Plan/",Internal!$D95)</f>
        <v>Plan/Pl0</v>
      </c>
      <c r="C34" s="138" t="str">
        <f>Internal!C95</f>
        <v>Pl0-DeployFuels.tsv</v>
      </c>
    </row>
    <row r="35" spans="1:3" x14ac:dyDescent="0.3">
      <c r="A35" s="138" t="s">
        <v>2052</v>
      </c>
      <c r="B35" s="138" t="str">
        <f>_xlfn.CONCAT("Plan/",Internal!$D96)</f>
        <v>Plan/Pl0</v>
      </c>
      <c r="C35" s="138" t="str">
        <f>Internal!C96</f>
        <v>Pl0-FuelMaxCap.tsv</v>
      </c>
    </row>
    <row r="36" spans="1:3" x14ac:dyDescent="0.3">
      <c r="A36" s="138" t="s">
        <v>2053</v>
      </c>
      <c r="B36" s="138" t="str">
        <f>_xlfn.CONCAT("Plan/",Internal!$D97)</f>
        <v>Plan/Pl0</v>
      </c>
      <c r="C36" s="138" t="str">
        <f>Internal!C97</f>
        <v>Pl0-FuelPriceMult.tsv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80C21-1C16-43ED-9FB8-04DB03D80533}">
  <sheetPr codeName="Sheet86"/>
  <dimension ref="A1:E27"/>
  <sheetViews>
    <sheetView workbookViewId="0">
      <selection activeCell="C27" sqref="C27"/>
    </sheetView>
  </sheetViews>
  <sheetFormatPr defaultColWidth="5.6640625" defaultRowHeight="14.4" x14ac:dyDescent="0.3"/>
  <cols>
    <col min="1" max="1" width="18.77734375" style="138" bestFit="1" customWidth="1"/>
    <col min="2" max="2" width="5.44140625" style="138" bestFit="1" customWidth="1"/>
    <col min="3" max="3" width="10.88671875" style="138" bestFit="1" customWidth="1"/>
    <col min="4" max="10" width="5.6640625" style="138"/>
    <col min="11" max="12" width="5.77734375" style="138" bestFit="1" customWidth="1"/>
    <col min="13" max="16384" width="5.6640625" style="138"/>
  </cols>
  <sheetData>
    <row r="1" spans="1:5" x14ac:dyDescent="0.3">
      <c r="A1" s="138" t="s">
        <v>212</v>
      </c>
      <c r="B1" s="138" t="s">
        <v>2056</v>
      </c>
      <c r="C1" s="138" t="s">
        <v>2057</v>
      </c>
    </row>
    <row r="2" spans="1:5" x14ac:dyDescent="0.3">
      <c r="A2" s="139" t="s">
        <v>2058</v>
      </c>
      <c r="B2" s="138" t="str">
        <f>Co!C3</f>
        <v>36S</v>
      </c>
      <c r="C2" s="139" t="s">
        <v>2084</v>
      </c>
      <c r="D2" s="139"/>
      <c r="E2" s="139"/>
    </row>
    <row r="3" spans="1:5" x14ac:dyDescent="0.3">
      <c r="A3" s="138" t="s">
        <v>291</v>
      </c>
      <c r="B3" s="138" t="str">
        <f>Co!$C5</f>
        <v>RWF</v>
      </c>
      <c r="C3" s="139" t="s">
        <v>2084</v>
      </c>
    </row>
    <row r="4" spans="1:5" x14ac:dyDescent="0.3">
      <c r="A4" s="138" t="s">
        <v>2059</v>
      </c>
      <c r="B4" s="138">
        <f>Co!C6</f>
        <v>1341</v>
      </c>
      <c r="C4" s="138" t="str">
        <f>Co!D6</f>
        <v>USD/RWF</v>
      </c>
    </row>
    <row r="5" spans="1:5" x14ac:dyDescent="0.3">
      <c r="A5" s="138" t="s">
        <v>2060</v>
      </c>
      <c r="B5" s="138">
        <f>Co!C7</f>
        <v>1.56</v>
      </c>
      <c r="C5" s="138" t="str">
        <f>Co!D7</f>
        <v>USD/hour</v>
      </c>
    </row>
    <row r="6" spans="1:5" x14ac:dyDescent="0.3">
      <c r="A6" s="138" t="s">
        <v>2061</v>
      </c>
      <c r="B6" s="138">
        <f>Co!C8</f>
        <v>1.1499999999999999</v>
      </c>
      <c r="C6" s="138" t="str">
        <f>Co!D8</f>
        <v>USD/liter</v>
      </c>
    </row>
    <row r="7" spans="1:5" x14ac:dyDescent="0.3">
      <c r="A7" s="138" t="s">
        <v>2062</v>
      </c>
      <c r="B7" s="138">
        <f>Co!C10</f>
        <v>220</v>
      </c>
      <c r="C7" s="138" t="str">
        <f>Co!D10</f>
        <v>kV</v>
      </c>
    </row>
    <row r="8" spans="1:5" x14ac:dyDescent="0.3">
      <c r="A8" s="138" t="s">
        <v>2063</v>
      </c>
      <c r="B8" s="138">
        <f>Co!C11</f>
        <v>110</v>
      </c>
      <c r="C8" s="138" t="str">
        <f>Co!D11</f>
        <v>kV</v>
      </c>
    </row>
    <row r="9" spans="1:5" x14ac:dyDescent="0.3">
      <c r="A9" s="138" t="s">
        <v>2064</v>
      </c>
      <c r="B9" s="138">
        <f>Co!C12</f>
        <v>33</v>
      </c>
      <c r="C9" s="138" t="str">
        <f>Co!D12</f>
        <v>kV</v>
      </c>
    </row>
    <row r="10" spans="1:5" x14ac:dyDescent="0.3">
      <c r="A10" s="138" t="s">
        <v>2065</v>
      </c>
      <c r="B10" s="138">
        <f>Co!C13</f>
        <v>0.4</v>
      </c>
      <c r="C10" s="138" t="str">
        <f>Co!D13</f>
        <v>kV</v>
      </c>
    </row>
    <row r="11" spans="1:5" x14ac:dyDescent="0.3">
      <c r="A11" s="138" t="s">
        <v>2066</v>
      </c>
      <c r="B11" s="138">
        <f>Co!C14</f>
        <v>50</v>
      </c>
      <c r="C11" s="138" t="str">
        <f>Co!D14</f>
        <v>Hz</v>
      </c>
    </row>
    <row r="12" spans="1:5" x14ac:dyDescent="0.3">
      <c r="A12" s="138" t="s">
        <v>2067</v>
      </c>
      <c r="B12" s="138">
        <f>Co!C15</f>
        <v>320</v>
      </c>
      <c r="C12" s="138" t="str">
        <f>Co!D15</f>
        <v>GW</v>
      </c>
    </row>
    <row r="13" spans="1:5" x14ac:dyDescent="0.3">
      <c r="A13" s="138" t="s">
        <v>2068</v>
      </c>
      <c r="B13" s="138">
        <f>Co!C16</f>
        <v>650</v>
      </c>
      <c r="C13" s="138" t="str">
        <f>Co!D16</f>
        <v>TWh/year</v>
      </c>
    </row>
    <row r="14" spans="1:5" x14ac:dyDescent="0.3">
      <c r="A14" s="138" t="s">
        <v>2069</v>
      </c>
      <c r="B14" s="138">
        <f>1+Co!C17</f>
        <v>1.05</v>
      </c>
      <c r="C14" s="139" t="s">
        <v>2084</v>
      </c>
    </row>
    <row r="15" spans="1:5" x14ac:dyDescent="0.3">
      <c r="A15" s="138" t="s">
        <v>2070</v>
      </c>
      <c r="B15" s="138">
        <f>Co!C18</f>
        <v>0.2</v>
      </c>
      <c r="C15" s="138" t="str">
        <f>Co!D18</f>
        <v>kgCO2/kWh</v>
      </c>
    </row>
    <row r="16" spans="1:5" x14ac:dyDescent="0.3">
      <c r="A16" s="138" t="s">
        <v>2071</v>
      </c>
      <c r="B16" s="138">
        <f>Co!C19</f>
        <v>0.95</v>
      </c>
      <c r="C16" s="139" t="s">
        <v>2084</v>
      </c>
    </row>
    <row r="17" spans="1:3" x14ac:dyDescent="0.3">
      <c r="A17" s="138" t="s">
        <v>2072</v>
      </c>
      <c r="B17" s="138">
        <f>Co!C20</f>
        <v>0.1</v>
      </c>
      <c r="C17" s="139" t="s">
        <v>2084</v>
      </c>
    </row>
    <row r="18" spans="1:3" x14ac:dyDescent="0.3">
      <c r="A18" s="138" t="s">
        <v>2073</v>
      </c>
      <c r="B18" s="138">
        <f>Co!C21</f>
        <v>35</v>
      </c>
      <c r="C18" s="138" t="str">
        <f>Co!D21</f>
        <v>years</v>
      </c>
    </row>
    <row r="19" spans="1:3" x14ac:dyDescent="0.3">
      <c r="A19" s="138" t="s">
        <v>2074</v>
      </c>
      <c r="B19" s="138">
        <f>Co!C22</f>
        <v>0.11</v>
      </c>
      <c r="C19" s="138" t="str">
        <f>Co!D22</f>
        <v>USD/kWh</v>
      </c>
    </row>
    <row r="20" spans="1:3" x14ac:dyDescent="0.3">
      <c r="A20" s="138" t="s">
        <v>2075</v>
      </c>
      <c r="B20" s="138">
        <f>Co!C23</f>
        <v>0.03</v>
      </c>
      <c r="C20" s="138" t="str">
        <f>Co!D23</f>
        <v>USD/kWh</v>
      </c>
    </row>
    <row r="21" spans="1:3" x14ac:dyDescent="0.3">
      <c r="A21" s="138" t="s">
        <v>2076</v>
      </c>
      <c r="B21" s="138">
        <f>Co!C24</f>
        <v>0.08</v>
      </c>
      <c r="C21" s="138" t="str">
        <f>Co!D24</f>
        <v>USD/kWh</v>
      </c>
    </row>
    <row r="22" spans="1:3" x14ac:dyDescent="0.3">
      <c r="A22" s="138" t="s">
        <v>2077</v>
      </c>
      <c r="B22" s="138">
        <f>Co!C25</f>
        <v>0.25</v>
      </c>
      <c r="C22" s="138" t="str">
        <f>Co!D25</f>
        <v>USD/kWh</v>
      </c>
    </row>
    <row r="23" spans="1:3" x14ac:dyDescent="0.3">
      <c r="A23" s="138" t="s">
        <v>2078</v>
      </c>
      <c r="B23" s="138">
        <f>Co!C27</f>
        <v>0.4</v>
      </c>
      <c r="C23" s="139" t="s">
        <v>2084</v>
      </c>
    </row>
    <row r="24" spans="1:3" x14ac:dyDescent="0.3">
      <c r="A24" s="138" t="s">
        <v>2079</v>
      </c>
      <c r="B24" s="138">
        <f>Co!C28</f>
        <v>0.2</v>
      </c>
      <c r="C24" s="139" t="s">
        <v>2084</v>
      </c>
    </row>
    <row r="25" spans="1:3" x14ac:dyDescent="0.3">
      <c r="A25" s="138" t="s">
        <v>2080</v>
      </c>
      <c r="B25" s="151">
        <f>'Ck1'!C15</f>
        <v>3</v>
      </c>
      <c r="C25" s="151" t="str">
        <f>'Ck1'!D15</f>
        <v>kgCO2/litre</v>
      </c>
    </row>
    <row r="26" spans="1:3" x14ac:dyDescent="0.3">
      <c r="A26" s="138" t="s">
        <v>2081</v>
      </c>
      <c r="B26" s="138">
        <v>3</v>
      </c>
      <c r="C26" s="139" t="s">
        <v>2084</v>
      </c>
    </row>
    <row r="27" spans="1:3" x14ac:dyDescent="0.3">
      <c r="A27" s="138" t="s">
        <v>2082</v>
      </c>
      <c r="B27" s="138">
        <f>'Ck1'!C17</f>
        <v>2</v>
      </c>
      <c r="C27" s="138" t="str">
        <f>'Ck1'!D17</f>
        <v>km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59866-78BE-419A-BE94-38A5FE688E2A}">
  <sheetPr codeName="Sheet50"/>
  <dimension ref="A1:AC5"/>
  <sheetViews>
    <sheetView workbookViewId="0">
      <selection activeCell="A2" sqref="A2"/>
    </sheetView>
  </sheetViews>
  <sheetFormatPr defaultColWidth="5.6640625" defaultRowHeight="14.4" x14ac:dyDescent="0.3"/>
  <cols>
    <col min="1" max="1" width="6.77734375" style="138" bestFit="1" customWidth="1"/>
    <col min="2" max="26" width="5.6640625" style="138"/>
    <col min="27" max="27" width="6.77734375" style="138" bestFit="1" customWidth="1"/>
    <col min="28" max="16384" width="5.6640625" style="138"/>
  </cols>
  <sheetData>
    <row r="1" spans="1:29" x14ac:dyDescent="0.3">
      <c r="A1" s="138" t="s">
        <v>1200</v>
      </c>
      <c r="B1" s="138" t="s">
        <v>1201</v>
      </c>
      <c r="C1" s="139" t="s">
        <v>1202</v>
      </c>
      <c r="D1" s="139" t="s">
        <v>1203</v>
      </c>
      <c r="E1" s="139" t="s">
        <v>1204</v>
      </c>
      <c r="F1" s="139" t="s">
        <v>1205</v>
      </c>
      <c r="G1" s="139" t="s">
        <v>1206</v>
      </c>
      <c r="H1" s="139" t="s">
        <v>1207</v>
      </c>
      <c r="I1" s="139" t="s">
        <v>1208</v>
      </c>
      <c r="J1" s="139" t="s">
        <v>1209</v>
      </c>
      <c r="K1" s="139" t="s">
        <v>1210</v>
      </c>
      <c r="L1" s="139" t="s">
        <v>1211</v>
      </c>
      <c r="M1" s="139" t="s">
        <v>1212</v>
      </c>
      <c r="N1" s="139" t="s">
        <v>1213</v>
      </c>
      <c r="O1" s="139" t="s">
        <v>1214</v>
      </c>
      <c r="P1" s="139" t="s">
        <v>1215</v>
      </c>
      <c r="Q1" s="139" t="s">
        <v>1216</v>
      </c>
      <c r="R1" s="139" t="s">
        <v>1217</v>
      </c>
      <c r="S1" s="139" t="s">
        <v>1218</v>
      </c>
      <c r="T1" s="139" t="s">
        <v>1219</v>
      </c>
      <c r="U1" s="139" t="s">
        <v>1220</v>
      </c>
      <c r="V1" s="139" t="s">
        <v>1221</v>
      </c>
      <c r="W1" s="139" t="s">
        <v>1222</v>
      </c>
      <c r="X1" s="139" t="s">
        <v>1223</v>
      </c>
      <c r="Y1" s="139" t="s">
        <v>1224</v>
      </c>
      <c r="Z1" s="139" t="s">
        <v>1225</v>
      </c>
      <c r="AA1" s="138" t="s">
        <v>45</v>
      </c>
      <c r="AB1" s="138" t="s">
        <v>46</v>
      </c>
      <c r="AC1" s="138" t="s">
        <v>47</v>
      </c>
    </row>
    <row r="2" spans="1:29" x14ac:dyDescent="0.3">
      <c r="A2" s="138" cm="1">
        <f t="array" aca="1" ref="A2:Z4" ca="1">OFFSET(De1E!A10,0,0,Internal!$B$2,1+1+24)</f>
        <v>1</v>
      </c>
      <c r="B2" s="138" t="str">
        <f ca="1"/>
        <v>Domestic</v>
      </c>
      <c r="C2" s="138">
        <f ca="1"/>
        <v>5.3999999999999999E-2</v>
      </c>
      <c r="D2" s="138">
        <f ca="1"/>
        <v>5.3999999999999999E-2</v>
      </c>
      <c r="E2" s="138">
        <f ca="1"/>
        <v>5.3999999999999999E-2</v>
      </c>
      <c r="F2" s="138">
        <f ca="1"/>
        <v>5.3999999999999999E-2</v>
      </c>
      <c r="G2" s="138">
        <f ca="1"/>
        <v>5.3999999999999999E-2</v>
      </c>
      <c r="H2" s="138">
        <f ca="1"/>
        <v>5.3999999999999999E-2</v>
      </c>
      <c r="I2" s="138">
        <f ca="1"/>
        <v>1E-3</v>
      </c>
      <c r="J2" s="138">
        <f ca="1"/>
        <v>2E-3</v>
      </c>
      <c r="K2" s="138">
        <f ca="1"/>
        <v>2E-3</v>
      </c>
      <c r="L2" s="138">
        <f ca="1"/>
        <v>2.1999999999999999E-2</v>
      </c>
      <c r="M2" s="138">
        <f ca="1"/>
        <v>1E-3</v>
      </c>
      <c r="N2" s="138">
        <f ca="1"/>
        <v>1E-3</v>
      </c>
      <c r="O2" s="138">
        <f ca="1"/>
        <v>2E-3</v>
      </c>
      <c r="P2" s="138">
        <f ca="1"/>
        <v>2E-3</v>
      </c>
      <c r="Q2" s="138">
        <f ca="1"/>
        <v>2E-3</v>
      </c>
      <c r="R2" s="138">
        <f ca="1"/>
        <v>1E-3</v>
      </c>
      <c r="S2" s="138">
        <f ca="1"/>
        <v>1E-3</v>
      </c>
      <c r="T2" s="138">
        <f ca="1"/>
        <v>0.154</v>
      </c>
      <c r="U2" s="138">
        <f ca="1"/>
        <v>5.2999999999999999E-2</v>
      </c>
      <c r="V2" s="138">
        <f ca="1"/>
        <v>8.5999999999999993E-2</v>
      </c>
      <c r="W2" s="138">
        <f ca="1"/>
        <v>5.8000000000000003E-2</v>
      </c>
      <c r="X2" s="138">
        <f ca="1"/>
        <v>5.7000000000000002E-2</v>
      </c>
      <c r="Y2" s="138">
        <f ca="1"/>
        <v>0.11600000000000001</v>
      </c>
      <c r="Z2" s="138">
        <f ca="1"/>
        <v>0.115</v>
      </c>
      <c r="AA2" s="151" cm="1">
        <f t="array" aca="1" ref="AA2:AC4" ca="1">OFFSET(De1E!AB10,0,0,Internal!$B$2,3)</f>
        <v>1.0000000000000002</v>
      </c>
      <c r="AB2" s="151">
        <f ca="1"/>
        <v>0.154</v>
      </c>
      <c r="AC2" s="151">
        <f ca="1"/>
        <v>4.1666666666666678E-2</v>
      </c>
    </row>
    <row r="3" spans="1:29" x14ac:dyDescent="0.3">
      <c r="A3" s="138">
        <f ca="1"/>
        <v>2</v>
      </c>
      <c r="B3" s="138" t="str">
        <f ca="1"/>
        <v>Commercial</v>
      </c>
      <c r="C3" s="138">
        <f ca="1"/>
        <v>0</v>
      </c>
      <c r="D3" s="138">
        <f ca="1"/>
        <v>0</v>
      </c>
      <c r="E3" s="138">
        <f ca="1"/>
        <v>0</v>
      </c>
      <c r="F3" s="138">
        <f ca="1"/>
        <v>0</v>
      </c>
      <c r="G3" s="138">
        <f ca="1"/>
        <v>0</v>
      </c>
      <c r="H3" s="138">
        <f ca="1"/>
        <v>0</v>
      </c>
      <c r="I3" s="138">
        <f ca="1"/>
        <v>0</v>
      </c>
      <c r="J3" s="138">
        <f ca="1"/>
        <v>0</v>
      </c>
      <c r="K3" s="138">
        <f ca="1"/>
        <v>0</v>
      </c>
      <c r="L3" s="138">
        <f ca="1"/>
        <v>0</v>
      </c>
      <c r="M3" s="138">
        <f ca="1"/>
        <v>0</v>
      </c>
      <c r="N3" s="138">
        <f ca="1"/>
        <v>0</v>
      </c>
      <c r="O3" s="138">
        <f ca="1"/>
        <v>0</v>
      </c>
      <c r="P3" s="138">
        <f ca="1"/>
        <v>0</v>
      </c>
      <c r="Q3" s="138">
        <f ca="1"/>
        <v>0</v>
      </c>
      <c r="R3" s="138">
        <f ca="1"/>
        <v>0</v>
      </c>
      <c r="S3" s="138">
        <f ca="1"/>
        <v>0</v>
      </c>
      <c r="T3" s="138">
        <f ca="1"/>
        <v>0</v>
      </c>
      <c r="U3" s="138">
        <f ca="1"/>
        <v>0</v>
      </c>
      <c r="V3" s="138">
        <f ca="1"/>
        <v>0</v>
      </c>
      <c r="W3" s="138">
        <f ca="1"/>
        <v>0</v>
      </c>
      <c r="X3" s="138">
        <f ca="1"/>
        <v>0</v>
      </c>
      <c r="Y3" s="138">
        <f ca="1"/>
        <v>0</v>
      </c>
      <c r="Z3" s="138">
        <f ca="1"/>
        <v>0</v>
      </c>
      <c r="AA3" s="151">
        <f ca="1"/>
        <v>0</v>
      </c>
      <c r="AB3" s="151">
        <f ca="1"/>
        <v>0</v>
      </c>
      <c r="AC3" s="151">
        <f ca="1"/>
        <v>0</v>
      </c>
    </row>
    <row r="4" spans="1:29" x14ac:dyDescent="0.3">
      <c r="A4" s="138">
        <f ca="1"/>
        <v>3</v>
      </c>
      <c r="B4" s="138" t="str">
        <f ca="1"/>
        <v>Industrial</v>
      </c>
      <c r="C4" s="138">
        <f ca="1"/>
        <v>0</v>
      </c>
      <c r="D4" s="138">
        <f ca="1"/>
        <v>0</v>
      </c>
      <c r="E4" s="138">
        <f ca="1"/>
        <v>0</v>
      </c>
      <c r="F4" s="138">
        <f ca="1"/>
        <v>0</v>
      </c>
      <c r="G4" s="138">
        <f ca="1"/>
        <v>0</v>
      </c>
      <c r="H4" s="138">
        <f ca="1"/>
        <v>0</v>
      </c>
      <c r="I4" s="138">
        <f ca="1"/>
        <v>0</v>
      </c>
      <c r="J4" s="138">
        <f ca="1"/>
        <v>0</v>
      </c>
      <c r="K4" s="138">
        <f ca="1"/>
        <v>0</v>
      </c>
      <c r="L4" s="138">
        <f ca="1"/>
        <v>0</v>
      </c>
      <c r="M4" s="138">
        <f ca="1"/>
        <v>0</v>
      </c>
      <c r="N4" s="138">
        <f ca="1"/>
        <v>0</v>
      </c>
      <c r="O4" s="138">
        <f ca="1"/>
        <v>0</v>
      </c>
      <c r="P4" s="138">
        <f ca="1"/>
        <v>0</v>
      </c>
      <c r="Q4" s="138">
        <f ca="1"/>
        <v>0</v>
      </c>
      <c r="R4" s="138">
        <f ca="1"/>
        <v>0</v>
      </c>
      <c r="S4" s="138">
        <f ca="1"/>
        <v>0</v>
      </c>
      <c r="T4" s="138">
        <f ca="1"/>
        <v>0</v>
      </c>
      <c r="U4" s="138">
        <f ca="1"/>
        <v>0</v>
      </c>
      <c r="V4" s="138">
        <f ca="1"/>
        <v>0</v>
      </c>
      <c r="W4" s="138">
        <f ca="1"/>
        <v>0</v>
      </c>
      <c r="X4" s="138">
        <f ca="1"/>
        <v>0</v>
      </c>
      <c r="Y4" s="138">
        <f ca="1"/>
        <v>0</v>
      </c>
      <c r="Z4" s="138">
        <f ca="1"/>
        <v>0</v>
      </c>
      <c r="AA4" s="151">
        <f ca="1"/>
        <v>0</v>
      </c>
      <c r="AB4" s="151">
        <f ca="1"/>
        <v>0</v>
      </c>
      <c r="AC4" s="151">
        <f ca="1"/>
        <v>0</v>
      </c>
    </row>
    <row r="5" spans="1:29" x14ac:dyDescent="0.3">
      <c r="AA5" s="151"/>
      <c r="AB5" s="151"/>
      <c r="AC5" s="151"/>
    </row>
  </sheetData>
  <sheetProtection algorithmName="SHA-512" hashValue="TkQhT1LWPztnmHWQZplrD0Unphka3VDZZdwaLoXHR5mV5qBOXluPbLZK8cJuPuOo0fWFh8ffc08I0XB2WJoGJA==" saltValue="vNMmovQMzjGg5Y16YzmM7g==" spinCount="100000" sheet="1" objects="1" scenarios="1"/>
  <phoneticPr fontId="42" type="noConversion"/>
  <pageMargins left="0.7" right="0.7" top="0.75" bottom="0.75" header="0.3" footer="0.3"/>
  <ignoredErrors>
    <ignoredError sqref="A22:XFD1048576 AD1:XFD1 AD6:XFD6 AD3:XFD3 AA7:XFD21 AD2:XFD2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42F68-4A32-4F80-9E15-0B8B6EA4969A}">
  <sheetPr codeName="Sheet51"/>
  <dimension ref="A1:AC4"/>
  <sheetViews>
    <sheetView workbookViewId="0">
      <selection activeCell="AA2" sqref="AA2"/>
    </sheetView>
  </sheetViews>
  <sheetFormatPr defaultColWidth="5.6640625" defaultRowHeight="14.4" x14ac:dyDescent="0.3"/>
  <cols>
    <col min="1" max="26" width="5.6640625" style="138"/>
    <col min="27" max="27" width="6.77734375" style="138" bestFit="1" customWidth="1"/>
    <col min="28" max="16384" width="5.6640625" style="138"/>
  </cols>
  <sheetData>
    <row r="1" spans="1:29" x14ac:dyDescent="0.3">
      <c r="A1" s="138" t="s">
        <v>1200</v>
      </c>
      <c r="B1" s="138" t="s">
        <v>1201</v>
      </c>
      <c r="C1" s="139" t="s">
        <v>1202</v>
      </c>
      <c r="D1" s="139" t="s">
        <v>1203</v>
      </c>
      <c r="E1" s="139" t="s">
        <v>1204</v>
      </c>
      <c r="F1" s="139" t="s">
        <v>1205</v>
      </c>
      <c r="G1" s="139" t="s">
        <v>1206</v>
      </c>
      <c r="H1" s="139" t="s">
        <v>1207</v>
      </c>
      <c r="I1" s="139" t="s">
        <v>1208</v>
      </c>
      <c r="J1" s="139" t="s">
        <v>1209</v>
      </c>
      <c r="K1" s="139" t="s">
        <v>1210</v>
      </c>
      <c r="L1" s="139" t="s">
        <v>1211</v>
      </c>
      <c r="M1" s="139" t="s">
        <v>1212</v>
      </c>
      <c r="N1" s="139" t="s">
        <v>1213</v>
      </c>
      <c r="O1" s="139" t="s">
        <v>1214</v>
      </c>
      <c r="P1" s="139" t="s">
        <v>1215</v>
      </c>
      <c r="Q1" s="139" t="s">
        <v>1216</v>
      </c>
      <c r="R1" s="139" t="s">
        <v>1217</v>
      </c>
      <c r="S1" s="139" t="s">
        <v>1218</v>
      </c>
      <c r="T1" s="139" t="s">
        <v>1219</v>
      </c>
      <c r="U1" s="139" t="s">
        <v>1220</v>
      </c>
      <c r="V1" s="139" t="s">
        <v>1221</v>
      </c>
      <c r="W1" s="139" t="s">
        <v>1222</v>
      </c>
      <c r="X1" s="139" t="s">
        <v>1223</v>
      </c>
      <c r="Y1" s="139" t="s">
        <v>1224</v>
      </c>
      <c r="Z1" s="139" t="s">
        <v>1225</v>
      </c>
      <c r="AA1" s="138" t="s">
        <v>45</v>
      </c>
      <c r="AB1" s="138" t="s">
        <v>46</v>
      </c>
      <c r="AC1" s="138" t="s">
        <v>47</v>
      </c>
    </row>
    <row r="2" spans="1:29" x14ac:dyDescent="0.3">
      <c r="A2" s="138" cm="1">
        <f t="array" aca="1" ref="A2:Z4" ca="1">OFFSET(De1C!A10,0,0,Internal!$B$2,1+1+24)</f>
        <v>1</v>
      </c>
      <c r="B2" s="138" t="str">
        <f ca="1"/>
        <v>Domestic</v>
      </c>
      <c r="C2" s="138">
        <f ca="1"/>
        <v>0</v>
      </c>
      <c r="D2" s="138">
        <f ca="1"/>
        <v>0</v>
      </c>
      <c r="E2" s="138">
        <f ca="1"/>
        <v>0</v>
      </c>
      <c r="F2" s="138">
        <f ca="1"/>
        <v>0</v>
      </c>
      <c r="G2" s="138">
        <f ca="1"/>
        <v>0</v>
      </c>
      <c r="H2" s="138">
        <f ca="1"/>
        <v>0</v>
      </c>
      <c r="I2" s="138">
        <f ca="1"/>
        <v>0</v>
      </c>
      <c r="J2" s="138">
        <f ca="1"/>
        <v>1.1379999999999999</v>
      </c>
      <c r="K2" s="138">
        <f ca="1"/>
        <v>0</v>
      </c>
      <c r="L2" s="138">
        <f ca="1"/>
        <v>0</v>
      </c>
      <c r="M2" s="138">
        <f ca="1"/>
        <v>0</v>
      </c>
      <c r="N2" s="138">
        <f ca="1"/>
        <v>0</v>
      </c>
      <c r="O2" s="138">
        <f ca="1"/>
        <v>0</v>
      </c>
      <c r="P2" s="138">
        <f ca="1"/>
        <v>1.7250000000000001</v>
      </c>
      <c r="Q2" s="138">
        <f ca="1"/>
        <v>0</v>
      </c>
      <c r="R2" s="138">
        <f ca="1"/>
        <v>0</v>
      </c>
      <c r="S2" s="138">
        <f ca="1"/>
        <v>0</v>
      </c>
      <c r="T2" s="138">
        <f ca="1"/>
        <v>1.7250000000000001</v>
      </c>
      <c r="U2" s="138">
        <f ca="1"/>
        <v>0</v>
      </c>
      <c r="V2" s="138">
        <f ca="1"/>
        <v>0</v>
      </c>
      <c r="W2" s="138">
        <f ca="1"/>
        <v>0</v>
      </c>
      <c r="X2" s="138">
        <f ca="1"/>
        <v>0</v>
      </c>
      <c r="Y2" s="138">
        <f ca="1"/>
        <v>0</v>
      </c>
      <c r="Z2" s="138">
        <f ca="1"/>
        <v>0</v>
      </c>
      <c r="AA2" s="151" cm="1">
        <f t="array" aca="1" ref="AA2:AC4" ca="1">OFFSET(De1C!AB10,0,0,Internal!$B$2,3)</f>
        <v>4.5880000000000001</v>
      </c>
      <c r="AB2" s="138">
        <f ca="1"/>
        <v>1.7250000000000001</v>
      </c>
      <c r="AC2" s="138">
        <f ca="1"/>
        <v>1.5293333333333334</v>
      </c>
    </row>
    <row r="3" spans="1:29" x14ac:dyDescent="0.3">
      <c r="A3" s="138">
        <f ca="1"/>
        <v>2</v>
      </c>
      <c r="B3" s="138" t="str">
        <f ca="1"/>
        <v>Commercial</v>
      </c>
      <c r="C3" s="138">
        <f ca="1"/>
        <v>0</v>
      </c>
      <c r="D3" s="138">
        <f ca="1"/>
        <v>0</v>
      </c>
      <c r="E3" s="138">
        <f ca="1"/>
        <v>0</v>
      </c>
      <c r="F3" s="138">
        <f ca="1"/>
        <v>0</v>
      </c>
      <c r="G3" s="138">
        <f ca="1"/>
        <v>0</v>
      </c>
      <c r="H3" s="138">
        <f ca="1"/>
        <v>0</v>
      </c>
      <c r="I3" s="138">
        <f ca="1"/>
        <v>0</v>
      </c>
      <c r="J3" s="138">
        <f ca="1"/>
        <v>0</v>
      </c>
      <c r="K3" s="138">
        <f ca="1"/>
        <v>0</v>
      </c>
      <c r="L3" s="138">
        <f ca="1"/>
        <v>0</v>
      </c>
      <c r="M3" s="138">
        <f ca="1"/>
        <v>0</v>
      </c>
      <c r="N3" s="138">
        <f ca="1"/>
        <v>0</v>
      </c>
      <c r="O3" s="138">
        <f ca="1"/>
        <v>0</v>
      </c>
      <c r="P3" s="138">
        <f ca="1"/>
        <v>0</v>
      </c>
      <c r="Q3" s="138">
        <f ca="1"/>
        <v>0</v>
      </c>
      <c r="R3" s="138">
        <f ca="1"/>
        <v>0</v>
      </c>
      <c r="S3" s="138">
        <f ca="1"/>
        <v>0</v>
      </c>
      <c r="T3" s="138">
        <f ca="1"/>
        <v>0</v>
      </c>
      <c r="U3" s="138">
        <f ca="1"/>
        <v>0</v>
      </c>
      <c r="V3" s="138">
        <f ca="1"/>
        <v>0</v>
      </c>
      <c r="W3" s="138">
        <f ca="1"/>
        <v>0</v>
      </c>
      <c r="X3" s="138">
        <f ca="1"/>
        <v>0</v>
      </c>
      <c r="Y3" s="138">
        <f ca="1"/>
        <v>0</v>
      </c>
      <c r="Z3" s="138">
        <f ca="1"/>
        <v>0</v>
      </c>
      <c r="AA3" s="138">
        <f ca="1"/>
        <v>0</v>
      </c>
      <c r="AB3" s="138">
        <f ca="1"/>
        <v>0</v>
      </c>
      <c r="AC3" s="138">
        <f ca="1"/>
        <v>0</v>
      </c>
    </row>
    <row r="4" spans="1:29" x14ac:dyDescent="0.3">
      <c r="A4" s="138">
        <f ca="1"/>
        <v>3</v>
      </c>
      <c r="B4" s="138" t="str">
        <f ca="1"/>
        <v>Industrial</v>
      </c>
      <c r="C4" s="138">
        <f ca="1"/>
        <v>0</v>
      </c>
      <c r="D4" s="138">
        <f ca="1"/>
        <v>0</v>
      </c>
      <c r="E4" s="138">
        <f ca="1"/>
        <v>0</v>
      </c>
      <c r="F4" s="138">
        <f ca="1"/>
        <v>0</v>
      </c>
      <c r="G4" s="138">
        <f ca="1"/>
        <v>0</v>
      </c>
      <c r="H4" s="138">
        <f ca="1"/>
        <v>0</v>
      </c>
      <c r="I4" s="138">
        <f ca="1"/>
        <v>0</v>
      </c>
      <c r="J4" s="138">
        <f ca="1"/>
        <v>0</v>
      </c>
      <c r="K4" s="138">
        <f ca="1"/>
        <v>0</v>
      </c>
      <c r="L4" s="138">
        <f ca="1"/>
        <v>0</v>
      </c>
      <c r="M4" s="138">
        <f ca="1"/>
        <v>0</v>
      </c>
      <c r="N4" s="138">
        <f ca="1"/>
        <v>0</v>
      </c>
      <c r="O4" s="138">
        <f ca="1"/>
        <v>0</v>
      </c>
      <c r="P4" s="138">
        <f ca="1"/>
        <v>0</v>
      </c>
      <c r="Q4" s="138">
        <f ca="1"/>
        <v>0</v>
      </c>
      <c r="R4" s="138">
        <f ca="1"/>
        <v>0</v>
      </c>
      <c r="S4" s="138">
        <f ca="1"/>
        <v>0</v>
      </c>
      <c r="T4" s="138">
        <f ca="1"/>
        <v>0</v>
      </c>
      <c r="U4" s="138">
        <f ca="1"/>
        <v>0</v>
      </c>
      <c r="V4" s="138">
        <f ca="1"/>
        <v>0</v>
      </c>
      <c r="W4" s="138">
        <f ca="1"/>
        <v>0</v>
      </c>
      <c r="X4" s="138">
        <f ca="1"/>
        <v>0</v>
      </c>
      <c r="Y4" s="138">
        <f ca="1"/>
        <v>0</v>
      </c>
      <c r="Z4" s="138">
        <f ca="1"/>
        <v>0</v>
      </c>
      <c r="AA4" s="138">
        <f ca="1"/>
        <v>0</v>
      </c>
      <c r="AB4" s="138">
        <f ca="1"/>
        <v>0</v>
      </c>
      <c r="AC4" s="138">
        <f ca="1"/>
        <v>0</v>
      </c>
    </row>
  </sheetData>
  <sheetProtection algorithmName="SHA-512" hashValue="R060KDBE4ziz52+iEApGhOUl7fSRydOSssNxFqVRnXxXLeQlBHQQvOAgrsDuqX80KbfQ2V1w7Mw9tGQvn0jd1Q==" saltValue="A17uVDjtQhN2eqYGYZRw0g==" spinCount="100000" sheet="1" objects="1" scenarios="1"/>
  <pageMargins left="0.7" right="0.7" top="0.75" bottom="0.75" header="0.3" footer="0.3"/>
  <ignoredErrors>
    <ignoredError sqref="A24:XFD1048576 AD1:XFD1 AA6:XFD23 AD3:XFD3 AD2:XFD2" unlocked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85459-D5BD-4392-A265-250D4B4A3EAC}">
  <sheetPr codeName="Sheet52"/>
  <dimension ref="A1:AC5"/>
  <sheetViews>
    <sheetView workbookViewId="0">
      <selection activeCell="A3" sqref="A3"/>
    </sheetView>
  </sheetViews>
  <sheetFormatPr defaultColWidth="5.6640625" defaultRowHeight="14.4" x14ac:dyDescent="0.3"/>
  <cols>
    <col min="1" max="16384" width="5.6640625" style="138"/>
  </cols>
  <sheetData>
    <row r="1" spans="1:29" x14ac:dyDescent="0.3">
      <c r="A1" s="138" t="s">
        <v>1200</v>
      </c>
      <c r="B1" s="138" t="s">
        <v>1201</v>
      </c>
      <c r="C1" s="139" t="s">
        <v>1202</v>
      </c>
      <c r="D1" s="139" t="s">
        <v>1203</v>
      </c>
      <c r="E1" s="139" t="s">
        <v>1204</v>
      </c>
      <c r="F1" s="139" t="s">
        <v>1205</v>
      </c>
      <c r="G1" s="139" t="s">
        <v>1206</v>
      </c>
      <c r="H1" s="139" t="s">
        <v>1207</v>
      </c>
      <c r="I1" s="139" t="s">
        <v>1208</v>
      </c>
      <c r="J1" s="139" t="s">
        <v>1209</v>
      </c>
      <c r="K1" s="139" t="s">
        <v>1210</v>
      </c>
      <c r="L1" s="139" t="s">
        <v>1211</v>
      </c>
      <c r="M1" s="139" t="s">
        <v>1212</v>
      </c>
      <c r="N1" s="139" t="s">
        <v>1213</v>
      </c>
      <c r="O1" s="139" t="s">
        <v>1214</v>
      </c>
      <c r="P1" s="139" t="s">
        <v>1215</v>
      </c>
      <c r="Q1" s="139" t="s">
        <v>1216</v>
      </c>
      <c r="R1" s="139" t="s">
        <v>1217</v>
      </c>
      <c r="S1" s="139" t="s">
        <v>1218</v>
      </c>
      <c r="T1" s="139" t="s">
        <v>1219</v>
      </c>
      <c r="U1" s="139" t="s">
        <v>1220</v>
      </c>
      <c r="V1" s="139" t="s">
        <v>1221</v>
      </c>
      <c r="W1" s="139" t="s">
        <v>1222</v>
      </c>
      <c r="X1" s="139" t="s">
        <v>1223</v>
      </c>
      <c r="Y1" s="139" t="s">
        <v>1224</v>
      </c>
      <c r="Z1" s="139" t="s">
        <v>1225</v>
      </c>
      <c r="AA1" s="138" t="s">
        <v>45</v>
      </c>
      <c r="AB1" s="138" t="s">
        <v>46</v>
      </c>
      <c r="AC1" s="138" t="s">
        <v>47</v>
      </c>
    </row>
    <row r="2" spans="1:29" x14ac:dyDescent="0.3">
      <c r="A2" s="138" cm="1">
        <f t="array" aca="1" ref="A2:Z4" ca="1">OFFSET(De1H!A10,0,0,Internal!$B$2,1+1+24)</f>
        <v>1</v>
      </c>
      <c r="B2" s="138" t="str">
        <f ca="1"/>
        <v>Domestic</v>
      </c>
      <c r="C2" s="138">
        <f ca="1"/>
        <v>0</v>
      </c>
      <c r="D2" s="138">
        <f ca="1"/>
        <v>0</v>
      </c>
      <c r="E2" s="138">
        <f ca="1"/>
        <v>0</v>
      </c>
      <c r="F2" s="138">
        <f ca="1"/>
        <v>0</v>
      </c>
      <c r="G2" s="138">
        <f ca="1"/>
        <v>0</v>
      </c>
      <c r="H2" s="138">
        <f ca="1"/>
        <v>0</v>
      </c>
      <c r="I2" s="138">
        <f ca="1"/>
        <v>0</v>
      </c>
      <c r="J2" s="138">
        <f ca="1"/>
        <v>0</v>
      </c>
      <c r="K2" s="138">
        <f ca="1"/>
        <v>0</v>
      </c>
      <c r="L2" s="138">
        <f ca="1"/>
        <v>0</v>
      </c>
      <c r="M2" s="138">
        <f ca="1"/>
        <v>0</v>
      </c>
      <c r="N2" s="138">
        <f ca="1"/>
        <v>0</v>
      </c>
      <c r="O2" s="138">
        <f ca="1"/>
        <v>0</v>
      </c>
      <c r="P2" s="138">
        <f ca="1"/>
        <v>0</v>
      </c>
      <c r="Q2" s="138">
        <f ca="1"/>
        <v>0</v>
      </c>
      <c r="R2" s="138">
        <f ca="1"/>
        <v>0</v>
      </c>
      <c r="S2" s="138">
        <f ca="1"/>
        <v>0</v>
      </c>
      <c r="T2" s="138">
        <f ca="1"/>
        <v>0</v>
      </c>
      <c r="U2" s="138">
        <f ca="1"/>
        <v>0</v>
      </c>
      <c r="V2" s="138">
        <f ca="1"/>
        <v>0</v>
      </c>
      <c r="W2" s="138">
        <f ca="1"/>
        <v>0</v>
      </c>
      <c r="X2" s="138">
        <f ca="1"/>
        <v>0.4</v>
      </c>
      <c r="Y2" s="138">
        <f ca="1"/>
        <v>0</v>
      </c>
      <c r="Z2" s="138">
        <f ca="1"/>
        <v>0</v>
      </c>
      <c r="AA2" s="151" cm="1">
        <f t="array" aca="1" ref="AA2:AC4" ca="1">OFFSET(De1H!AB10,0,0,Internal!$B$2,3)</f>
        <v>0.4</v>
      </c>
      <c r="AB2" s="151">
        <f ca="1"/>
        <v>0.4</v>
      </c>
      <c r="AC2" s="151">
        <f ca="1"/>
        <v>0.4</v>
      </c>
    </row>
    <row r="3" spans="1:29" x14ac:dyDescent="0.3">
      <c r="A3" s="138">
        <f ca="1"/>
        <v>2</v>
      </c>
      <c r="B3" s="138" t="str">
        <f ca="1"/>
        <v>Commercial</v>
      </c>
      <c r="C3" s="138">
        <f ca="1"/>
        <v>0</v>
      </c>
      <c r="D3" s="138">
        <f ca="1"/>
        <v>0</v>
      </c>
      <c r="E3" s="138">
        <f ca="1"/>
        <v>0</v>
      </c>
      <c r="F3" s="138">
        <f ca="1"/>
        <v>0</v>
      </c>
      <c r="G3" s="138">
        <f ca="1"/>
        <v>0</v>
      </c>
      <c r="H3" s="138">
        <f ca="1"/>
        <v>0</v>
      </c>
      <c r="I3" s="138">
        <f ca="1"/>
        <v>0</v>
      </c>
      <c r="J3" s="138">
        <f ca="1"/>
        <v>0</v>
      </c>
      <c r="K3" s="138">
        <f ca="1"/>
        <v>0</v>
      </c>
      <c r="L3" s="138">
        <f ca="1"/>
        <v>0</v>
      </c>
      <c r="M3" s="138">
        <f ca="1"/>
        <v>0</v>
      </c>
      <c r="N3" s="138">
        <f ca="1"/>
        <v>0</v>
      </c>
      <c r="O3" s="138">
        <f ca="1"/>
        <v>0</v>
      </c>
      <c r="P3" s="138">
        <f ca="1"/>
        <v>0</v>
      </c>
      <c r="Q3" s="138">
        <f ca="1"/>
        <v>0</v>
      </c>
      <c r="R3" s="138">
        <f ca="1"/>
        <v>0</v>
      </c>
      <c r="S3" s="138">
        <f ca="1"/>
        <v>0</v>
      </c>
      <c r="T3" s="138">
        <f ca="1"/>
        <v>0</v>
      </c>
      <c r="U3" s="138">
        <f ca="1"/>
        <v>0</v>
      </c>
      <c r="V3" s="138">
        <f ca="1"/>
        <v>0</v>
      </c>
      <c r="W3" s="138">
        <f ca="1"/>
        <v>0</v>
      </c>
      <c r="X3" s="138">
        <f ca="1"/>
        <v>0</v>
      </c>
      <c r="Y3" s="138">
        <f ca="1"/>
        <v>0</v>
      </c>
      <c r="Z3" s="138">
        <f ca="1"/>
        <v>0</v>
      </c>
      <c r="AA3" s="151">
        <f ca="1"/>
        <v>0</v>
      </c>
      <c r="AB3" s="151">
        <f ca="1"/>
        <v>0</v>
      </c>
      <c r="AC3" s="151">
        <f ca="1"/>
        <v>0</v>
      </c>
    </row>
    <row r="4" spans="1:29" x14ac:dyDescent="0.3">
      <c r="A4" s="138">
        <f ca="1"/>
        <v>3</v>
      </c>
      <c r="B4" s="138" t="str">
        <f ca="1"/>
        <v>Industrial</v>
      </c>
      <c r="C4" s="138">
        <f ca="1"/>
        <v>0</v>
      </c>
      <c r="D4" s="138">
        <f ca="1"/>
        <v>0</v>
      </c>
      <c r="E4" s="138">
        <f ca="1"/>
        <v>0</v>
      </c>
      <c r="F4" s="138">
        <f ca="1"/>
        <v>0</v>
      </c>
      <c r="G4" s="138">
        <f ca="1"/>
        <v>0</v>
      </c>
      <c r="H4" s="138">
        <f ca="1"/>
        <v>0</v>
      </c>
      <c r="I4" s="138">
        <f ca="1"/>
        <v>0</v>
      </c>
      <c r="J4" s="138">
        <f ca="1"/>
        <v>0</v>
      </c>
      <c r="K4" s="138">
        <f ca="1"/>
        <v>0</v>
      </c>
      <c r="L4" s="138">
        <f ca="1"/>
        <v>0</v>
      </c>
      <c r="M4" s="138">
        <f ca="1"/>
        <v>0</v>
      </c>
      <c r="N4" s="138">
        <f ca="1"/>
        <v>0</v>
      </c>
      <c r="O4" s="138">
        <f ca="1"/>
        <v>0</v>
      </c>
      <c r="P4" s="138">
        <f ca="1"/>
        <v>0</v>
      </c>
      <c r="Q4" s="138">
        <f ca="1"/>
        <v>0</v>
      </c>
      <c r="R4" s="138">
        <f ca="1"/>
        <v>0</v>
      </c>
      <c r="S4" s="138">
        <f ca="1"/>
        <v>0</v>
      </c>
      <c r="T4" s="138">
        <f ca="1"/>
        <v>0</v>
      </c>
      <c r="U4" s="138">
        <f ca="1"/>
        <v>0</v>
      </c>
      <c r="V4" s="138">
        <f ca="1"/>
        <v>0</v>
      </c>
      <c r="W4" s="138">
        <f ca="1"/>
        <v>0</v>
      </c>
      <c r="X4" s="138">
        <f ca="1"/>
        <v>0</v>
      </c>
      <c r="Y4" s="138">
        <f ca="1"/>
        <v>0</v>
      </c>
      <c r="Z4" s="138">
        <f ca="1"/>
        <v>0</v>
      </c>
      <c r="AA4" s="151">
        <f ca="1"/>
        <v>0</v>
      </c>
      <c r="AB4" s="151">
        <f ca="1"/>
        <v>0</v>
      </c>
      <c r="AC4" s="151">
        <f ca="1"/>
        <v>0</v>
      </c>
    </row>
    <row r="5" spans="1:29" x14ac:dyDescent="0.3">
      <c r="AA5" s="151"/>
      <c r="AB5" s="151"/>
      <c r="AC5" s="151"/>
    </row>
  </sheetData>
  <sheetProtection algorithmName="SHA-512" hashValue="XtsccU8xnBvoJYxwYXk7jqQ5+2l3aKovUNmNvlrDgi7BNRBBJPydhi6nXbpbzmhnvPZTtXNgV+1c4L7AJKO10w==" saltValue="XAj4jWApuDC5VgEsJLFZKg==" spinCount="100000" sheet="1" objects="1" scenarios="1"/>
  <pageMargins left="0.7" right="0.7" top="0.75" bottom="0.75" header="0.3" footer="0.3"/>
  <ignoredErrors>
    <ignoredError sqref="A24:XFD1048576 AD1:XFD1 AA6:XFD23 AD3:XFD3 AD2:XFD2" unlocked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EF04D-7D07-44F2-AF36-0C3BA291D050}">
  <sheetPr codeName="Sheet53"/>
  <dimension ref="A1:D21"/>
  <sheetViews>
    <sheetView workbookViewId="0"/>
  </sheetViews>
  <sheetFormatPr defaultColWidth="5.6640625" defaultRowHeight="14.4" x14ac:dyDescent="0.3"/>
  <cols>
    <col min="1" max="4" width="13.77734375" style="138" customWidth="1"/>
    <col min="5" max="16384" width="5.6640625" style="138"/>
  </cols>
  <sheetData>
    <row r="1" spans="1:4" x14ac:dyDescent="0.3">
      <c r="A1" s="138" t="s">
        <v>1226</v>
      </c>
      <c r="B1" s="138" t="s">
        <v>1227</v>
      </c>
      <c r="C1" s="138" t="s">
        <v>50</v>
      </c>
      <c r="D1" s="138" t="s">
        <v>1228</v>
      </c>
    </row>
    <row r="2" spans="1:4" x14ac:dyDescent="0.3">
      <c r="A2" s="138" cm="1">
        <f t="array" aca="1" ref="A2:D21" ca="1">OFFSET('De2'!A14,0,0,Internal!$B$3,4)</f>
        <v>1</v>
      </c>
      <c r="B2" s="138" t="str">
        <f ca="1"/>
        <v>residential_S</v>
      </c>
      <c r="C2" s="138">
        <f ca="1"/>
        <v>4</v>
      </c>
      <c r="D2" s="138">
        <f ca="1"/>
        <v>1</v>
      </c>
    </row>
    <row r="3" spans="1:4" x14ac:dyDescent="0.3">
      <c r="A3" s="138">
        <f ca="1"/>
        <v>2</v>
      </c>
      <c r="B3" s="138" t="str">
        <f ca="1"/>
        <v>residential_M</v>
      </c>
      <c r="C3" s="138">
        <f ca="1"/>
        <v>4</v>
      </c>
      <c r="D3" s="138">
        <f ca="1"/>
        <v>1</v>
      </c>
    </row>
    <row r="4" spans="1:4" x14ac:dyDescent="0.3">
      <c r="A4" s="138">
        <f ca="1"/>
        <v>3</v>
      </c>
      <c r="B4" s="138" t="str">
        <f ca="1"/>
        <v>residential_L</v>
      </c>
      <c r="C4" s="138">
        <f ca="1"/>
        <v>4</v>
      </c>
      <c r="D4" s="138">
        <f ca="1"/>
        <v>1</v>
      </c>
    </row>
    <row r="5" spans="1:4" x14ac:dyDescent="0.3">
      <c r="A5" s="138">
        <f ca="1"/>
        <v>4</v>
      </c>
      <c r="B5" s="138" t="str">
        <f ca="1"/>
        <v>residential_XL</v>
      </c>
      <c r="C5" s="138">
        <f ca="1"/>
        <v>4</v>
      </c>
      <c r="D5" s="138">
        <f ca="1"/>
        <v>2</v>
      </c>
    </row>
    <row r="6" spans="1:4" x14ac:dyDescent="0.3">
      <c r="A6" s="138">
        <f ca="1"/>
        <v>5</v>
      </c>
      <c r="B6" s="138" t="str">
        <f ca="1"/>
        <v>commercial_S</v>
      </c>
      <c r="C6" s="138">
        <f ca="1"/>
        <v>4</v>
      </c>
      <c r="D6" s="138">
        <f ca="1"/>
        <v>2</v>
      </c>
    </row>
    <row r="7" spans="1:4" x14ac:dyDescent="0.3">
      <c r="A7" s="138">
        <f ca="1"/>
        <v>6</v>
      </c>
      <c r="B7" s="138" t="str">
        <f ca="1"/>
        <v>commercial_L</v>
      </c>
      <c r="C7" s="138">
        <f ca="1"/>
        <v>3</v>
      </c>
      <c r="D7" s="138">
        <f ca="1"/>
        <v>10</v>
      </c>
    </row>
    <row r="8" spans="1:4" x14ac:dyDescent="0.3">
      <c r="A8" s="138">
        <f ca="1"/>
        <v>7</v>
      </c>
      <c r="B8" s="138" t="str">
        <f ca="1"/>
        <v>hotel</v>
      </c>
      <c r="C8" s="138">
        <f ca="1"/>
        <v>4</v>
      </c>
      <c r="D8" s="138">
        <f ca="1"/>
        <v>15</v>
      </c>
    </row>
    <row r="9" spans="1:4" x14ac:dyDescent="0.3">
      <c r="A9" s="138">
        <f ca="1"/>
        <v>8</v>
      </c>
      <c r="B9" s="138" t="str">
        <f ca="1"/>
        <v>commercial-CC</v>
      </c>
      <c r="C9" s="138">
        <f ca="1"/>
        <v>3</v>
      </c>
      <c r="D9" s="138">
        <f ca="1"/>
        <v>5</v>
      </c>
    </row>
    <row r="10" spans="1:4" x14ac:dyDescent="0.3">
      <c r="A10" s="138">
        <f ca="1"/>
        <v>9</v>
      </c>
      <c r="B10" s="138" t="str">
        <f ca="1"/>
        <v>industry_S-CC</v>
      </c>
      <c r="C10" s="138">
        <f ca="1"/>
        <v>3</v>
      </c>
      <c r="D10" s="138">
        <f ca="1"/>
        <v>20</v>
      </c>
    </row>
    <row r="11" spans="1:4" x14ac:dyDescent="0.3">
      <c r="A11" s="138">
        <f ca="1"/>
        <v>10</v>
      </c>
      <c r="B11" s="138" t="str">
        <f ca="1"/>
        <v>industry_L-CC</v>
      </c>
      <c r="C11" s="138">
        <f ca="1"/>
        <v>3</v>
      </c>
      <c r="D11" s="138">
        <f ca="1"/>
        <v>40</v>
      </c>
    </row>
    <row r="12" spans="1:4" x14ac:dyDescent="0.3">
      <c r="A12" s="138">
        <f ca="1"/>
        <v>11</v>
      </c>
      <c r="B12" s="138" t="str">
        <f ca="1"/>
        <v>industry</v>
      </c>
      <c r="C12" s="138">
        <f ca="1"/>
        <v>2</v>
      </c>
      <c r="D12" s="138">
        <f ca="1"/>
        <v>20</v>
      </c>
    </row>
    <row r="13" spans="1:4" x14ac:dyDescent="0.3">
      <c r="A13" s="138">
        <f ca="1"/>
        <v>12</v>
      </c>
      <c r="B13" s="138" t="str">
        <f ca="1"/>
        <v>education_S</v>
      </c>
      <c r="C13" s="138">
        <f ca="1"/>
        <v>3</v>
      </c>
      <c r="D13" s="138">
        <f ca="1"/>
        <v>10</v>
      </c>
    </row>
    <row r="14" spans="1:4" x14ac:dyDescent="0.3">
      <c r="A14" s="138">
        <f ca="1"/>
        <v>13</v>
      </c>
      <c r="B14" s="138" t="str">
        <f ca="1"/>
        <v>education_L</v>
      </c>
      <c r="C14" s="138">
        <f ca="1"/>
        <v>3</v>
      </c>
      <c r="D14" s="138">
        <f ca="1"/>
        <v>30</v>
      </c>
    </row>
    <row r="15" spans="1:4" x14ac:dyDescent="0.3">
      <c r="A15" s="138">
        <f ca="1"/>
        <v>14</v>
      </c>
      <c r="B15" s="138" t="str">
        <f ca="1"/>
        <v>restaurant_S</v>
      </c>
      <c r="C15" s="138">
        <f ca="1"/>
        <v>4</v>
      </c>
      <c r="D15" s="138">
        <f ca="1"/>
        <v>1</v>
      </c>
    </row>
    <row r="16" spans="1:4" x14ac:dyDescent="0.3">
      <c r="A16" s="138">
        <f ca="1"/>
        <v>15</v>
      </c>
      <c r="B16" s="138" t="str">
        <f ca="1"/>
        <v>restaurant_M</v>
      </c>
      <c r="C16" s="138">
        <f ca="1"/>
        <v>4</v>
      </c>
      <c r="D16" s="138">
        <f ca="1"/>
        <v>5</v>
      </c>
    </row>
    <row r="17" spans="1:4" x14ac:dyDescent="0.3">
      <c r="A17" s="138">
        <f ca="1"/>
        <v>16</v>
      </c>
      <c r="B17" s="138" t="str">
        <f ca="1"/>
        <v>restaurant_L</v>
      </c>
      <c r="C17" s="138">
        <f ca="1"/>
        <v>4</v>
      </c>
      <c r="D17" s="138">
        <f ca="1"/>
        <v>10</v>
      </c>
    </row>
    <row r="18" spans="1:4" x14ac:dyDescent="0.3">
      <c r="A18" s="138">
        <f ca="1"/>
        <v>17</v>
      </c>
      <c r="B18" s="138" t="str">
        <f ca="1"/>
        <v>hospital</v>
      </c>
      <c r="C18" s="138">
        <f ca="1"/>
        <v>3</v>
      </c>
      <c r="D18" s="138">
        <f ca="1"/>
        <v>30</v>
      </c>
    </row>
    <row r="19" spans="1:4" x14ac:dyDescent="0.3">
      <c r="A19" s="138">
        <f ca="1"/>
        <v>18</v>
      </c>
      <c r="B19" s="138" t="str">
        <f ca="1"/>
        <v>office</v>
      </c>
      <c r="C19" s="138">
        <f ca="1"/>
        <v>3</v>
      </c>
      <c r="D19" s="138">
        <f ca="1"/>
        <v>25</v>
      </c>
    </row>
    <row r="20" spans="1:4" x14ac:dyDescent="0.3">
      <c r="A20" s="138">
        <f ca="1"/>
        <v>19</v>
      </c>
      <c r="B20" s="138" t="str">
        <f ca="1"/>
        <v>airport</v>
      </c>
      <c r="C20" s="138">
        <f ca="1"/>
        <v>3</v>
      </c>
      <c r="D20" s="138">
        <f ca="1"/>
        <v>1500</v>
      </c>
    </row>
    <row r="21" spans="1:4" x14ac:dyDescent="0.3">
      <c r="A21" s="138">
        <f ca="1"/>
        <v>20</v>
      </c>
      <c r="B21" s="138" t="str">
        <f ca="1"/>
        <v>residential_GR</v>
      </c>
      <c r="C21" s="138">
        <f ca="1"/>
        <v>3</v>
      </c>
      <c r="D21" s="138">
        <f ca="1"/>
        <v>100</v>
      </c>
    </row>
  </sheetData>
  <pageMargins left="0.7" right="0.7" top="0.75" bottom="0.75" header="0.3" footer="0.3"/>
  <ignoredErrors>
    <ignoredError sqref="BK22:XFD22 AV23:XFD34 E1:XFD1 BC2:XFD5 A35:XFD1048576" unlocked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3BCA9-8B96-410D-9BB4-BC0F5AAAAB3F}">
  <sheetPr codeName="Sheet62"/>
  <dimension ref="A1:N11"/>
  <sheetViews>
    <sheetView workbookViewId="0"/>
  </sheetViews>
  <sheetFormatPr defaultColWidth="5.6640625" defaultRowHeight="14.4" x14ac:dyDescent="0.3"/>
  <cols>
    <col min="1" max="14" width="13.77734375" style="138" customWidth="1"/>
    <col min="15" max="16384" width="5.6640625" style="138"/>
  </cols>
  <sheetData>
    <row r="1" spans="1:14" x14ac:dyDescent="0.3">
      <c r="A1" s="138" t="s">
        <v>1270</v>
      </c>
      <c r="B1" s="138" t="s">
        <v>1271</v>
      </c>
      <c r="C1" s="138" t="s">
        <v>1272</v>
      </c>
      <c r="D1" s="138" t="s">
        <v>1273</v>
      </c>
      <c r="E1" s="138" t="s">
        <v>1274</v>
      </c>
      <c r="F1" s="138" t="s">
        <v>58</v>
      </c>
      <c r="G1" s="138" t="s">
        <v>1275</v>
      </c>
      <c r="H1" s="138" t="s">
        <v>1276</v>
      </c>
      <c r="I1" s="138" t="s">
        <v>1277</v>
      </c>
      <c r="J1" s="138" t="s">
        <v>1278</v>
      </c>
      <c r="K1" s="138" t="s">
        <v>1261</v>
      </c>
      <c r="L1" s="138" t="s">
        <v>1245</v>
      </c>
      <c r="M1" s="138" t="s">
        <v>1241</v>
      </c>
      <c r="N1" s="138" t="s">
        <v>1279</v>
      </c>
    </row>
    <row r="2" spans="1:14" x14ac:dyDescent="0.3">
      <c r="A2" s="138" cm="1">
        <f t="array" aca="1" ref="A2:N11" ca="1">OFFSET('De4'!A17,0,0,Internal!$B$4,14)</f>
        <v>1</v>
      </c>
      <c r="B2" s="138" t="str">
        <f ca="1"/>
        <v>adm_R</v>
      </c>
      <c r="C2" s="138">
        <f ca="1"/>
        <v>0</v>
      </c>
      <c r="D2" s="138">
        <f ca="1"/>
        <v>0.3</v>
      </c>
      <c r="E2" s="138">
        <f ca="1"/>
        <v>20</v>
      </c>
      <c r="F2" s="138">
        <f ca="1"/>
        <v>7.0000000000000007E-2</v>
      </c>
      <c r="G2" s="138">
        <f ca="1"/>
        <v>0.2</v>
      </c>
      <c r="H2" s="138">
        <f ca="1"/>
        <v>4</v>
      </c>
      <c r="I2" s="138">
        <f ca="1"/>
        <v>6</v>
      </c>
      <c r="J2" s="138">
        <f ca="1"/>
        <v>0.35</v>
      </c>
      <c r="K2" s="138">
        <f ca="1"/>
        <v>0.2</v>
      </c>
      <c r="L2" s="138">
        <f ca="1"/>
        <v>0.7</v>
      </c>
      <c r="M2" s="138">
        <f ca="1"/>
        <v>0.05</v>
      </c>
      <c r="N2" s="138">
        <f ca="1"/>
        <v>0.05</v>
      </c>
    </row>
    <row r="3" spans="1:14" x14ac:dyDescent="0.3">
      <c r="A3" s="138">
        <f ca="1"/>
        <v>2</v>
      </c>
      <c r="B3" s="138" t="str">
        <f ca="1"/>
        <v>com_R</v>
      </c>
      <c r="C3" s="138">
        <f ca="1"/>
        <v>0</v>
      </c>
      <c r="D3" s="138">
        <f ca="1"/>
        <v>0.3</v>
      </c>
      <c r="E3" s="138">
        <f ca="1"/>
        <v>20</v>
      </c>
      <c r="F3" s="138">
        <f ca="1"/>
        <v>7.0000000000000007E-2</v>
      </c>
      <c r="G3" s="138">
        <f ca="1"/>
        <v>0.2</v>
      </c>
      <c r="H3" s="138">
        <f ca="1"/>
        <v>4</v>
      </c>
      <c r="I3" s="138">
        <f ca="1"/>
        <v>6</v>
      </c>
      <c r="J3" s="138">
        <f ca="1"/>
        <v>0.35</v>
      </c>
      <c r="K3" s="138">
        <f ca="1"/>
        <v>0.2</v>
      </c>
      <c r="L3" s="138">
        <f ca="1"/>
        <v>0.7</v>
      </c>
      <c r="M3" s="138">
        <f ca="1"/>
        <v>0.05</v>
      </c>
      <c r="N3" s="138">
        <f ca="1"/>
        <v>0.05</v>
      </c>
    </row>
    <row r="4" spans="1:14" x14ac:dyDescent="0.3">
      <c r="A4" s="138">
        <f ca="1"/>
        <v>3</v>
      </c>
      <c r="B4" s="138" t="str">
        <f ca="1"/>
        <v>res_low_R</v>
      </c>
      <c r="C4" s="138">
        <f ca="1"/>
        <v>0</v>
      </c>
      <c r="D4" s="138">
        <f ca="1"/>
        <v>0.3</v>
      </c>
      <c r="E4" s="138">
        <f ca="1"/>
        <v>20</v>
      </c>
      <c r="F4" s="138">
        <f ca="1"/>
        <v>7.0000000000000007E-2</v>
      </c>
      <c r="G4" s="138">
        <f ca="1"/>
        <v>0.2</v>
      </c>
      <c r="H4" s="138">
        <f ca="1"/>
        <v>4</v>
      </c>
      <c r="I4" s="138">
        <f ca="1"/>
        <v>6</v>
      </c>
      <c r="J4" s="138">
        <f ca="1"/>
        <v>0.35</v>
      </c>
      <c r="K4" s="138">
        <f ca="1"/>
        <v>0.2</v>
      </c>
      <c r="L4" s="138">
        <f ca="1"/>
        <v>0.7</v>
      </c>
      <c r="M4" s="138">
        <f ca="1"/>
        <v>0.05</v>
      </c>
      <c r="N4" s="138">
        <f ca="1"/>
        <v>0.05</v>
      </c>
    </row>
    <row r="5" spans="1:14" x14ac:dyDescent="0.3">
      <c r="A5" s="138">
        <f ca="1"/>
        <v>4</v>
      </c>
      <c r="B5" s="138" t="str">
        <f ca="1"/>
        <v>res_med_R</v>
      </c>
      <c r="C5" s="138">
        <f ca="1"/>
        <v>0</v>
      </c>
      <c r="D5" s="138">
        <f ca="1"/>
        <v>0.3</v>
      </c>
      <c r="E5" s="138">
        <f ca="1"/>
        <v>20</v>
      </c>
      <c r="F5" s="138">
        <f ca="1"/>
        <v>7.0000000000000007E-2</v>
      </c>
      <c r="G5" s="138">
        <f ca="1"/>
        <v>0.2</v>
      </c>
      <c r="H5" s="138">
        <f ca="1"/>
        <v>4</v>
      </c>
      <c r="I5" s="138">
        <f ca="1"/>
        <v>6</v>
      </c>
      <c r="J5" s="138">
        <f ca="1"/>
        <v>0.35</v>
      </c>
      <c r="K5" s="138">
        <f ca="1"/>
        <v>0.2</v>
      </c>
      <c r="L5" s="138">
        <f ca="1"/>
        <v>0.7</v>
      </c>
      <c r="M5" s="138">
        <f ca="1"/>
        <v>0.05</v>
      </c>
      <c r="N5" s="138">
        <f ca="1"/>
        <v>0.05</v>
      </c>
    </row>
    <row r="6" spans="1:14" x14ac:dyDescent="0.3">
      <c r="A6" s="138">
        <f ca="1"/>
        <v>5</v>
      </c>
      <c r="B6" s="138" t="str">
        <f ca="1"/>
        <v>res_high_R</v>
      </c>
      <c r="C6" s="138">
        <f ca="1"/>
        <v>0</v>
      </c>
      <c r="D6" s="138">
        <f ca="1"/>
        <v>0.3</v>
      </c>
      <c r="E6" s="138">
        <f ca="1"/>
        <v>20</v>
      </c>
      <c r="F6" s="138">
        <f ca="1"/>
        <v>7.0000000000000007E-2</v>
      </c>
      <c r="G6" s="138">
        <f ca="1"/>
        <v>0.2</v>
      </c>
      <c r="H6" s="138">
        <f ca="1"/>
        <v>4</v>
      </c>
      <c r="I6" s="138">
        <f ca="1"/>
        <v>6</v>
      </c>
      <c r="J6" s="138">
        <f ca="1"/>
        <v>0.35</v>
      </c>
      <c r="K6" s="138">
        <f ca="1"/>
        <v>0.2</v>
      </c>
      <c r="L6" s="138">
        <f ca="1"/>
        <v>0.7</v>
      </c>
      <c r="M6" s="138">
        <f ca="1"/>
        <v>0.05</v>
      </c>
      <c r="N6" s="138">
        <f ca="1"/>
        <v>0.05</v>
      </c>
    </row>
    <row r="7" spans="1:14" x14ac:dyDescent="0.3">
      <c r="A7" s="138">
        <f ca="1"/>
        <v>6</v>
      </c>
      <c r="B7" s="138" t="str">
        <f ca="1"/>
        <v>adm_U</v>
      </c>
      <c r="C7" s="138">
        <f ca="1"/>
        <v>1</v>
      </c>
      <c r="D7" s="138">
        <f ca="1"/>
        <v>0.3</v>
      </c>
      <c r="E7" s="138">
        <f ca="1"/>
        <v>25</v>
      </c>
      <c r="F7" s="138">
        <f ca="1"/>
        <v>0.1</v>
      </c>
      <c r="G7" s="138">
        <f ca="1"/>
        <v>0.3</v>
      </c>
      <c r="H7" s="138">
        <f ca="1"/>
        <v>4</v>
      </c>
      <c r="I7" s="138">
        <f ca="1"/>
        <v>6</v>
      </c>
      <c r="J7" s="138">
        <f ca="1"/>
        <v>0.35</v>
      </c>
      <c r="K7" s="138">
        <f ca="1"/>
        <v>0.2</v>
      </c>
      <c r="L7" s="138">
        <f ca="1"/>
        <v>0.7</v>
      </c>
      <c r="M7" s="138">
        <f ca="1"/>
        <v>0.05</v>
      </c>
      <c r="N7" s="138">
        <f ca="1"/>
        <v>0.05</v>
      </c>
    </row>
    <row r="8" spans="1:14" x14ac:dyDescent="0.3">
      <c r="A8" s="138">
        <f ca="1"/>
        <v>7</v>
      </c>
      <c r="B8" s="138" t="str">
        <f ca="1"/>
        <v>com_U</v>
      </c>
      <c r="C8" s="138">
        <f ca="1"/>
        <v>1</v>
      </c>
      <c r="D8" s="138">
        <f ca="1"/>
        <v>0.3</v>
      </c>
      <c r="E8" s="138">
        <f ca="1"/>
        <v>25</v>
      </c>
      <c r="F8" s="138">
        <f ca="1"/>
        <v>0.1</v>
      </c>
      <c r="G8" s="138">
        <f ca="1"/>
        <v>0.3</v>
      </c>
      <c r="H8" s="138">
        <f ca="1"/>
        <v>4</v>
      </c>
      <c r="I8" s="138">
        <f ca="1"/>
        <v>6</v>
      </c>
      <c r="J8" s="138">
        <f ca="1"/>
        <v>0.35</v>
      </c>
      <c r="K8" s="138">
        <f ca="1"/>
        <v>0.2</v>
      </c>
      <c r="L8" s="138">
        <f ca="1"/>
        <v>0.7</v>
      </c>
      <c r="M8" s="138">
        <f ca="1"/>
        <v>0.05</v>
      </c>
      <c r="N8" s="138">
        <f ca="1"/>
        <v>0.05</v>
      </c>
    </row>
    <row r="9" spans="1:14" x14ac:dyDescent="0.3">
      <c r="A9" s="138">
        <f ca="1"/>
        <v>8</v>
      </c>
      <c r="B9" s="138" t="str">
        <f ca="1"/>
        <v>res_low_U</v>
      </c>
      <c r="C9" s="138">
        <f ca="1"/>
        <v>1</v>
      </c>
      <c r="D9" s="138">
        <f ca="1"/>
        <v>0.3</v>
      </c>
      <c r="E9" s="138">
        <f ca="1"/>
        <v>25</v>
      </c>
      <c r="F9" s="138">
        <f ca="1"/>
        <v>0.1</v>
      </c>
      <c r="G9" s="138">
        <f ca="1"/>
        <v>0.3</v>
      </c>
      <c r="H9" s="138">
        <f ca="1"/>
        <v>4</v>
      </c>
      <c r="I9" s="138">
        <f ca="1"/>
        <v>6</v>
      </c>
      <c r="J9" s="138">
        <f ca="1"/>
        <v>0.35</v>
      </c>
      <c r="K9" s="138">
        <f ca="1"/>
        <v>0.2</v>
      </c>
      <c r="L9" s="138">
        <f ca="1"/>
        <v>0.7</v>
      </c>
      <c r="M9" s="138">
        <f ca="1"/>
        <v>0.05</v>
      </c>
      <c r="N9" s="138">
        <f ca="1"/>
        <v>0.05</v>
      </c>
    </row>
    <row r="10" spans="1:14" x14ac:dyDescent="0.3">
      <c r="A10" s="138">
        <f ca="1"/>
        <v>9</v>
      </c>
      <c r="B10" s="138" t="str">
        <f ca="1"/>
        <v>res_med_U</v>
      </c>
      <c r="C10" s="138">
        <f ca="1"/>
        <v>1</v>
      </c>
      <c r="D10" s="138">
        <f ca="1"/>
        <v>0.3</v>
      </c>
      <c r="E10" s="138">
        <f ca="1"/>
        <v>25</v>
      </c>
      <c r="F10" s="138">
        <f ca="1"/>
        <v>0.1</v>
      </c>
      <c r="G10" s="138">
        <f ca="1"/>
        <v>0.3</v>
      </c>
      <c r="H10" s="138">
        <f ca="1"/>
        <v>4</v>
      </c>
      <c r="I10" s="138">
        <f ca="1"/>
        <v>6</v>
      </c>
      <c r="J10" s="138">
        <f ca="1"/>
        <v>0.35</v>
      </c>
      <c r="K10" s="138">
        <f ca="1"/>
        <v>0.2</v>
      </c>
      <c r="L10" s="138">
        <f ca="1"/>
        <v>0.7</v>
      </c>
      <c r="M10" s="138">
        <f ca="1"/>
        <v>0.05</v>
      </c>
      <c r="N10" s="138">
        <f ca="1"/>
        <v>0.05</v>
      </c>
    </row>
    <row r="11" spans="1:14" x14ac:dyDescent="0.3">
      <c r="A11" s="138">
        <f ca="1"/>
        <v>10</v>
      </c>
      <c r="B11" s="138" t="str">
        <f ca="1"/>
        <v>res_high_U</v>
      </c>
      <c r="C11" s="138">
        <f ca="1"/>
        <v>1</v>
      </c>
      <c r="D11" s="138">
        <f ca="1"/>
        <v>0.3</v>
      </c>
      <c r="E11" s="138">
        <f ca="1"/>
        <v>25</v>
      </c>
      <c r="F11" s="138">
        <f ca="1"/>
        <v>0.1</v>
      </c>
      <c r="G11" s="138">
        <f ca="1"/>
        <v>0.3</v>
      </c>
      <c r="H11" s="138">
        <f ca="1"/>
        <v>4</v>
      </c>
      <c r="I11" s="138">
        <f ca="1"/>
        <v>6</v>
      </c>
      <c r="J11" s="138">
        <f ca="1"/>
        <v>0.35</v>
      </c>
      <c r="K11" s="138">
        <f ca="1"/>
        <v>0.2</v>
      </c>
      <c r="L11" s="138">
        <f ca="1"/>
        <v>0.7</v>
      </c>
      <c r="M11" s="138">
        <f ca="1"/>
        <v>0.05</v>
      </c>
      <c r="N11" s="138">
        <f ca="1"/>
        <v>0.05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5746F-C50C-4672-A96D-0BEA76920111}">
  <sheetPr codeName="Sheet57"/>
  <dimension ref="A1:D7"/>
  <sheetViews>
    <sheetView workbookViewId="0">
      <selection activeCell="A2" sqref="A2"/>
    </sheetView>
  </sheetViews>
  <sheetFormatPr defaultColWidth="5.6640625" defaultRowHeight="14.4" x14ac:dyDescent="0.3"/>
  <cols>
    <col min="1" max="4" width="14.77734375" style="138" customWidth="1"/>
    <col min="5" max="16384" width="5.6640625" style="138"/>
  </cols>
  <sheetData>
    <row r="1" spans="1:4" x14ac:dyDescent="0.3">
      <c r="A1" s="138" t="s">
        <v>1238</v>
      </c>
      <c r="B1" s="138" t="s">
        <v>1239</v>
      </c>
      <c r="C1" s="138" t="s">
        <v>1240</v>
      </c>
      <c r="D1" s="138" t="s">
        <v>1241</v>
      </c>
    </row>
    <row r="2" spans="1:4" x14ac:dyDescent="0.3">
      <c r="A2" s="138" cm="1">
        <f t="array" aca="1" ref="A2:D7" ca="1">OFFSET('Ck1'!A21,0,0,Internal!$B$5,4)</f>
        <v>1</v>
      </c>
      <c r="B2" s="138" t="str">
        <f ca="1"/>
        <v>Electricity</v>
      </c>
      <c r="C2" s="138">
        <f ca="1"/>
        <v>0.13</v>
      </c>
      <c r="D2" s="138">
        <f ca="1"/>
        <v>0.2</v>
      </c>
    </row>
    <row r="3" spans="1:4" x14ac:dyDescent="0.3">
      <c r="A3" s="138">
        <f ca="1"/>
        <v>2</v>
      </c>
      <c r="B3" s="138" t="str">
        <f ca="1"/>
        <v>LPG</v>
      </c>
      <c r="C3" s="138">
        <f ca="1"/>
        <v>0.78600000000000003</v>
      </c>
      <c r="D3" s="138">
        <f ca="1"/>
        <v>1.5</v>
      </c>
    </row>
    <row r="4" spans="1:4" x14ac:dyDescent="0.3">
      <c r="A4" s="138">
        <f ca="1"/>
        <v>3</v>
      </c>
      <c r="B4" s="138" t="str">
        <f ca="1"/>
        <v>Wood</v>
      </c>
      <c r="C4" s="138">
        <f ca="1"/>
        <v>0.05</v>
      </c>
      <c r="D4" s="138">
        <f ca="1"/>
        <v>0.05</v>
      </c>
    </row>
    <row r="5" spans="1:4" x14ac:dyDescent="0.3">
      <c r="A5" s="138">
        <f ca="1"/>
        <v>4</v>
      </c>
      <c r="B5" s="138" t="str">
        <f ca="1"/>
        <v>Ethanol</v>
      </c>
      <c r="C5" s="138">
        <f ca="1"/>
        <v>0.03</v>
      </c>
      <c r="D5" s="138">
        <f ca="1"/>
        <v>0.03</v>
      </c>
    </row>
    <row r="6" spans="1:4" x14ac:dyDescent="0.3">
      <c r="A6" s="138">
        <f ca="1"/>
        <v>5</v>
      </c>
      <c r="B6" s="138" t="str">
        <f ca="1"/>
        <v>Livestock-Waste</v>
      </c>
      <c r="C6" s="138">
        <f ca="1"/>
        <v>0.04</v>
      </c>
      <c r="D6" s="138">
        <f ca="1"/>
        <v>0.04</v>
      </c>
    </row>
    <row r="7" spans="1:4" x14ac:dyDescent="0.3">
      <c r="A7" s="138">
        <f ca="1"/>
        <v>6</v>
      </c>
      <c r="B7" s="138" t="str">
        <f ca="1"/>
        <v>Crops-Waste</v>
      </c>
      <c r="C7" s="138">
        <f ca="1"/>
        <v>0.50700000000000001</v>
      </c>
      <c r="D7" s="138">
        <f ca="1"/>
        <v>1.2010000000000001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18B-15AF-4591-BE85-562F42F11BDF}">
  <sheetPr codeName="Sheet63"/>
  <dimension ref="A1:V11"/>
  <sheetViews>
    <sheetView workbookViewId="0"/>
  </sheetViews>
  <sheetFormatPr defaultColWidth="5.6640625" defaultRowHeight="14.4" x14ac:dyDescent="0.3"/>
  <cols>
    <col min="1" max="22" width="13.77734375" style="138" customWidth="1"/>
    <col min="23" max="16384" width="5.6640625" style="138"/>
  </cols>
  <sheetData>
    <row r="1" spans="1:22" x14ac:dyDescent="0.3">
      <c r="A1" s="138" t="s">
        <v>1270</v>
      </c>
      <c r="B1" s="138" t="s">
        <v>1271</v>
      </c>
      <c r="C1" s="138" t="s">
        <v>1272</v>
      </c>
      <c r="D1" s="138" t="str" cm="1">
        <f t="array" aca="1" ref="D1:V1" ca="1">TRANSPOSE(OFFSET(Internal!$S$1,1,0,Internal!$B$9,1))</f>
        <v>Electric_0</v>
      </c>
      <c r="E1" s="138" t="str">
        <f ca="1"/>
        <v>Electric_1</v>
      </c>
      <c r="F1" s="138" t="str">
        <f ca="1"/>
        <v>Electric_2</v>
      </c>
      <c r="G1" s="138" t="str">
        <f ca="1"/>
        <v>LPG</v>
      </c>
      <c r="H1" s="138" t="str">
        <f ca="1"/>
        <v>Biogas</v>
      </c>
      <c r="I1" s="138" t="str">
        <f ca="1"/>
        <v>Charcoal_0</v>
      </c>
      <c r="J1" s="138" t="str">
        <f ca="1"/>
        <v>Charcoal_1</v>
      </c>
      <c r="K1" s="138" t="str">
        <f ca="1"/>
        <v>Charcoal_2</v>
      </c>
      <c r="L1" s="138" t="str">
        <f ca="1"/>
        <v>Com-Firewood_0</v>
      </c>
      <c r="M1" s="138" t="str">
        <f ca="1"/>
        <v>Com-Firewood_1</v>
      </c>
      <c r="N1" s="138" t="str">
        <f ca="1"/>
        <v>Com-Firewood_2</v>
      </c>
      <c r="O1" s="138" t="str">
        <f ca="1"/>
        <v>Free-Biomass_0</v>
      </c>
      <c r="P1" s="138" t="str">
        <f ca="1"/>
        <v>Free-Biomass_1</v>
      </c>
      <c r="Q1" s="138" t="str">
        <f ca="1"/>
        <v>Free-Biomass_2</v>
      </c>
      <c r="R1" s="138" t="str">
        <f ca="1"/>
        <v>Pellets</v>
      </c>
      <c r="S1" s="138" t="str">
        <f ca="1"/>
        <v>Free-Firewood_0</v>
      </c>
      <c r="T1" s="138" t="str">
        <f ca="1"/>
        <v>Free-Firewood_1</v>
      </c>
      <c r="U1" s="138" t="str">
        <f ca="1"/>
        <v>Free-Firewood_2</v>
      </c>
      <c r="V1" s="138" t="str">
        <f ca="1"/>
        <v>Ethanol</v>
      </c>
    </row>
    <row r="2" spans="1:22" x14ac:dyDescent="0.3">
      <c r="A2" s="138" cm="1">
        <f t="array" aca="1" ref="A2:V11" ca="1">OFFSET('Ck2'!A10,0,0,Internal!$B$4,1+1+1+Internal!$B$9)</f>
        <v>1</v>
      </c>
      <c r="B2" s="138" t="str">
        <f ca="1"/>
        <v>adm_R</v>
      </c>
      <c r="C2" s="138">
        <f ca="1"/>
        <v>0</v>
      </c>
      <c r="D2" s="138">
        <f ca="1"/>
        <v>2E-3</v>
      </c>
      <c r="E2" s="138">
        <f ca="1"/>
        <v>1E-4</v>
      </c>
      <c r="F2" s="138">
        <f ca="1"/>
        <v>5.0000000000000002E-5</v>
      </c>
      <c r="G2" s="138">
        <f ca="1"/>
        <v>0.02</v>
      </c>
      <c r="H2" s="138">
        <f ca="1"/>
        <v>2.0000000000000001E-4</v>
      </c>
      <c r="I2" s="138">
        <f ca="1"/>
        <v>0.02</v>
      </c>
      <c r="J2" s="138">
        <f ca="1"/>
        <v>0.05</v>
      </c>
      <c r="K2" s="138">
        <f ca="1"/>
        <v>4.0000000000000001E-3</v>
      </c>
      <c r="L2" s="138">
        <f ca="1"/>
        <v>0.31</v>
      </c>
      <c r="M2" s="138">
        <f ca="1"/>
        <v>0.22600000000000001</v>
      </c>
      <c r="N2" s="138">
        <f ca="1"/>
        <v>2.7E-2</v>
      </c>
      <c r="O2" s="138">
        <f ca="1"/>
        <v>0.03</v>
      </c>
      <c r="P2" s="138">
        <f ca="1"/>
        <v>2.9000000000000001E-2</v>
      </c>
      <c r="Q2" s="138">
        <f ca="1"/>
        <v>1.4E-2</v>
      </c>
      <c r="R2" s="138">
        <f ca="1"/>
        <v>3.0000000000000001E-3</v>
      </c>
      <c r="S2" s="138">
        <f ca="1"/>
        <v>0.15</v>
      </c>
      <c r="T2" s="138">
        <f ca="1"/>
        <v>0.1</v>
      </c>
      <c r="U2" s="138">
        <f ca="1"/>
        <v>1.4649999999999941E-2</v>
      </c>
      <c r="V2" s="138">
        <f ca="1"/>
        <v>0</v>
      </c>
    </row>
    <row r="3" spans="1:22" x14ac:dyDescent="0.3">
      <c r="A3" s="138">
        <f ca="1"/>
        <v>2</v>
      </c>
      <c r="B3" s="138" t="str">
        <f ca="1"/>
        <v>com_R</v>
      </c>
      <c r="C3" s="138">
        <f ca="1"/>
        <v>0</v>
      </c>
      <c r="D3" s="138">
        <f ca="1"/>
        <v>2E-3</v>
      </c>
      <c r="E3" s="138">
        <f ca="1"/>
        <v>1E-4</v>
      </c>
      <c r="F3" s="138">
        <f ca="1"/>
        <v>5.0000000000000002E-5</v>
      </c>
      <c r="G3" s="138">
        <f ca="1"/>
        <v>0.02</v>
      </c>
      <c r="H3" s="138">
        <f ca="1"/>
        <v>2.0000000000000001E-4</v>
      </c>
      <c r="I3" s="138">
        <f ca="1"/>
        <v>0.02</v>
      </c>
      <c r="J3" s="138">
        <f ca="1"/>
        <v>0.05</v>
      </c>
      <c r="K3" s="138">
        <f ca="1"/>
        <v>4.0000000000000001E-3</v>
      </c>
      <c r="L3" s="138">
        <f ca="1"/>
        <v>0.31</v>
      </c>
      <c r="M3" s="138">
        <f ca="1"/>
        <v>0.22600000000000001</v>
      </c>
      <c r="N3" s="138">
        <f ca="1"/>
        <v>2.7E-2</v>
      </c>
      <c r="O3" s="138">
        <f ca="1"/>
        <v>0.03</v>
      </c>
      <c r="P3" s="138">
        <f ca="1"/>
        <v>2.9000000000000001E-2</v>
      </c>
      <c r="Q3" s="138">
        <f ca="1"/>
        <v>1.4E-2</v>
      </c>
      <c r="R3" s="138">
        <f ca="1"/>
        <v>3.0000000000000001E-3</v>
      </c>
      <c r="S3" s="138">
        <f ca="1"/>
        <v>0.15</v>
      </c>
      <c r="T3" s="138">
        <f ca="1"/>
        <v>0.1</v>
      </c>
      <c r="U3" s="138">
        <f ca="1"/>
        <v>1.4649999999999941E-2</v>
      </c>
      <c r="V3" s="138">
        <f ca="1"/>
        <v>0</v>
      </c>
    </row>
    <row r="4" spans="1:22" x14ac:dyDescent="0.3">
      <c r="A4" s="138">
        <f ca="1"/>
        <v>3</v>
      </c>
      <c r="B4" s="138" t="str">
        <f ca="1"/>
        <v>res_low_R</v>
      </c>
      <c r="C4" s="138">
        <f ca="1"/>
        <v>0</v>
      </c>
      <c r="D4" s="138">
        <f ca="1"/>
        <v>2E-3</v>
      </c>
      <c r="E4" s="138">
        <f ca="1"/>
        <v>1E-4</v>
      </c>
      <c r="F4" s="138">
        <f ca="1"/>
        <v>5.0000000000000002E-5</v>
      </c>
      <c r="G4" s="138">
        <f ca="1"/>
        <v>0.02</v>
      </c>
      <c r="H4" s="138">
        <f ca="1"/>
        <v>2.0000000000000001E-4</v>
      </c>
      <c r="I4" s="138">
        <f ca="1"/>
        <v>0.02</v>
      </c>
      <c r="J4" s="138">
        <f ca="1"/>
        <v>0.05</v>
      </c>
      <c r="K4" s="138">
        <f ca="1"/>
        <v>4.0000000000000001E-3</v>
      </c>
      <c r="L4" s="138">
        <f ca="1"/>
        <v>0.31</v>
      </c>
      <c r="M4" s="138">
        <f ca="1"/>
        <v>0.22600000000000001</v>
      </c>
      <c r="N4" s="138">
        <f ca="1"/>
        <v>2.7E-2</v>
      </c>
      <c r="O4" s="138">
        <f ca="1"/>
        <v>0.03</v>
      </c>
      <c r="P4" s="138">
        <f ca="1"/>
        <v>2.9000000000000001E-2</v>
      </c>
      <c r="Q4" s="138">
        <f ca="1"/>
        <v>1.4E-2</v>
      </c>
      <c r="R4" s="138">
        <f ca="1"/>
        <v>3.0000000000000001E-3</v>
      </c>
      <c r="S4" s="138">
        <f ca="1"/>
        <v>0.15</v>
      </c>
      <c r="T4" s="138">
        <f ca="1"/>
        <v>0.1</v>
      </c>
      <c r="U4" s="138">
        <f ca="1"/>
        <v>1.4649999999999941E-2</v>
      </c>
      <c r="V4" s="138">
        <f ca="1"/>
        <v>0</v>
      </c>
    </row>
    <row r="5" spans="1:22" x14ac:dyDescent="0.3">
      <c r="A5" s="138">
        <f ca="1"/>
        <v>4</v>
      </c>
      <c r="B5" s="138" t="str">
        <f ca="1"/>
        <v>res_med_R</v>
      </c>
      <c r="C5" s="138">
        <f ca="1"/>
        <v>0</v>
      </c>
      <c r="D5" s="138">
        <f ca="1"/>
        <v>2E-3</v>
      </c>
      <c r="E5" s="138">
        <f ca="1"/>
        <v>1E-4</v>
      </c>
      <c r="F5" s="138">
        <f ca="1"/>
        <v>5.0000000000000002E-5</v>
      </c>
      <c r="G5" s="138">
        <f ca="1"/>
        <v>0.02</v>
      </c>
      <c r="H5" s="138">
        <f ca="1"/>
        <v>2.0000000000000001E-4</v>
      </c>
      <c r="I5" s="138">
        <f ca="1"/>
        <v>0.02</v>
      </c>
      <c r="J5" s="138">
        <f ca="1"/>
        <v>0.05</v>
      </c>
      <c r="K5" s="138">
        <f ca="1"/>
        <v>4.0000000000000001E-3</v>
      </c>
      <c r="L5" s="138">
        <f ca="1"/>
        <v>0.31</v>
      </c>
      <c r="M5" s="138">
        <f ca="1"/>
        <v>0.22600000000000001</v>
      </c>
      <c r="N5" s="138">
        <f ca="1"/>
        <v>2.7E-2</v>
      </c>
      <c r="O5" s="138">
        <f ca="1"/>
        <v>0.03</v>
      </c>
      <c r="P5" s="138">
        <f ca="1"/>
        <v>2.9000000000000001E-2</v>
      </c>
      <c r="Q5" s="138">
        <f ca="1"/>
        <v>1.4E-2</v>
      </c>
      <c r="R5" s="138">
        <f ca="1"/>
        <v>3.0000000000000001E-3</v>
      </c>
      <c r="S5" s="138">
        <f ca="1"/>
        <v>0.15</v>
      </c>
      <c r="T5" s="138">
        <f ca="1"/>
        <v>0.1</v>
      </c>
      <c r="U5" s="138">
        <f ca="1"/>
        <v>1.4649999999999941E-2</v>
      </c>
      <c r="V5" s="138">
        <f ca="1"/>
        <v>0</v>
      </c>
    </row>
    <row r="6" spans="1:22" x14ac:dyDescent="0.3">
      <c r="A6" s="138">
        <f ca="1"/>
        <v>5</v>
      </c>
      <c r="B6" s="138" t="str">
        <f ca="1"/>
        <v>res_high_R</v>
      </c>
      <c r="C6" s="138">
        <f ca="1"/>
        <v>0</v>
      </c>
      <c r="D6" s="138">
        <f ca="1"/>
        <v>2E-3</v>
      </c>
      <c r="E6" s="138">
        <f ca="1"/>
        <v>1E-4</v>
      </c>
      <c r="F6" s="138">
        <f ca="1"/>
        <v>5.0000000000000002E-5</v>
      </c>
      <c r="G6" s="138">
        <f ca="1"/>
        <v>0.02</v>
      </c>
      <c r="H6" s="138">
        <f ca="1"/>
        <v>2.0000000000000001E-4</v>
      </c>
      <c r="I6" s="138">
        <f ca="1"/>
        <v>0.02</v>
      </c>
      <c r="J6" s="138">
        <f ca="1"/>
        <v>0.05</v>
      </c>
      <c r="K6" s="138">
        <f ca="1"/>
        <v>4.0000000000000001E-3</v>
      </c>
      <c r="L6" s="138">
        <f ca="1"/>
        <v>0.31</v>
      </c>
      <c r="M6" s="138">
        <f ca="1"/>
        <v>0.22600000000000001</v>
      </c>
      <c r="N6" s="138">
        <f ca="1"/>
        <v>2.7E-2</v>
      </c>
      <c r="O6" s="138">
        <f ca="1"/>
        <v>0.03</v>
      </c>
      <c r="P6" s="138">
        <f ca="1"/>
        <v>2.9000000000000001E-2</v>
      </c>
      <c r="Q6" s="138">
        <f ca="1"/>
        <v>1.4E-2</v>
      </c>
      <c r="R6" s="138">
        <f ca="1"/>
        <v>3.0000000000000001E-3</v>
      </c>
      <c r="S6" s="138">
        <f ca="1"/>
        <v>0.15</v>
      </c>
      <c r="T6" s="138">
        <f ca="1"/>
        <v>0.1</v>
      </c>
      <c r="U6" s="138">
        <f ca="1"/>
        <v>1.4649999999999941E-2</v>
      </c>
      <c r="V6" s="138">
        <f ca="1"/>
        <v>0</v>
      </c>
    </row>
    <row r="7" spans="1:22" x14ac:dyDescent="0.3">
      <c r="A7" s="138">
        <f ca="1"/>
        <v>6</v>
      </c>
      <c r="B7" s="138" t="str">
        <f ca="1"/>
        <v>adm_U</v>
      </c>
      <c r="C7" s="138">
        <f ca="1"/>
        <v>1</v>
      </c>
      <c r="D7" s="138">
        <f ca="1"/>
        <v>1.4999999999999999E-2</v>
      </c>
      <c r="E7" s="138">
        <f ca="1"/>
        <v>2E-3</v>
      </c>
      <c r="F7" s="138">
        <f ca="1"/>
        <v>1E-3</v>
      </c>
      <c r="G7" s="138">
        <f ca="1"/>
        <v>0.3</v>
      </c>
      <c r="H7" s="138">
        <f ca="1"/>
        <v>0</v>
      </c>
      <c r="I7" s="138">
        <f ca="1"/>
        <v>0.08</v>
      </c>
      <c r="J7" s="138">
        <f ca="1"/>
        <v>0.33</v>
      </c>
      <c r="K7" s="138">
        <f ca="1"/>
        <v>2.7E-2</v>
      </c>
      <c r="L7" s="138">
        <f ca="1"/>
        <v>0.08</v>
      </c>
      <c r="M7" s="138">
        <f ca="1"/>
        <v>0.05</v>
      </c>
      <c r="N7" s="138">
        <f ca="1"/>
        <v>1.4999999999999999E-2</v>
      </c>
      <c r="O7" s="138">
        <f ca="1"/>
        <v>8.0000000000000002E-3</v>
      </c>
      <c r="P7" s="138">
        <f ca="1"/>
        <v>5.0000000000000001E-3</v>
      </c>
      <c r="Q7" s="138">
        <f ca="1"/>
        <v>3.0000000000000001E-3</v>
      </c>
      <c r="R7" s="138">
        <f ca="1"/>
        <v>1E-3</v>
      </c>
      <c r="S7" s="138">
        <f ca="1"/>
        <v>0.03</v>
      </c>
      <c r="T7" s="138">
        <f ca="1"/>
        <v>1.4999999999999999E-2</v>
      </c>
      <c r="U7" s="138">
        <f ca="1"/>
        <v>1.7999999999999999E-2</v>
      </c>
      <c r="V7" s="138">
        <f ca="1"/>
        <v>2.0000000000000018E-2</v>
      </c>
    </row>
    <row r="8" spans="1:22" x14ac:dyDescent="0.3">
      <c r="A8" s="138">
        <f ca="1"/>
        <v>7</v>
      </c>
      <c r="B8" s="138" t="str">
        <f ca="1"/>
        <v>com_U</v>
      </c>
      <c r="C8" s="138">
        <f ca="1"/>
        <v>1</v>
      </c>
      <c r="D8" s="138">
        <f ca="1"/>
        <v>1.4999999999999999E-2</v>
      </c>
      <c r="E8" s="138">
        <f ca="1"/>
        <v>2E-3</v>
      </c>
      <c r="F8" s="138">
        <f ca="1"/>
        <v>1E-3</v>
      </c>
      <c r="G8" s="138">
        <f ca="1"/>
        <v>0.3</v>
      </c>
      <c r="H8" s="138">
        <f ca="1"/>
        <v>0</v>
      </c>
      <c r="I8" s="138">
        <f ca="1"/>
        <v>0.08</v>
      </c>
      <c r="J8" s="138">
        <f ca="1"/>
        <v>0.33</v>
      </c>
      <c r="K8" s="138">
        <f ca="1"/>
        <v>2.7E-2</v>
      </c>
      <c r="L8" s="138">
        <f ca="1"/>
        <v>0.08</v>
      </c>
      <c r="M8" s="138">
        <f ca="1"/>
        <v>0.05</v>
      </c>
      <c r="N8" s="138">
        <f ca="1"/>
        <v>1.4999999999999999E-2</v>
      </c>
      <c r="O8" s="138">
        <f ca="1"/>
        <v>8.0000000000000002E-3</v>
      </c>
      <c r="P8" s="138">
        <f ca="1"/>
        <v>5.0000000000000001E-3</v>
      </c>
      <c r="Q8" s="138">
        <f ca="1"/>
        <v>3.0000000000000001E-3</v>
      </c>
      <c r="R8" s="138">
        <f ca="1"/>
        <v>1E-3</v>
      </c>
      <c r="S8" s="138">
        <f ca="1"/>
        <v>0.03</v>
      </c>
      <c r="T8" s="138">
        <f ca="1"/>
        <v>1.4999999999999999E-2</v>
      </c>
      <c r="U8" s="138">
        <f ca="1"/>
        <v>1.7999999999999999E-2</v>
      </c>
      <c r="V8" s="138">
        <f ca="1"/>
        <v>2.0000000000000018E-2</v>
      </c>
    </row>
    <row r="9" spans="1:22" x14ac:dyDescent="0.3">
      <c r="A9" s="138">
        <f ca="1"/>
        <v>8</v>
      </c>
      <c r="B9" s="138" t="str">
        <f ca="1"/>
        <v>res_low_U</v>
      </c>
      <c r="C9" s="138">
        <f ca="1"/>
        <v>1</v>
      </c>
      <c r="D9" s="138">
        <f ca="1"/>
        <v>1.4999999999999999E-2</v>
      </c>
      <c r="E9" s="138">
        <f ca="1"/>
        <v>2E-3</v>
      </c>
      <c r="F9" s="138">
        <f ca="1"/>
        <v>1E-3</v>
      </c>
      <c r="G9" s="138">
        <f ca="1"/>
        <v>0.3</v>
      </c>
      <c r="H9" s="138">
        <f ca="1"/>
        <v>0</v>
      </c>
      <c r="I9" s="138">
        <f ca="1"/>
        <v>0.08</v>
      </c>
      <c r="J9" s="138">
        <f ca="1"/>
        <v>0.33</v>
      </c>
      <c r="K9" s="138">
        <f ca="1"/>
        <v>2.7E-2</v>
      </c>
      <c r="L9" s="138">
        <f ca="1"/>
        <v>0.08</v>
      </c>
      <c r="M9" s="138">
        <f ca="1"/>
        <v>0.05</v>
      </c>
      <c r="N9" s="138">
        <f ca="1"/>
        <v>1.4999999999999999E-2</v>
      </c>
      <c r="O9" s="138">
        <f ca="1"/>
        <v>8.0000000000000002E-3</v>
      </c>
      <c r="P9" s="138">
        <f ca="1"/>
        <v>5.0000000000000001E-3</v>
      </c>
      <c r="Q9" s="138">
        <f ca="1"/>
        <v>3.0000000000000001E-3</v>
      </c>
      <c r="R9" s="138">
        <f ca="1"/>
        <v>1E-3</v>
      </c>
      <c r="S9" s="138">
        <f ca="1"/>
        <v>0.03</v>
      </c>
      <c r="T9" s="138">
        <f ca="1"/>
        <v>1.4999999999999999E-2</v>
      </c>
      <c r="U9" s="138">
        <f ca="1"/>
        <v>1.7999999999999999E-2</v>
      </c>
      <c r="V9" s="138">
        <f ca="1"/>
        <v>2.0000000000000018E-2</v>
      </c>
    </row>
    <row r="10" spans="1:22" x14ac:dyDescent="0.3">
      <c r="A10" s="138">
        <f ca="1"/>
        <v>9</v>
      </c>
      <c r="B10" s="138" t="str">
        <f ca="1"/>
        <v>res_med_U</v>
      </c>
      <c r="C10" s="138">
        <f ca="1"/>
        <v>1</v>
      </c>
      <c r="D10" s="138">
        <f ca="1"/>
        <v>1.4999999999999999E-2</v>
      </c>
      <c r="E10" s="138">
        <f ca="1"/>
        <v>2E-3</v>
      </c>
      <c r="F10" s="138">
        <f ca="1"/>
        <v>1E-3</v>
      </c>
      <c r="G10" s="138">
        <f ca="1"/>
        <v>0.3</v>
      </c>
      <c r="H10" s="138">
        <f ca="1"/>
        <v>0</v>
      </c>
      <c r="I10" s="138">
        <f ca="1"/>
        <v>0.08</v>
      </c>
      <c r="J10" s="138">
        <f ca="1"/>
        <v>0.33</v>
      </c>
      <c r="K10" s="138">
        <f ca="1"/>
        <v>2.7E-2</v>
      </c>
      <c r="L10" s="138">
        <f ca="1"/>
        <v>0.08</v>
      </c>
      <c r="M10" s="138">
        <f ca="1"/>
        <v>0.05</v>
      </c>
      <c r="N10" s="138">
        <f ca="1"/>
        <v>1.4999999999999999E-2</v>
      </c>
      <c r="O10" s="138">
        <f ca="1"/>
        <v>8.0000000000000002E-3</v>
      </c>
      <c r="P10" s="138">
        <f ca="1"/>
        <v>5.0000000000000001E-3</v>
      </c>
      <c r="Q10" s="138">
        <f ca="1"/>
        <v>3.0000000000000001E-3</v>
      </c>
      <c r="R10" s="138">
        <f ca="1"/>
        <v>1E-3</v>
      </c>
      <c r="S10" s="138">
        <f ca="1"/>
        <v>0.03</v>
      </c>
      <c r="T10" s="138">
        <f ca="1"/>
        <v>1.4999999999999999E-2</v>
      </c>
      <c r="U10" s="138">
        <f ca="1"/>
        <v>1.7999999999999999E-2</v>
      </c>
      <c r="V10" s="138">
        <f ca="1"/>
        <v>2.0000000000000018E-2</v>
      </c>
    </row>
    <row r="11" spans="1:22" x14ac:dyDescent="0.3">
      <c r="A11" s="138">
        <f ca="1"/>
        <v>10</v>
      </c>
      <c r="B11" s="138" t="str">
        <f ca="1"/>
        <v>res_high_U</v>
      </c>
      <c r="C11" s="138">
        <f ca="1"/>
        <v>1</v>
      </c>
      <c r="D11" s="138">
        <f ca="1"/>
        <v>1.4999999999999999E-2</v>
      </c>
      <c r="E11" s="138">
        <f ca="1"/>
        <v>2E-3</v>
      </c>
      <c r="F11" s="138">
        <f ca="1"/>
        <v>1E-3</v>
      </c>
      <c r="G11" s="138">
        <f ca="1"/>
        <v>0.3</v>
      </c>
      <c r="H11" s="138">
        <f ca="1"/>
        <v>0</v>
      </c>
      <c r="I11" s="138">
        <f ca="1"/>
        <v>0.08</v>
      </c>
      <c r="J11" s="138">
        <f ca="1"/>
        <v>0.33</v>
      </c>
      <c r="K11" s="138">
        <f ca="1"/>
        <v>2.7E-2</v>
      </c>
      <c r="L11" s="138">
        <f ca="1"/>
        <v>0.08</v>
      </c>
      <c r="M11" s="138">
        <f ca="1"/>
        <v>0.05</v>
      </c>
      <c r="N11" s="138">
        <f ca="1"/>
        <v>1.4999999999999999E-2</v>
      </c>
      <c r="O11" s="138">
        <f ca="1"/>
        <v>8.0000000000000002E-3</v>
      </c>
      <c r="P11" s="138">
        <f ca="1"/>
        <v>5.0000000000000001E-3</v>
      </c>
      <c r="Q11" s="138">
        <f ca="1"/>
        <v>3.0000000000000001E-3</v>
      </c>
      <c r="R11" s="138">
        <f ca="1"/>
        <v>1E-3</v>
      </c>
      <c r="S11" s="138">
        <f ca="1"/>
        <v>0.03</v>
      </c>
      <c r="T11" s="138">
        <f ca="1"/>
        <v>1.4999999999999999E-2</v>
      </c>
      <c r="U11" s="138">
        <f ca="1"/>
        <v>1.7999999999999999E-2</v>
      </c>
      <c r="V11" s="138">
        <f ca="1"/>
        <v>2.0000000000000018E-2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2D05-2889-4A44-8DCB-C916C8E644A8}">
  <sheetPr codeName="Sheet64"/>
  <dimension ref="A1:U17"/>
  <sheetViews>
    <sheetView workbookViewId="0">
      <selection activeCell="C2" sqref="C2"/>
    </sheetView>
  </sheetViews>
  <sheetFormatPr defaultColWidth="5.6640625" defaultRowHeight="14.4" x14ac:dyDescent="0.3"/>
  <cols>
    <col min="1" max="14" width="13.77734375" style="138" customWidth="1"/>
    <col min="15" max="16384" width="5.6640625" style="138"/>
  </cols>
  <sheetData>
    <row r="1" spans="1:21" x14ac:dyDescent="0.3">
      <c r="A1" s="138" t="s">
        <v>1283</v>
      </c>
      <c r="B1" s="138" t="s">
        <v>1284</v>
      </c>
      <c r="C1" s="138" t="s">
        <v>1272</v>
      </c>
      <c r="D1" s="138" t="str" cm="1">
        <f t="array" aca="1" ref="D1:L1" ca="1">TRANSPOSE(OFFSET(Internal!$M$1,1,0,Internal!$B$6,1))</f>
        <v>Electricity</v>
      </c>
      <c r="E1" s="138" t="str">
        <f ca="1"/>
        <v>LPG</v>
      </c>
      <c r="F1" s="138" t="str">
        <f ca="1"/>
        <v>Biogas</v>
      </c>
      <c r="G1" s="138" t="str">
        <f ca="1"/>
        <v>Charcoal</v>
      </c>
      <c r="H1" s="138" t="str">
        <f ca="1"/>
        <v>Com-Firewood</v>
      </c>
      <c r="I1" s="138" t="str">
        <f ca="1"/>
        <v>Free-Biomass</v>
      </c>
      <c r="J1" s="138" t="str">
        <f ca="1"/>
        <v>Pellets</v>
      </c>
      <c r="K1" s="138" t="str">
        <f ca="1"/>
        <v>Free-Firewood</v>
      </c>
      <c r="L1" s="138" t="str">
        <f ca="1"/>
        <v>Ethanol</v>
      </c>
    </row>
    <row r="2" spans="1:21" x14ac:dyDescent="0.3">
      <c r="A2" s="151" cm="1">
        <f t="array" aca="1" ref="A2:A9" ca="1">INDEX(OFFSET(Internal!$T$2,0,0,2*Internal!$B$10,1),MATCH(OFFSET($B$2,0,0,2*Internal!$B$10,1),Internal!$U$2:$U$21,0),0)</f>
        <v>2</v>
      </c>
      <c r="B2" s="151" t="str" cm="1">
        <f t="array" aca="1" ref="B2:B9" ca="1">OFFSET('Bm1'!B14,0,0,2*Internal!$B$10,1)</f>
        <v>FORE</v>
      </c>
      <c r="C2" s="151" cm="1">
        <f t="array" aca="1" ref="C2:C9" ca="1">IF(OFFSET(INDIRECT(ADDRESS(14,3,,,"Bm1")),0,0,2*Internal!$B$10,1)="urban",1,0)</f>
        <v>0</v>
      </c>
      <c r="D2" s="151" cm="1">
        <f t="array" aca="1" ref="D2:L9" ca="1">OFFSET('Bm1'!D14,0,0,2*Internal!$B$10,Internal!$B$6)</f>
        <v>1</v>
      </c>
      <c r="E2" s="151">
        <f ca="1"/>
        <v>1</v>
      </c>
      <c r="F2" s="151">
        <f ca="1"/>
        <v>1</v>
      </c>
      <c r="G2" s="151">
        <f ca="1"/>
        <v>0.8</v>
      </c>
      <c r="H2" s="151">
        <f ca="1"/>
        <v>0.6</v>
      </c>
      <c r="I2" s="151">
        <f ca="1"/>
        <v>1</v>
      </c>
      <c r="J2" s="151">
        <f ca="1"/>
        <v>1</v>
      </c>
      <c r="K2" s="151">
        <f ca="1"/>
        <v>1</v>
      </c>
      <c r="L2" s="151">
        <f ca="1"/>
        <v>1</v>
      </c>
      <c r="M2" s="151"/>
      <c r="N2" s="151"/>
      <c r="O2" s="151"/>
      <c r="P2" s="151"/>
      <c r="Q2" s="151"/>
      <c r="R2" s="151"/>
      <c r="S2" s="151"/>
      <c r="T2" s="151"/>
      <c r="U2" s="151"/>
    </row>
    <row r="3" spans="1:21" x14ac:dyDescent="0.3">
      <c r="A3" s="151">
        <f ca="1"/>
        <v>2</v>
      </c>
      <c r="B3" s="151" t="str">
        <f ca="1"/>
        <v>FORE</v>
      </c>
      <c r="C3" s="151">
        <f ca="1"/>
        <v>1</v>
      </c>
      <c r="D3" s="151">
        <f ca="1"/>
        <v>1</v>
      </c>
      <c r="E3" s="151">
        <f ca="1"/>
        <v>1</v>
      </c>
      <c r="F3" s="151">
        <f ca="1"/>
        <v>1</v>
      </c>
      <c r="G3" s="151">
        <f ca="1"/>
        <v>0.85</v>
      </c>
      <c r="H3" s="151">
        <f ca="1"/>
        <v>0.65</v>
      </c>
      <c r="I3" s="151">
        <f ca="1"/>
        <v>1</v>
      </c>
      <c r="J3" s="151">
        <f ca="1"/>
        <v>1</v>
      </c>
      <c r="K3" s="151">
        <f ca="1"/>
        <v>1</v>
      </c>
      <c r="L3" s="151">
        <f ca="1"/>
        <v>1</v>
      </c>
      <c r="M3" s="151"/>
      <c r="N3" s="151"/>
      <c r="O3" s="151"/>
      <c r="P3" s="151"/>
      <c r="Q3" s="151"/>
      <c r="R3" s="151"/>
      <c r="S3" s="151"/>
      <c r="T3" s="151"/>
      <c r="U3" s="151"/>
    </row>
    <row r="4" spans="1:21" x14ac:dyDescent="0.3">
      <c r="A4" s="151">
        <f ca="1"/>
        <v>5</v>
      </c>
      <c r="B4" s="151" t="str">
        <f ca="1"/>
        <v>AGRO</v>
      </c>
      <c r="C4" s="151">
        <f ca="1"/>
        <v>0</v>
      </c>
      <c r="D4" s="151">
        <f ca="1"/>
        <v>1</v>
      </c>
      <c r="E4" s="151">
        <f ca="1"/>
        <v>1</v>
      </c>
      <c r="F4" s="151">
        <f ca="1"/>
        <v>1</v>
      </c>
      <c r="G4" s="151">
        <f ca="1"/>
        <v>1</v>
      </c>
      <c r="H4" s="151">
        <f ca="1"/>
        <v>0.65</v>
      </c>
      <c r="I4" s="151">
        <f ca="1"/>
        <v>1</v>
      </c>
      <c r="J4" s="151">
        <f ca="1"/>
        <v>1</v>
      </c>
      <c r="K4" s="151">
        <f ca="1"/>
        <v>1</v>
      </c>
      <c r="L4" s="151">
        <f ca="1"/>
        <v>1</v>
      </c>
      <c r="M4" s="151"/>
      <c r="N4" s="151"/>
      <c r="O4" s="151"/>
      <c r="P4" s="151"/>
      <c r="Q4" s="151"/>
      <c r="R4" s="151"/>
      <c r="S4" s="151"/>
      <c r="T4" s="151"/>
      <c r="U4" s="151"/>
    </row>
    <row r="5" spans="1:21" x14ac:dyDescent="0.3">
      <c r="A5" s="151">
        <f ca="1"/>
        <v>5</v>
      </c>
      <c r="B5" s="151" t="str">
        <f ca="1"/>
        <v>AGRO</v>
      </c>
      <c r="C5" s="151">
        <f ca="1"/>
        <v>1</v>
      </c>
      <c r="D5" s="151">
        <f ca="1"/>
        <v>1</v>
      </c>
      <c r="E5" s="151">
        <f ca="1"/>
        <v>1</v>
      </c>
      <c r="F5" s="151">
        <f ca="1"/>
        <v>1</v>
      </c>
      <c r="G5" s="151">
        <f ca="1"/>
        <v>1.2</v>
      </c>
      <c r="H5" s="151">
        <f ca="1"/>
        <v>0.8</v>
      </c>
      <c r="I5" s="151">
        <f ca="1"/>
        <v>1</v>
      </c>
      <c r="J5" s="151">
        <f ca="1"/>
        <v>1</v>
      </c>
      <c r="K5" s="151">
        <f ca="1"/>
        <v>1</v>
      </c>
      <c r="L5" s="151">
        <f ca="1"/>
        <v>1</v>
      </c>
      <c r="M5" s="151"/>
      <c r="N5" s="151"/>
      <c r="O5" s="151"/>
      <c r="P5" s="151"/>
      <c r="Q5" s="151"/>
      <c r="R5" s="151"/>
      <c r="S5" s="151"/>
      <c r="T5" s="151"/>
      <c r="U5" s="151"/>
    </row>
    <row r="6" spans="1:21" x14ac:dyDescent="0.3">
      <c r="A6" s="151">
        <f ca="1"/>
        <v>7</v>
      </c>
      <c r="B6" s="151" t="str">
        <f ca="1"/>
        <v>CITY</v>
      </c>
      <c r="C6" s="151">
        <f ca="1"/>
        <v>0</v>
      </c>
      <c r="D6" s="151">
        <f ca="1"/>
        <v>1</v>
      </c>
      <c r="E6" s="151">
        <f ca="1"/>
        <v>1</v>
      </c>
      <c r="F6" s="151">
        <f ca="1"/>
        <v>1</v>
      </c>
      <c r="G6" s="151">
        <f ca="1"/>
        <v>1</v>
      </c>
      <c r="H6" s="151">
        <f ca="1"/>
        <v>0.8</v>
      </c>
      <c r="I6" s="151">
        <f ca="1"/>
        <v>1</v>
      </c>
      <c r="J6" s="151">
        <f ca="1"/>
        <v>1</v>
      </c>
      <c r="K6" s="151">
        <f ca="1"/>
        <v>1</v>
      </c>
      <c r="L6" s="151">
        <f ca="1"/>
        <v>1</v>
      </c>
      <c r="M6" s="151"/>
      <c r="N6" s="151"/>
      <c r="O6" s="151"/>
      <c r="P6" s="151"/>
      <c r="Q6" s="151"/>
      <c r="R6" s="151"/>
      <c r="S6" s="151"/>
      <c r="T6" s="151"/>
      <c r="U6" s="151"/>
    </row>
    <row r="7" spans="1:21" x14ac:dyDescent="0.3">
      <c r="A7" s="151">
        <f ca="1"/>
        <v>7</v>
      </c>
      <c r="B7" s="151" t="str">
        <f ca="1"/>
        <v>CITY</v>
      </c>
      <c r="C7" s="151">
        <f ca="1"/>
        <v>1</v>
      </c>
      <c r="D7" s="151">
        <f ca="1"/>
        <v>1</v>
      </c>
      <c r="E7" s="151">
        <f ca="1"/>
        <v>1</v>
      </c>
      <c r="F7" s="151">
        <f ca="1"/>
        <v>1</v>
      </c>
      <c r="G7" s="151">
        <f ca="1"/>
        <v>1</v>
      </c>
      <c r="H7" s="151">
        <f ca="1"/>
        <v>1.3</v>
      </c>
      <c r="I7" s="151">
        <f ca="1"/>
        <v>1</v>
      </c>
      <c r="J7" s="151">
        <f ca="1"/>
        <v>1</v>
      </c>
      <c r="K7" s="151">
        <f ca="1"/>
        <v>1</v>
      </c>
      <c r="L7" s="151">
        <f ca="1"/>
        <v>1</v>
      </c>
      <c r="M7" s="151"/>
      <c r="N7" s="151"/>
      <c r="O7" s="151"/>
      <c r="P7" s="151"/>
      <c r="Q7" s="151"/>
      <c r="R7" s="151"/>
      <c r="S7" s="151"/>
      <c r="T7" s="151"/>
      <c r="U7" s="151"/>
    </row>
    <row r="8" spans="1:21" x14ac:dyDescent="0.3">
      <c r="A8" s="151">
        <f ca="1"/>
        <v>11</v>
      </c>
      <c r="B8" s="151" t="str">
        <f ca="1"/>
        <v>RAGE</v>
      </c>
      <c r="C8" s="151">
        <f ca="1"/>
        <v>0</v>
      </c>
      <c r="D8" s="151">
        <f ca="1"/>
        <v>1</v>
      </c>
      <c r="E8" s="151">
        <f ca="1"/>
        <v>1</v>
      </c>
      <c r="F8" s="151">
        <f ca="1"/>
        <v>1</v>
      </c>
      <c r="G8" s="151">
        <f ca="1"/>
        <v>1</v>
      </c>
      <c r="H8" s="151">
        <f ca="1"/>
        <v>0.65</v>
      </c>
      <c r="I8" s="151">
        <f ca="1"/>
        <v>1</v>
      </c>
      <c r="J8" s="151">
        <f ca="1"/>
        <v>1</v>
      </c>
      <c r="K8" s="151">
        <f ca="1"/>
        <v>1</v>
      </c>
      <c r="L8" s="151">
        <f ca="1"/>
        <v>1</v>
      </c>
      <c r="M8" s="151"/>
      <c r="N8" s="151"/>
      <c r="O8" s="151"/>
      <c r="P8" s="151"/>
      <c r="Q8" s="151"/>
      <c r="R8" s="151"/>
      <c r="S8" s="151"/>
      <c r="T8" s="151"/>
      <c r="U8" s="151"/>
    </row>
    <row r="9" spans="1:21" x14ac:dyDescent="0.3">
      <c r="A9" s="151">
        <f ca="1"/>
        <v>11</v>
      </c>
      <c r="B9" s="151" t="str">
        <f ca="1"/>
        <v>RAGE</v>
      </c>
      <c r="C9" s="151">
        <f ca="1"/>
        <v>1</v>
      </c>
      <c r="D9" s="151">
        <f ca="1"/>
        <v>1</v>
      </c>
      <c r="E9" s="151">
        <f ca="1"/>
        <v>1</v>
      </c>
      <c r="F9" s="151">
        <f ca="1"/>
        <v>1</v>
      </c>
      <c r="G9" s="151">
        <f ca="1"/>
        <v>1</v>
      </c>
      <c r="H9" s="151">
        <f ca="1"/>
        <v>0.8</v>
      </c>
      <c r="I9" s="151">
        <f ca="1"/>
        <v>1</v>
      </c>
      <c r="J9" s="151">
        <f ca="1"/>
        <v>1</v>
      </c>
      <c r="K9" s="151">
        <f ca="1"/>
        <v>1</v>
      </c>
      <c r="L9" s="151">
        <f ca="1"/>
        <v>1</v>
      </c>
      <c r="M9" s="151"/>
      <c r="N9" s="151"/>
      <c r="O9" s="151"/>
      <c r="P9" s="151"/>
      <c r="Q9" s="151"/>
      <c r="R9" s="151"/>
      <c r="S9" s="151"/>
      <c r="T9" s="151"/>
      <c r="U9" s="151"/>
    </row>
    <row r="10" spans="1:21" x14ac:dyDescent="0.3">
      <c r="A10" s="151"/>
      <c r="B10" s="151"/>
      <c r="C10" s="151"/>
      <c r="D10" s="151"/>
      <c r="E10" s="151"/>
      <c r="F10" s="151"/>
      <c r="G10" s="151"/>
      <c r="H10" s="151"/>
    </row>
    <row r="11" spans="1:21" x14ac:dyDescent="0.3">
      <c r="A11" s="151"/>
      <c r="B11" s="151"/>
      <c r="C11" s="151"/>
      <c r="D11" s="151"/>
      <c r="E11" s="151"/>
      <c r="F11" s="151"/>
      <c r="G11" s="151"/>
      <c r="H11" s="151"/>
    </row>
    <row r="12" spans="1:21" x14ac:dyDescent="0.3">
      <c r="A12" s="151"/>
      <c r="B12" s="151"/>
      <c r="C12" s="151"/>
      <c r="D12" s="151"/>
      <c r="E12" s="151"/>
      <c r="F12" s="151"/>
      <c r="G12" s="151"/>
      <c r="H12" s="151"/>
    </row>
    <row r="13" spans="1:21" x14ac:dyDescent="0.3">
      <c r="A13" s="151"/>
      <c r="B13" s="151"/>
      <c r="C13" s="151"/>
      <c r="D13" s="151"/>
      <c r="E13" s="151"/>
      <c r="F13" s="151"/>
      <c r="G13" s="151"/>
      <c r="H13" s="151"/>
    </row>
    <row r="14" spans="1:21" x14ac:dyDescent="0.3">
      <c r="A14" s="151"/>
      <c r="B14" s="151"/>
      <c r="C14" s="151"/>
      <c r="D14" s="151"/>
      <c r="E14" s="151"/>
      <c r="F14" s="151"/>
      <c r="G14" s="151"/>
      <c r="H14" s="151"/>
    </row>
    <row r="15" spans="1:21" x14ac:dyDescent="0.3">
      <c r="A15" s="151"/>
      <c r="B15" s="151"/>
      <c r="C15" s="151"/>
      <c r="D15" s="151"/>
      <c r="E15" s="151"/>
      <c r="F15" s="151"/>
      <c r="G15" s="151"/>
      <c r="H15" s="151"/>
    </row>
    <row r="16" spans="1:21" x14ac:dyDescent="0.3">
      <c r="A16" s="151"/>
      <c r="B16" s="151"/>
      <c r="C16" s="151"/>
      <c r="D16" s="151"/>
      <c r="E16" s="151"/>
      <c r="F16" s="151"/>
      <c r="G16" s="151"/>
      <c r="H16" s="151"/>
    </row>
    <row r="17" spans="1:8" x14ac:dyDescent="0.3">
      <c r="A17" s="151"/>
      <c r="B17" s="151"/>
      <c r="C17" s="151"/>
      <c r="D17" s="151"/>
      <c r="E17" s="151"/>
      <c r="F17" s="151"/>
      <c r="G17" s="151"/>
      <c r="H17" s="15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6141-68B8-4A64-AA86-531527E970FC}">
  <sheetPr codeName="Sheet54"/>
  <dimension ref="A1:E21"/>
  <sheetViews>
    <sheetView workbookViewId="0">
      <selection activeCell="F50" sqref="F50"/>
    </sheetView>
  </sheetViews>
  <sheetFormatPr defaultColWidth="5.6640625" defaultRowHeight="14.4" x14ac:dyDescent="0.3"/>
  <cols>
    <col min="1" max="7" width="13.77734375" style="138" customWidth="1"/>
    <col min="8" max="16384" width="5.6640625" style="138"/>
  </cols>
  <sheetData>
    <row r="1" spans="1:5" x14ac:dyDescent="0.3">
      <c r="A1" s="138" t="s">
        <v>1226</v>
      </c>
      <c r="B1" s="138" t="s">
        <v>1227</v>
      </c>
      <c r="C1" s="138" t="str" cm="1">
        <f t="array" aca="1" ref="C1:E1" ca="1">TRANSPOSE(OFFSET(Internal!$E$1,1,0,Internal!$B$2,1))</f>
        <v>Domestic</v>
      </c>
      <c r="D1" s="138" t="str">
        <f ca="1"/>
        <v>Commercial</v>
      </c>
      <c r="E1" s="138" t="str">
        <f ca="1"/>
        <v>Industrial</v>
      </c>
    </row>
    <row r="2" spans="1:5" x14ac:dyDescent="0.3">
      <c r="A2" s="138" cm="1">
        <f t="array" aca="1" ref="A2:B21" ca="1">OFFSET('De2'!A14,0,0,Internal!$B$3,2)</f>
        <v>1</v>
      </c>
      <c r="B2" s="138" t="str">
        <f ca="1"/>
        <v>residential_S</v>
      </c>
      <c r="C2" s="138" cm="1">
        <f t="array" aca="1" ref="C2:E21" ca="1">OFFSET('De2'!E14,0,0,Internal!$B$3,Internal!$B$2)</f>
        <v>0.1</v>
      </c>
      <c r="D2" s="138">
        <f ca="1"/>
        <v>0</v>
      </c>
      <c r="E2" s="138">
        <f ca="1"/>
        <v>0</v>
      </c>
    </row>
    <row r="3" spans="1:5" x14ac:dyDescent="0.3">
      <c r="A3" s="138">
        <f ca="1"/>
        <v>2</v>
      </c>
      <c r="B3" s="138" t="str">
        <f ca="1"/>
        <v>residential_M</v>
      </c>
      <c r="C3" s="138">
        <f ca="1"/>
        <v>0.1</v>
      </c>
      <c r="D3" s="138">
        <f ca="1"/>
        <v>0</v>
      </c>
      <c r="E3" s="138">
        <f ca="1"/>
        <v>0</v>
      </c>
    </row>
    <row r="4" spans="1:5" x14ac:dyDescent="0.3">
      <c r="A4" s="138">
        <f ca="1"/>
        <v>3</v>
      </c>
      <c r="B4" s="138" t="str">
        <f ca="1"/>
        <v>residential_L</v>
      </c>
      <c r="C4" s="138">
        <f ca="1"/>
        <v>0.8</v>
      </c>
      <c r="D4" s="138">
        <f ca="1"/>
        <v>0</v>
      </c>
      <c r="E4" s="138">
        <f ca="1"/>
        <v>0</v>
      </c>
    </row>
    <row r="5" spans="1:5" x14ac:dyDescent="0.3">
      <c r="A5" s="138">
        <f ca="1"/>
        <v>4</v>
      </c>
      <c r="B5" s="138" t="str">
        <f ca="1"/>
        <v>residential_XL</v>
      </c>
      <c r="C5" s="138">
        <f ca="1"/>
        <v>1.1000000000000001</v>
      </c>
      <c r="D5" s="138">
        <f ca="1"/>
        <v>0</v>
      </c>
      <c r="E5" s="138">
        <f ca="1"/>
        <v>0</v>
      </c>
    </row>
    <row r="6" spans="1:5" x14ac:dyDescent="0.3">
      <c r="A6" s="138">
        <f ca="1"/>
        <v>5</v>
      </c>
      <c r="B6" s="138" t="str">
        <f ca="1"/>
        <v>commercial_S</v>
      </c>
      <c r="C6" s="138">
        <f ca="1"/>
        <v>10</v>
      </c>
      <c r="D6" s="138">
        <f ca="1"/>
        <v>0</v>
      </c>
      <c r="E6" s="138">
        <f ca="1"/>
        <v>0</v>
      </c>
    </row>
    <row r="7" spans="1:5" x14ac:dyDescent="0.3">
      <c r="A7" s="138">
        <f ca="1"/>
        <v>6</v>
      </c>
      <c r="B7" s="138" t="str">
        <f ca="1"/>
        <v>commercial_L</v>
      </c>
      <c r="C7" s="138">
        <f ca="1"/>
        <v>10</v>
      </c>
      <c r="D7" s="138">
        <f ca="1"/>
        <v>0</v>
      </c>
      <c r="E7" s="138">
        <f ca="1"/>
        <v>0</v>
      </c>
    </row>
    <row r="8" spans="1:5" x14ac:dyDescent="0.3">
      <c r="A8" s="138">
        <f ca="1"/>
        <v>7</v>
      </c>
      <c r="B8" s="138" t="str">
        <f ca="1"/>
        <v>hotel</v>
      </c>
      <c r="C8" s="138">
        <f ca="1"/>
        <v>10</v>
      </c>
      <c r="D8" s="138">
        <f ca="1"/>
        <v>0</v>
      </c>
      <c r="E8" s="138">
        <f ca="1"/>
        <v>0</v>
      </c>
    </row>
    <row r="9" spans="1:5" x14ac:dyDescent="0.3">
      <c r="A9" s="138">
        <f ca="1"/>
        <v>8</v>
      </c>
      <c r="B9" s="138" t="str">
        <f ca="1"/>
        <v>commercial-CC</v>
      </c>
      <c r="C9" s="138">
        <f ca="1"/>
        <v>30</v>
      </c>
      <c r="D9" s="138">
        <f ca="1"/>
        <v>0</v>
      </c>
      <c r="E9" s="138">
        <f ca="1"/>
        <v>0</v>
      </c>
    </row>
    <row r="10" spans="1:5" x14ac:dyDescent="0.3">
      <c r="A10" s="138">
        <f ca="1"/>
        <v>9</v>
      </c>
      <c r="B10" s="138" t="str">
        <f ca="1"/>
        <v>industry_S-CC</v>
      </c>
      <c r="C10" s="138">
        <f ca="1"/>
        <v>100</v>
      </c>
      <c r="D10" s="138">
        <f ca="1"/>
        <v>0</v>
      </c>
      <c r="E10" s="138">
        <f ca="1"/>
        <v>0</v>
      </c>
    </row>
    <row r="11" spans="1:5" x14ac:dyDescent="0.3">
      <c r="A11" s="138">
        <f ca="1"/>
        <v>10</v>
      </c>
      <c r="B11" s="138" t="str">
        <f ca="1"/>
        <v>industry_L-CC</v>
      </c>
      <c r="C11" s="138">
        <f ca="1"/>
        <v>50</v>
      </c>
      <c r="D11" s="138">
        <f ca="1"/>
        <v>0</v>
      </c>
      <c r="E11" s="138">
        <f ca="1"/>
        <v>0</v>
      </c>
    </row>
    <row r="12" spans="1:5" x14ac:dyDescent="0.3">
      <c r="A12" s="138">
        <f ca="1"/>
        <v>11</v>
      </c>
      <c r="B12" s="138" t="str">
        <f ca="1"/>
        <v>industry</v>
      </c>
      <c r="C12" s="138">
        <f ca="1"/>
        <v>200</v>
      </c>
      <c r="D12" s="138">
        <f ca="1"/>
        <v>0</v>
      </c>
      <c r="E12" s="138">
        <f ca="1"/>
        <v>0</v>
      </c>
    </row>
    <row r="13" spans="1:5" x14ac:dyDescent="0.3">
      <c r="A13" s="138">
        <f ca="1"/>
        <v>12</v>
      </c>
      <c r="B13" s="138" t="str">
        <f ca="1"/>
        <v>education_S</v>
      </c>
      <c r="C13" s="138">
        <f ca="1"/>
        <v>3</v>
      </c>
      <c r="D13" s="138">
        <f ca="1"/>
        <v>0</v>
      </c>
      <c r="E13" s="138">
        <f ca="1"/>
        <v>0</v>
      </c>
    </row>
    <row r="14" spans="1:5" x14ac:dyDescent="0.3">
      <c r="A14" s="138">
        <f ca="1"/>
        <v>13</v>
      </c>
      <c r="B14" s="138" t="str">
        <f ca="1"/>
        <v>education_L</v>
      </c>
      <c r="C14" s="138">
        <f ca="1"/>
        <v>3</v>
      </c>
      <c r="D14" s="138">
        <f ca="1"/>
        <v>0</v>
      </c>
      <c r="E14" s="138">
        <f ca="1"/>
        <v>0</v>
      </c>
    </row>
    <row r="15" spans="1:5" x14ac:dyDescent="0.3">
      <c r="A15" s="138">
        <f ca="1"/>
        <v>14</v>
      </c>
      <c r="B15" s="138" t="str">
        <f ca="1"/>
        <v>restaurant_S</v>
      </c>
      <c r="C15" s="138">
        <f ca="1"/>
        <v>2</v>
      </c>
      <c r="D15" s="138">
        <f ca="1"/>
        <v>0</v>
      </c>
      <c r="E15" s="138">
        <f ca="1"/>
        <v>0</v>
      </c>
    </row>
    <row r="16" spans="1:5" x14ac:dyDescent="0.3">
      <c r="A16" s="138">
        <f ca="1"/>
        <v>15</v>
      </c>
      <c r="B16" s="138" t="str">
        <f ca="1"/>
        <v>restaurant_M</v>
      </c>
      <c r="C16" s="138">
        <f ca="1"/>
        <v>2</v>
      </c>
      <c r="D16" s="138">
        <f ca="1"/>
        <v>0</v>
      </c>
      <c r="E16" s="138">
        <f ca="1"/>
        <v>0</v>
      </c>
    </row>
    <row r="17" spans="1:5" x14ac:dyDescent="0.3">
      <c r="A17" s="138">
        <f ca="1"/>
        <v>16</v>
      </c>
      <c r="B17" s="138" t="str">
        <f ca="1"/>
        <v>restaurant_L</v>
      </c>
      <c r="C17" s="138">
        <f ca="1"/>
        <v>2</v>
      </c>
      <c r="D17" s="138">
        <f ca="1"/>
        <v>0</v>
      </c>
      <c r="E17" s="138">
        <f ca="1"/>
        <v>0</v>
      </c>
    </row>
    <row r="18" spans="1:5" x14ac:dyDescent="0.3">
      <c r="A18" s="138">
        <f ca="1"/>
        <v>17</v>
      </c>
      <c r="B18" s="138" t="str">
        <f ca="1"/>
        <v>hospital</v>
      </c>
      <c r="C18" s="138">
        <f ca="1"/>
        <v>40</v>
      </c>
      <c r="D18" s="138">
        <f ca="1"/>
        <v>0</v>
      </c>
      <c r="E18" s="138">
        <f ca="1"/>
        <v>0</v>
      </c>
    </row>
    <row r="19" spans="1:5" x14ac:dyDescent="0.3">
      <c r="A19" s="138">
        <f ca="1"/>
        <v>18</v>
      </c>
      <c r="B19" s="138" t="str">
        <f ca="1"/>
        <v>office</v>
      </c>
      <c r="C19" s="138">
        <f ca="1"/>
        <v>3</v>
      </c>
      <c r="D19" s="138">
        <f ca="1"/>
        <v>0</v>
      </c>
      <c r="E19" s="138">
        <f ca="1"/>
        <v>0</v>
      </c>
    </row>
    <row r="20" spans="1:5" x14ac:dyDescent="0.3">
      <c r="A20" s="138">
        <f ca="1"/>
        <v>19</v>
      </c>
      <c r="B20" s="138" t="str">
        <f ca="1"/>
        <v>airport</v>
      </c>
      <c r="C20" s="138">
        <f ca="1"/>
        <v>10</v>
      </c>
      <c r="D20" s="138">
        <f ca="1"/>
        <v>0</v>
      </c>
      <c r="E20" s="138">
        <f ca="1"/>
        <v>0</v>
      </c>
    </row>
    <row r="21" spans="1:5" x14ac:dyDescent="0.3">
      <c r="A21" s="138">
        <f ca="1"/>
        <v>20</v>
      </c>
      <c r="B21" s="138" t="str">
        <f ca="1"/>
        <v>residential_GR</v>
      </c>
      <c r="C21" s="138">
        <f ca="1"/>
        <v>1</v>
      </c>
      <c r="D21" s="138">
        <f ca="1"/>
        <v>0</v>
      </c>
      <c r="E21" s="138">
        <f ca="1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EDF78-1EB6-4211-B673-CA29E1A15D39}">
  <sheetPr codeName="Sheet56"/>
  <dimension ref="A1:E21"/>
  <sheetViews>
    <sheetView workbookViewId="0">
      <selection activeCell="C2" sqref="C2"/>
    </sheetView>
  </sheetViews>
  <sheetFormatPr defaultColWidth="5.6640625" defaultRowHeight="14.4" x14ac:dyDescent="0.3"/>
  <cols>
    <col min="1" max="7" width="13.77734375" style="138" customWidth="1"/>
    <col min="8" max="16384" width="5.6640625" style="138"/>
  </cols>
  <sheetData>
    <row r="1" spans="1:5" x14ac:dyDescent="0.3">
      <c r="A1" s="138" t="s">
        <v>1226</v>
      </c>
      <c r="B1" s="138" t="s">
        <v>1227</v>
      </c>
      <c r="C1" s="138" t="str" cm="1">
        <f t="array" aca="1" ref="C1:E1" ca="1">TRANSPOSE(OFFSET(Internal!$E$1,1,0,Internal!$B$2,1))</f>
        <v>Domestic</v>
      </c>
      <c r="D1" s="138" t="str">
        <f ca="1"/>
        <v>Commercial</v>
      </c>
      <c r="E1" s="138" t="str">
        <f ca="1"/>
        <v>Industrial</v>
      </c>
    </row>
    <row r="2" spans="1:5" x14ac:dyDescent="0.3">
      <c r="A2" s="138" cm="1">
        <f t="array" aca="1" ref="A2:B21" ca="1">OFFSET('De2'!A14,0,0,Internal!$B$3,2)</f>
        <v>1</v>
      </c>
      <c r="B2" s="138" t="str">
        <f ca="1"/>
        <v>residential_S</v>
      </c>
      <c r="C2" s="138" cm="1">
        <f t="array" aca="1" ref="C2:E21" ca="1">OFFSET(INDIRECT(ADDRESS(14,2+2+Internal!$B$2+1+1,,,"De2")),0,0,Internal!$B$3,Internal!$B$2)</f>
        <v>1</v>
      </c>
      <c r="D2" s="138">
        <f ca="1"/>
        <v>0</v>
      </c>
      <c r="E2" s="138">
        <f ca="1"/>
        <v>0</v>
      </c>
    </row>
    <row r="3" spans="1:5" x14ac:dyDescent="0.3">
      <c r="A3" s="138">
        <f ca="1"/>
        <v>2</v>
      </c>
      <c r="B3" s="138" t="str">
        <f ca="1"/>
        <v>residential_M</v>
      </c>
      <c r="C3" s="138">
        <f ca="1"/>
        <v>1</v>
      </c>
      <c r="D3" s="138">
        <f ca="1"/>
        <v>0</v>
      </c>
      <c r="E3" s="138">
        <f ca="1"/>
        <v>0</v>
      </c>
    </row>
    <row r="4" spans="1:5" x14ac:dyDescent="0.3">
      <c r="A4" s="138">
        <f ca="1"/>
        <v>3</v>
      </c>
      <c r="B4" s="138" t="str">
        <f ca="1"/>
        <v>residential_L</v>
      </c>
      <c r="C4" s="138">
        <f ca="1"/>
        <v>1</v>
      </c>
      <c r="D4" s="138">
        <f ca="1"/>
        <v>0</v>
      </c>
      <c r="E4" s="138">
        <f ca="1"/>
        <v>0</v>
      </c>
    </row>
    <row r="5" spans="1:5" x14ac:dyDescent="0.3">
      <c r="A5" s="138">
        <f ca="1"/>
        <v>4</v>
      </c>
      <c r="B5" s="138" t="str">
        <f ca="1"/>
        <v>residential_XL</v>
      </c>
      <c r="C5" s="138">
        <f ca="1"/>
        <v>1</v>
      </c>
      <c r="D5" s="138">
        <f ca="1"/>
        <v>0</v>
      </c>
      <c r="E5" s="138">
        <f ca="1"/>
        <v>0</v>
      </c>
    </row>
    <row r="6" spans="1:5" x14ac:dyDescent="0.3">
      <c r="A6" s="138">
        <f ca="1"/>
        <v>5</v>
      </c>
      <c r="B6" s="138" t="str">
        <f ca="1"/>
        <v>commercial_S</v>
      </c>
      <c r="C6" s="138">
        <f ca="1"/>
        <v>0</v>
      </c>
      <c r="D6" s="138">
        <f ca="1"/>
        <v>0</v>
      </c>
      <c r="E6" s="138">
        <f ca="1"/>
        <v>0</v>
      </c>
    </row>
    <row r="7" spans="1:5" x14ac:dyDescent="0.3">
      <c r="A7" s="138">
        <f ca="1"/>
        <v>6</v>
      </c>
      <c r="B7" s="138" t="str">
        <f ca="1"/>
        <v>commercial_L</v>
      </c>
      <c r="C7" s="138">
        <f ca="1"/>
        <v>0</v>
      </c>
      <c r="D7" s="138">
        <f ca="1"/>
        <v>0</v>
      </c>
      <c r="E7" s="138">
        <f ca="1"/>
        <v>0</v>
      </c>
    </row>
    <row r="8" spans="1:5" x14ac:dyDescent="0.3">
      <c r="A8" s="138">
        <f ca="1"/>
        <v>7</v>
      </c>
      <c r="B8" s="138" t="str">
        <f ca="1"/>
        <v>hotel</v>
      </c>
      <c r="C8" s="138">
        <f ca="1"/>
        <v>2</v>
      </c>
      <c r="D8" s="138">
        <f ca="1"/>
        <v>0</v>
      </c>
      <c r="E8" s="138">
        <f ca="1"/>
        <v>0</v>
      </c>
    </row>
    <row r="9" spans="1:5" x14ac:dyDescent="0.3">
      <c r="A9" s="138">
        <f ca="1"/>
        <v>8</v>
      </c>
      <c r="B9" s="138" t="str">
        <f ca="1"/>
        <v>commercial-CC</v>
      </c>
      <c r="C9" s="138">
        <f ca="1"/>
        <v>2</v>
      </c>
      <c r="D9" s="138">
        <f ca="1"/>
        <v>0</v>
      </c>
      <c r="E9" s="138">
        <f ca="1"/>
        <v>0</v>
      </c>
    </row>
    <row r="10" spans="1:5" x14ac:dyDescent="0.3">
      <c r="A10" s="138">
        <f ca="1"/>
        <v>9</v>
      </c>
      <c r="B10" s="138" t="str">
        <f ca="1"/>
        <v>industry_S-CC</v>
      </c>
      <c r="C10" s="138">
        <f ca="1"/>
        <v>8</v>
      </c>
      <c r="D10" s="138">
        <f ca="1"/>
        <v>0</v>
      </c>
      <c r="E10" s="138">
        <f ca="1"/>
        <v>0</v>
      </c>
    </row>
    <row r="11" spans="1:5" x14ac:dyDescent="0.3">
      <c r="A11" s="138">
        <f ca="1"/>
        <v>10</v>
      </c>
      <c r="B11" s="138" t="str">
        <f ca="1"/>
        <v>industry_L-CC</v>
      </c>
      <c r="C11" s="138">
        <f ca="1"/>
        <v>2</v>
      </c>
      <c r="D11" s="138">
        <f ca="1"/>
        <v>0</v>
      </c>
      <c r="E11" s="138">
        <f ca="1"/>
        <v>0</v>
      </c>
    </row>
    <row r="12" spans="1:5" x14ac:dyDescent="0.3">
      <c r="A12" s="138">
        <f ca="1"/>
        <v>11</v>
      </c>
      <c r="B12" s="138" t="str">
        <f ca="1"/>
        <v>industry</v>
      </c>
      <c r="C12" s="138">
        <f ca="1"/>
        <v>0</v>
      </c>
      <c r="D12" s="138">
        <f ca="1"/>
        <v>0</v>
      </c>
      <c r="E12" s="138">
        <f ca="1"/>
        <v>0</v>
      </c>
    </row>
    <row r="13" spans="1:5" x14ac:dyDescent="0.3">
      <c r="A13" s="138">
        <f ca="1"/>
        <v>12</v>
      </c>
      <c r="B13" s="138" t="str">
        <f ca="1"/>
        <v>education_S</v>
      </c>
      <c r="C13" s="138">
        <f ca="1"/>
        <v>0.3</v>
      </c>
      <c r="D13" s="138">
        <f ca="1"/>
        <v>0</v>
      </c>
      <c r="E13" s="138">
        <f ca="1"/>
        <v>0</v>
      </c>
    </row>
    <row r="14" spans="1:5" x14ac:dyDescent="0.3">
      <c r="A14" s="138">
        <f ca="1"/>
        <v>13</v>
      </c>
      <c r="B14" s="138" t="str">
        <f ca="1"/>
        <v>education_L</v>
      </c>
      <c r="C14" s="138">
        <f ca="1"/>
        <v>0.3</v>
      </c>
      <c r="D14" s="138">
        <f ca="1"/>
        <v>0</v>
      </c>
      <c r="E14" s="138">
        <f ca="1"/>
        <v>0</v>
      </c>
    </row>
    <row r="15" spans="1:5" x14ac:dyDescent="0.3">
      <c r="A15" s="138">
        <f ca="1"/>
        <v>14</v>
      </c>
      <c r="B15" s="138" t="str">
        <f ca="1"/>
        <v>restaurant_S</v>
      </c>
      <c r="C15" s="138">
        <f ca="1"/>
        <v>8</v>
      </c>
      <c r="D15" s="138">
        <f ca="1"/>
        <v>0</v>
      </c>
      <c r="E15" s="138">
        <f ca="1"/>
        <v>0</v>
      </c>
    </row>
    <row r="16" spans="1:5" x14ac:dyDescent="0.3">
      <c r="A16" s="138">
        <f ca="1"/>
        <v>15</v>
      </c>
      <c r="B16" s="138" t="str">
        <f ca="1"/>
        <v>restaurant_M</v>
      </c>
      <c r="C16" s="138">
        <f ca="1"/>
        <v>8</v>
      </c>
      <c r="D16" s="138">
        <f ca="1"/>
        <v>0</v>
      </c>
      <c r="E16" s="138">
        <f ca="1"/>
        <v>0</v>
      </c>
    </row>
    <row r="17" spans="1:5" x14ac:dyDescent="0.3">
      <c r="A17" s="138">
        <f ca="1"/>
        <v>16</v>
      </c>
      <c r="B17" s="138" t="str">
        <f ca="1"/>
        <v>restaurant_L</v>
      </c>
      <c r="C17" s="138">
        <f ca="1"/>
        <v>8</v>
      </c>
      <c r="D17" s="138">
        <f ca="1"/>
        <v>0</v>
      </c>
      <c r="E17" s="138">
        <f ca="1"/>
        <v>0</v>
      </c>
    </row>
    <row r="18" spans="1:5" x14ac:dyDescent="0.3">
      <c r="A18" s="138">
        <f ca="1"/>
        <v>17</v>
      </c>
      <c r="B18" s="138" t="str">
        <f ca="1"/>
        <v>hospital</v>
      </c>
      <c r="C18" s="138">
        <f ca="1"/>
        <v>1</v>
      </c>
      <c r="D18" s="138">
        <f ca="1"/>
        <v>0</v>
      </c>
      <c r="E18" s="138">
        <f ca="1"/>
        <v>0</v>
      </c>
    </row>
    <row r="19" spans="1:5" x14ac:dyDescent="0.3">
      <c r="A19" s="138">
        <f ca="1"/>
        <v>18</v>
      </c>
      <c r="B19" s="138" t="str">
        <f ca="1"/>
        <v>office</v>
      </c>
      <c r="C19" s="138">
        <f ca="1"/>
        <v>0.3</v>
      </c>
      <c r="D19" s="138">
        <f ca="1"/>
        <v>0</v>
      </c>
      <c r="E19" s="138">
        <f ca="1"/>
        <v>0</v>
      </c>
    </row>
    <row r="20" spans="1:5" x14ac:dyDescent="0.3">
      <c r="A20" s="138">
        <f ca="1"/>
        <v>19</v>
      </c>
      <c r="B20" s="138" t="str">
        <f ca="1"/>
        <v>airport</v>
      </c>
      <c r="C20" s="138">
        <f ca="1"/>
        <v>2</v>
      </c>
      <c r="D20" s="138">
        <f ca="1"/>
        <v>0</v>
      </c>
      <c r="E20" s="138">
        <f ca="1"/>
        <v>0</v>
      </c>
    </row>
    <row r="21" spans="1:5" x14ac:dyDescent="0.3">
      <c r="A21" s="138">
        <f ca="1"/>
        <v>20</v>
      </c>
      <c r="B21" s="138" t="str">
        <f ca="1"/>
        <v>residential_GR</v>
      </c>
      <c r="C21" s="138">
        <f ca="1"/>
        <v>1</v>
      </c>
      <c r="D21" s="138">
        <f ca="1"/>
        <v>0</v>
      </c>
      <c r="E21" s="138">
        <f ca="1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34AFD-D9C7-49E1-85BB-883A54FB9793}">
  <sheetPr codeName="Sheet55"/>
  <dimension ref="A1:E21"/>
  <sheetViews>
    <sheetView workbookViewId="0">
      <selection activeCell="C2" sqref="C2"/>
    </sheetView>
  </sheetViews>
  <sheetFormatPr defaultColWidth="5.6640625" defaultRowHeight="14.4" x14ac:dyDescent="0.3"/>
  <cols>
    <col min="1" max="7" width="13.77734375" style="138" customWidth="1"/>
    <col min="8" max="16384" width="5.6640625" style="138"/>
  </cols>
  <sheetData>
    <row r="1" spans="1:5" x14ac:dyDescent="0.3">
      <c r="A1" s="138" t="s">
        <v>1226</v>
      </c>
      <c r="B1" s="138" t="s">
        <v>1227</v>
      </c>
      <c r="C1" s="138" t="str" cm="1">
        <f t="array" aca="1" ref="C1:E1" ca="1">TRANSPOSE(OFFSET(Internal!$E$1,1,0,Internal!$B$2,1))</f>
        <v>Domestic</v>
      </c>
      <c r="D1" s="138" t="str">
        <f ca="1"/>
        <v>Commercial</v>
      </c>
      <c r="E1" s="138" t="str">
        <f ca="1"/>
        <v>Industrial</v>
      </c>
    </row>
    <row r="2" spans="1:5" x14ac:dyDescent="0.3">
      <c r="A2" s="138" cm="1">
        <f t="array" aca="1" ref="A2:B21" ca="1">OFFSET('De2'!A14,0,0,Internal!$B$3,2)</f>
        <v>1</v>
      </c>
      <c r="B2" s="138" t="str">
        <f ca="1"/>
        <v>residential_S</v>
      </c>
      <c r="C2" s="138" cm="1">
        <f t="array" aca="1" ref="C2:E21" ca="1">OFFSET(INDIRECT(ADDRESS(14,2+2+2*(Internal!$B$2+1)+1,,,"De2")),0,0,Internal!$B$3,Internal!$B$2)</f>
        <v>1</v>
      </c>
      <c r="D2" s="138">
        <f ca="1"/>
        <v>0</v>
      </c>
      <c r="E2" s="138">
        <f ca="1"/>
        <v>0</v>
      </c>
    </row>
    <row r="3" spans="1:5" x14ac:dyDescent="0.3">
      <c r="A3" s="138">
        <f ca="1"/>
        <v>2</v>
      </c>
      <c r="B3" s="138" t="str">
        <f ca="1"/>
        <v>residential_M</v>
      </c>
      <c r="C3" s="138">
        <f ca="1"/>
        <v>1</v>
      </c>
      <c r="D3" s="138">
        <f ca="1"/>
        <v>0</v>
      </c>
      <c r="E3" s="138">
        <f ca="1"/>
        <v>0</v>
      </c>
    </row>
    <row r="4" spans="1:5" x14ac:dyDescent="0.3">
      <c r="A4" s="138">
        <f ca="1"/>
        <v>3</v>
      </c>
      <c r="B4" s="138" t="str">
        <f ca="1"/>
        <v>residential_L</v>
      </c>
      <c r="C4" s="138">
        <f ca="1"/>
        <v>1</v>
      </c>
      <c r="D4" s="138">
        <f ca="1"/>
        <v>0</v>
      </c>
      <c r="E4" s="138">
        <f ca="1"/>
        <v>0</v>
      </c>
    </row>
    <row r="5" spans="1:5" x14ac:dyDescent="0.3">
      <c r="A5" s="138">
        <f ca="1"/>
        <v>4</v>
      </c>
      <c r="B5" s="138" t="str">
        <f ca="1"/>
        <v>residential_XL</v>
      </c>
      <c r="C5" s="138">
        <f ca="1"/>
        <v>1</v>
      </c>
      <c r="D5" s="138">
        <f ca="1"/>
        <v>0</v>
      </c>
      <c r="E5" s="138">
        <f ca="1"/>
        <v>0</v>
      </c>
    </row>
    <row r="6" spans="1:5" x14ac:dyDescent="0.3">
      <c r="A6" s="138">
        <f ca="1"/>
        <v>5</v>
      </c>
      <c r="B6" s="138" t="str">
        <f ca="1"/>
        <v>commercial_S</v>
      </c>
      <c r="C6" s="138">
        <f ca="1"/>
        <v>0</v>
      </c>
      <c r="D6" s="138">
        <f ca="1"/>
        <v>0</v>
      </c>
      <c r="E6" s="138">
        <f ca="1"/>
        <v>0</v>
      </c>
    </row>
    <row r="7" spans="1:5" x14ac:dyDescent="0.3">
      <c r="A7" s="138">
        <f ca="1"/>
        <v>6</v>
      </c>
      <c r="B7" s="138" t="str">
        <f ca="1"/>
        <v>commercial_L</v>
      </c>
      <c r="C7" s="138">
        <f ca="1"/>
        <v>0</v>
      </c>
      <c r="D7" s="138">
        <f ca="1"/>
        <v>0</v>
      </c>
      <c r="E7" s="138">
        <f ca="1"/>
        <v>0</v>
      </c>
    </row>
    <row r="8" spans="1:5" x14ac:dyDescent="0.3">
      <c r="A8" s="138">
        <f ca="1"/>
        <v>7</v>
      </c>
      <c r="B8" s="138" t="str">
        <f ca="1"/>
        <v>hotel</v>
      </c>
      <c r="C8" s="138">
        <f ca="1"/>
        <v>2</v>
      </c>
      <c r="D8" s="138">
        <f ca="1"/>
        <v>0</v>
      </c>
      <c r="E8" s="138">
        <f ca="1"/>
        <v>0</v>
      </c>
    </row>
    <row r="9" spans="1:5" x14ac:dyDescent="0.3">
      <c r="A9" s="138">
        <f ca="1"/>
        <v>8</v>
      </c>
      <c r="B9" s="138" t="str">
        <f ca="1"/>
        <v>commercial-CC</v>
      </c>
      <c r="C9" s="138">
        <f ca="1"/>
        <v>2</v>
      </c>
      <c r="D9" s="138">
        <f ca="1"/>
        <v>0</v>
      </c>
      <c r="E9" s="138">
        <f ca="1"/>
        <v>0</v>
      </c>
    </row>
    <row r="10" spans="1:5" x14ac:dyDescent="0.3">
      <c r="A10" s="138">
        <f ca="1"/>
        <v>9</v>
      </c>
      <c r="B10" s="138" t="str">
        <f ca="1"/>
        <v>industry_S-CC</v>
      </c>
      <c r="C10" s="138">
        <f ca="1"/>
        <v>8</v>
      </c>
      <c r="D10" s="138">
        <f ca="1"/>
        <v>0</v>
      </c>
      <c r="E10" s="138">
        <f ca="1"/>
        <v>0</v>
      </c>
    </row>
    <row r="11" spans="1:5" x14ac:dyDescent="0.3">
      <c r="A11" s="138">
        <f ca="1"/>
        <v>10</v>
      </c>
      <c r="B11" s="138" t="str">
        <f ca="1"/>
        <v>industry_L-CC</v>
      </c>
      <c r="C11" s="138">
        <f ca="1"/>
        <v>2</v>
      </c>
      <c r="D11" s="138">
        <f ca="1"/>
        <v>0</v>
      </c>
      <c r="E11" s="138">
        <f ca="1"/>
        <v>0</v>
      </c>
    </row>
    <row r="12" spans="1:5" x14ac:dyDescent="0.3">
      <c r="A12" s="138">
        <f ca="1"/>
        <v>11</v>
      </c>
      <c r="B12" s="138" t="str">
        <f ca="1"/>
        <v>industry</v>
      </c>
      <c r="C12" s="138">
        <f ca="1"/>
        <v>0</v>
      </c>
      <c r="D12" s="138">
        <f ca="1"/>
        <v>0</v>
      </c>
      <c r="E12" s="138">
        <f ca="1"/>
        <v>0</v>
      </c>
    </row>
    <row r="13" spans="1:5" x14ac:dyDescent="0.3">
      <c r="A13" s="138">
        <f ca="1"/>
        <v>12</v>
      </c>
      <c r="B13" s="138" t="str">
        <f ca="1"/>
        <v>education_S</v>
      </c>
      <c r="C13" s="138">
        <f ca="1"/>
        <v>0.3</v>
      </c>
      <c r="D13" s="138">
        <f ca="1"/>
        <v>0</v>
      </c>
      <c r="E13" s="138">
        <f ca="1"/>
        <v>0</v>
      </c>
    </row>
    <row r="14" spans="1:5" x14ac:dyDescent="0.3">
      <c r="A14" s="138">
        <f ca="1"/>
        <v>13</v>
      </c>
      <c r="B14" s="138" t="str">
        <f ca="1"/>
        <v>education_L</v>
      </c>
      <c r="C14" s="138">
        <f ca="1"/>
        <v>0.3</v>
      </c>
      <c r="D14" s="138">
        <f ca="1"/>
        <v>0</v>
      </c>
      <c r="E14" s="138">
        <f ca="1"/>
        <v>0</v>
      </c>
    </row>
    <row r="15" spans="1:5" x14ac:dyDescent="0.3">
      <c r="A15" s="138">
        <f ca="1"/>
        <v>14</v>
      </c>
      <c r="B15" s="138" t="str">
        <f ca="1"/>
        <v>restaurant_S</v>
      </c>
      <c r="C15" s="138">
        <f ca="1"/>
        <v>8</v>
      </c>
      <c r="D15" s="138">
        <f ca="1"/>
        <v>0</v>
      </c>
      <c r="E15" s="138">
        <f ca="1"/>
        <v>0</v>
      </c>
    </row>
    <row r="16" spans="1:5" x14ac:dyDescent="0.3">
      <c r="A16" s="138">
        <f ca="1"/>
        <v>15</v>
      </c>
      <c r="B16" s="138" t="str">
        <f ca="1"/>
        <v>restaurant_M</v>
      </c>
      <c r="C16" s="138">
        <f ca="1"/>
        <v>8</v>
      </c>
      <c r="D16" s="138">
        <f ca="1"/>
        <v>0</v>
      </c>
      <c r="E16" s="138">
        <f ca="1"/>
        <v>0</v>
      </c>
    </row>
    <row r="17" spans="1:5" x14ac:dyDescent="0.3">
      <c r="A17" s="138">
        <f ca="1"/>
        <v>16</v>
      </c>
      <c r="B17" s="138" t="str">
        <f ca="1"/>
        <v>restaurant_L</v>
      </c>
      <c r="C17" s="138">
        <f ca="1"/>
        <v>8</v>
      </c>
      <c r="D17" s="138">
        <f ca="1"/>
        <v>0</v>
      </c>
      <c r="E17" s="138">
        <f ca="1"/>
        <v>0</v>
      </c>
    </row>
    <row r="18" spans="1:5" x14ac:dyDescent="0.3">
      <c r="A18" s="138">
        <f ca="1"/>
        <v>17</v>
      </c>
      <c r="B18" s="138" t="str">
        <f ca="1"/>
        <v>hospital</v>
      </c>
      <c r="C18" s="138">
        <f ca="1"/>
        <v>1</v>
      </c>
      <c r="D18" s="138">
        <f ca="1"/>
        <v>0</v>
      </c>
      <c r="E18" s="138">
        <f ca="1"/>
        <v>0</v>
      </c>
    </row>
    <row r="19" spans="1:5" x14ac:dyDescent="0.3">
      <c r="A19" s="138">
        <f ca="1"/>
        <v>18</v>
      </c>
      <c r="B19" s="138" t="str">
        <f ca="1"/>
        <v>office</v>
      </c>
      <c r="C19" s="138">
        <f ca="1"/>
        <v>0.3</v>
      </c>
      <c r="D19" s="138">
        <f ca="1"/>
        <v>0</v>
      </c>
      <c r="E19" s="138">
        <f ca="1"/>
        <v>0</v>
      </c>
    </row>
    <row r="20" spans="1:5" x14ac:dyDescent="0.3">
      <c r="A20" s="138">
        <f ca="1"/>
        <v>19</v>
      </c>
      <c r="B20" s="138" t="str">
        <f ca="1"/>
        <v>airport</v>
      </c>
      <c r="C20" s="138">
        <f ca="1"/>
        <v>2</v>
      </c>
      <c r="D20" s="138">
        <f ca="1"/>
        <v>0</v>
      </c>
      <c r="E20" s="138">
        <f ca="1"/>
        <v>0</v>
      </c>
    </row>
    <row r="21" spans="1:5" x14ac:dyDescent="0.3">
      <c r="A21" s="138">
        <f ca="1"/>
        <v>20</v>
      </c>
      <c r="B21" s="138" t="str">
        <f ca="1"/>
        <v>residential_GR</v>
      </c>
      <c r="C21" s="138">
        <f ca="1"/>
        <v>1</v>
      </c>
      <c r="D21" s="138">
        <f ca="1"/>
        <v>0</v>
      </c>
      <c r="E21" s="138">
        <f ca="1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A9987-5E56-4561-A39F-260EC4D077E0}">
  <sheetPr codeName="Sheet58"/>
  <dimension ref="A1:E10"/>
  <sheetViews>
    <sheetView workbookViewId="0">
      <selection activeCell="A3" sqref="A3"/>
    </sheetView>
  </sheetViews>
  <sheetFormatPr defaultColWidth="5.6640625" defaultRowHeight="14.4" x14ac:dyDescent="0.3"/>
  <cols>
    <col min="1" max="5" width="14.77734375" style="138" customWidth="1"/>
    <col min="6" max="16384" width="5.6640625" style="138"/>
  </cols>
  <sheetData>
    <row r="1" spans="1:5" x14ac:dyDescent="0.3">
      <c r="A1" s="138" t="s">
        <v>1242</v>
      </c>
      <c r="B1" s="138" t="s">
        <v>1243</v>
      </c>
      <c r="C1" s="138" t="s">
        <v>119</v>
      </c>
      <c r="D1" s="138" t="s">
        <v>1244</v>
      </c>
      <c r="E1" s="138" t="s">
        <v>1245</v>
      </c>
    </row>
    <row r="2" spans="1:5" x14ac:dyDescent="0.3">
      <c r="A2" s="138" cm="1">
        <f t="array" aca="1" ref="A2:E10" ca="1">OFFSET(INDIRECT(ADDRESS(21+Internal!$B$5+3+1,1,,,"Ck1")),0,0,Internal!$B$6,5)</f>
        <v>1</v>
      </c>
      <c r="B2" s="138" t="str">
        <f ca="1"/>
        <v>Electricity</v>
      </c>
      <c r="C2" s="138">
        <f ca="1"/>
        <v>0.19900000000000001</v>
      </c>
      <c r="D2" s="138">
        <f ca="1"/>
        <v>1</v>
      </c>
      <c r="E2" s="138">
        <f ca="1"/>
        <v>0</v>
      </c>
    </row>
    <row r="3" spans="1:5" x14ac:dyDescent="0.3">
      <c r="A3" s="138">
        <f ca="1"/>
        <v>2</v>
      </c>
      <c r="B3" s="138" t="str">
        <f ca="1"/>
        <v>LPG</v>
      </c>
      <c r="C3" s="138">
        <f ca="1"/>
        <v>1.0161290322580645</v>
      </c>
      <c r="D3" s="138">
        <f ca="1"/>
        <v>13.138999999999999</v>
      </c>
      <c r="E3" s="138">
        <f ca="1"/>
        <v>0.02</v>
      </c>
    </row>
    <row r="4" spans="1:5" x14ac:dyDescent="0.3">
      <c r="A4" s="138">
        <f ca="1"/>
        <v>3</v>
      </c>
      <c r="B4" s="138" t="str">
        <f ca="1"/>
        <v>Biogas</v>
      </c>
      <c r="C4" s="138">
        <f ca="1"/>
        <v>1.095890410958904</v>
      </c>
      <c r="D4" s="138">
        <f ca="1"/>
        <v>6.181</v>
      </c>
      <c r="E4" s="138">
        <f ca="1"/>
        <v>0.25</v>
      </c>
    </row>
    <row r="5" spans="1:5" x14ac:dyDescent="0.3">
      <c r="A5" s="138">
        <f ca="1"/>
        <v>4</v>
      </c>
      <c r="B5" s="138" t="str">
        <f ca="1"/>
        <v>Charcoal</v>
      </c>
      <c r="C5" s="138">
        <f ca="1"/>
        <v>0.2626254516258531</v>
      </c>
      <c r="D5" s="138">
        <f ca="1"/>
        <v>8.3059999999999992</v>
      </c>
      <c r="E5" s="138">
        <f ca="1"/>
        <v>0.04</v>
      </c>
    </row>
    <row r="6" spans="1:5" x14ac:dyDescent="0.3">
      <c r="A6" s="138">
        <f ca="1"/>
        <v>5</v>
      </c>
      <c r="B6" s="138" t="str">
        <f ca="1"/>
        <v>Com-Firewood</v>
      </c>
      <c r="C6" s="138">
        <f ca="1"/>
        <v>8.647481360247318E-2</v>
      </c>
      <c r="D6" s="138">
        <f ca="1"/>
        <v>4.3330000000000002</v>
      </c>
      <c r="E6" s="138">
        <f ca="1"/>
        <v>0.06</v>
      </c>
    </row>
    <row r="7" spans="1:5" x14ac:dyDescent="0.3">
      <c r="A7" s="138">
        <f ca="1"/>
        <v>6</v>
      </c>
      <c r="B7" s="138" t="str">
        <f ca="1"/>
        <v>Free-Biomass</v>
      </c>
      <c r="C7" s="138">
        <f ca="1"/>
        <v>0</v>
      </c>
      <c r="D7" s="138">
        <f ca="1"/>
        <v>4.6360000000000001</v>
      </c>
      <c r="E7" s="138">
        <f ca="1"/>
        <v>1.5</v>
      </c>
    </row>
    <row r="8" spans="1:5" x14ac:dyDescent="0.3">
      <c r="A8" s="138">
        <f ca="1"/>
        <v>7</v>
      </c>
      <c r="B8" s="138" t="str">
        <f ca="1"/>
        <v>Pellets</v>
      </c>
      <c r="C8" s="138">
        <f ca="1"/>
        <v>0.27500000000000002</v>
      </c>
      <c r="D8" s="138">
        <f ca="1"/>
        <v>5.1920000000000002</v>
      </c>
      <c r="E8" s="138">
        <f ca="1"/>
        <v>0.04</v>
      </c>
    </row>
    <row r="9" spans="1:5" x14ac:dyDescent="0.3">
      <c r="A9" s="138">
        <f ca="1"/>
        <v>8</v>
      </c>
      <c r="B9" s="138" t="str">
        <f ca="1"/>
        <v>Free-Firewood</v>
      </c>
      <c r="C9" s="138">
        <f ca="1"/>
        <v>0</v>
      </c>
      <c r="D9" s="138">
        <f ca="1"/>
        <v>4.3330000000000002</v>
      </c>
      <c r="E9" s="138">
        <f ca="1"/>
        <v>1</v>
      </c>
    </row>
    <row r="10" spans="1:5" x14ac:dyDescent="0.3">
      <c r="A10" s="138">
        <f ca="1"/>
        <v>9</v>
      </c>
      <c r="B10" s="138" t="str">
        <f ca="1"/>
        <v>Ethanol</v>
      </c>
      <c r="C10" s="138">
        <f ca="1"/>
        <v>0.82399999999999995</v>
      </c>
      <c r="D10" s="138">
        <f ca="1"/>
        <v>8.24</v>
      </c>
      <c r="E10" s="138">
        <f ca="1"/>
        <v>0.03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8A7C3-3978-4972-8EB9-8BD5CA7AD330}">
  <sheetPr codeName="Sheet59"/>
  <dimension ref="A1:K12"/>
  <sheetViews>
    <sheetView workbookViewId="0">
      <selection activeCell="D12" sqref="D12"/>
    </sheetView>
  </sheetViews>
  <sheetFormatPr defaultColWidth="5.6640625" defaultRowHeight="14.4" x14ac:dyDescent="0.3"/>
  <cols>
    <col min="1" max="11" width="14.77734375" style="138" customWidth="1"/>
    <col min="12" max="16384" width="5.6640625" style="138"/>
  </cols>
  <sheetData>
    <row r="1" spans="1:11" x14ac:dyDescent="0.3">
      <c r="A1" s="138" t="s">
        <v>1246</v>
      </c>
      <c r="B1" s="138" t="s">
        <v>1247</v>
      </c>
      <c r="C1" s="138" t="s">
        <v>1242</v>
      </c>
      <c r="D1" s="138" t="s">
        <v>1238</v>
      </c>
      <c r="E1" s="138" t="s">
        <v>1248</v>
      </c>
      <c r="F1" s="138" t="s">
        <v>1249</v>
      </c>
      <c r="G1" s="138" t="s">
        <v>1250</v>
      </c>
      <c r="H1" s="138" t="s">
        <v>1251</v>
      </c>
      <c r="I1" s="138" t="s">
        <v>1252</v>
      </c>
      <c r="J1" s="138" t="s">
        <v>1253</v>
      </c>
      <c r="K1" s="138" t="s">
        <v>1254</v>
      </c>
    </row>
    <row r="2" spans="1:11" x14ac:dyDescent="0.3">
      <c r="A2" s="138" cm="1">
        <f t="array" aca="1" ref="A2:B12" ca="1">OFFSET(INDIRECT(ADDRESS(21+Internal!$B$5+3+1+Internal!$B$6+4+1,1,,,"Ck1")),0,0,Internal!$B$7,2)</f>
        <v>1</v>
      </c>
      <c r="B2" s="138" t="str">
        <f ca="1"/>
        <v>Electricity</v>
      </c>
      <c r="C2" s="138" cm="1">
        <f t="array" aca="1" ref="C2:C12" ca="1">MATCH(OFFSET(INDIRECT(ADDRESS(21+Internal!$B$5+3+1+Internal!$B$6+4+1,3,,,"Ck1")),0,0,Internal!$B$7,1),Internal!$M$2:$M$21,0)</f>
        <v>1</v>
      </c>
      <c r="D2" s="138" cm="1">
        <f t="array" aca="1" ref="D2:D12" ca="1">MATCH(OFFSET(INDIRECT(ADDRESS(21+Internal!$B$5+3+1+Internal!$B$6+4+1,4,,,"Ck1")),0,0,Internal!$B$7,1),Internal!$K$2:$K$21,0)</f>
        <v>1</v>
      </c>
      <c r="E2" s="138" cm="1">
        <f t="array" aca="1" ref="E2:K12" ca="1">OFFSET(INDIRECT(ADDRESS(21+Internal!$B$5+3+1+Internal!$B$6+4+1,5,,,"Ck1")),0,0,Internal!$B$7,7)</f>
        <v>0.9</v>
      </c>
      <c r="F2" s="138">
        <f ca="1"/>
        <v>0</v>
      </c>
      <c r="G2" s="138">
        <f ca="1"/>
        <v>0</v>
      </c>
      <c r="H2" s="138">
        <f ca="1"/>
        <v>0</v>
      </c>
      <c r="I2" s="138">
        <f ca="1"/>
        <v>0</v>
      </c>
      <c r="J2" s="138">
        <f ca="1"/>
        <v>1</v>
      </c>
      <c r="K2" s="138">
        <f ca="1"/>
        <v>0</v>
      </c>
    </row>
    <row r="3" spans="1:11" x14ac:dyDescent="0.3">
      <c r="A3" s="138">
        <f ca="1"/>
        <v>2</v>
      </c>
      <c r="B3" s="138" t="str">
        <f ca="1"/>
        <v>LPG</v>
      </c>
      <c r="C3" s="138">
        <f ca="1"/>
        <v>2</v>
      </c>
      <c r="D3" s="138">
        <f ca="1"/>
        <v>2</v>
      </c>
      <c r="E3" s="138">
        <f ca="1"/>
        <v>0.98</v>
      </c>
      <c r="F3" s="138">
        <f ca="1"/>
        <v>0</v>
      </c>
      <c r="G3" s="138">
        <f ca="1"/>
        <v>0</v>
      </c>
      <c r="H3" s="138">
        <f ca="1"/>
        <v>0.05</v>
      </c>
      <c r="I3" s="138">
        <f ca="1"/>
        <v>0.02</v>
      </c>
      <c r="J3" s="138">
        <f ca="1"/>
        <v>1</v>
      </c>
      <c r="K3" s="138">
        <f ca="1"/>
        <v>10</v>
      </c>
    </row>
    <row r="4" spans="1:11" x14ac:dyDescent="0.3">
      <c r="A4" s="138">
        <f ca="1"/>
        <v>3</v>
      </c>
      <c r="B4" s="138" t="str">
        <f ca="1"/>
        <v>Private-Biogas</v>
      </c>
      <c r="C4" s="138">
        <f ca="1"/>
        <v>3</v>
      </c>
      <c r="D4" s="138">
        <f ca="1"/>
        <v>5</v>
      </c>
      <c r="E4" s="138">
        <f ca="1"/>
        <v>4.5319999999999999E-2</v>
      </c>
      <c r="F4" s="138">
        <f ca="1"/>
        <v>0</v>
      </c>
      <c r="G4" s="138">
        <f ca="1"/>
        <v>0</v>
      </c>
      <c r="H4" s="138">
        <f ca="1"/>
        <v>0.01</v>
      </c>
      <c r="I4" s="138">
        <f ca="1"/>
        <v>0.03</v>
      </c>
      <c r="J4" s="138">
        <f ca="1"/>
        <v>1</v>
      </c>
      <c r="K4" s="138">
        <f ca="1"/>
        <v>10</v>
      </c>
    </row>
    <row r="5" spans="1:11" x14ac:dyDescent="0.3">
      <c r="A5" s="138">
        <f ca="1"/>
        <v>4</v>
      </c>
      <c r="B5" s="138" t="str">
        <f ca="1"/>
        <v>Charcoal-Remote</v>
      </c>
      <c r="C5" s="138">
        <f ca="1"/>
        <v>4</v>
      </c>
      <c r="D5" s="138">
        <f ca="1"/>
        <v>3</v>
      </c>
      <c r="E5" s="138">
        <f ca="1"/>
        <v>0.14299999999999999</v>
      </c>
      <c r="F5" s="138">
        <f ca="1"/>
        <v>0</v>
      </c>
      <c r="G5" s="138">
        <f ca="1"/>
        <v>0</v>
      </c>
      <c r="H5" s="138">
        <f ca="1"/>
        <v>2</v>
      </c>
      <c r="I5" s="138">
        <f ca="1"/>
        <v>0.02</v>
      </c>
      <c r="J5" s="138">
        <f ca="1"/>
        <v>0.2</v>
      </c>
      <c r="K5" s="138">
        <f ca="1"/>
        <v>50</v>
      </c>
    </row>
    <row r="6" spans="1:11" x14ac:dyDescent="0.3">
      <c r="A6" s="138">
        <f ca="1"/>
        <v>5</v>
      </c>
      <c r="B6" s="138" t="str">
        <f ca="1"/>
        <v>Charcoal-Local</v>
      </c>
      <c r="C6" s="138">
        <f ca="1"/>
        <v>4</v>
      </c>
      <c r="D6" s="138">
        <f ca="1"/>
        <v>3</v>
      </c>
      <c r="E6" s="138">
        <f ca="1"/>
        <v>0.14299999999999999</v>
      </c>
      <c r="F6" s="138">
        <f ca="1"/>
        <v>0</v>
      </c>
      <c r="G6" s="138">
        <f ca="1"/>
        <v>0</v>
      </c>
      <c r="H6" s="138">
        <f ca="1"/>
        <v>2</v>
      </c>
      <c r="I6" s="138">
        <f ca="1"/>
        <v>0.03</v>
      </c>
      <c r="J6" s="138">
        <f ca="1"/>
        <v>0.8</v>
      </c>
      <c r="K6" s="138">
        <f ca="1"/>
        <v>2</v>
      </c>
    </row>
    <row r="7" spans="1:11" x14ac:dyDescent="0.3">
      <c r="A7" s="138">
        <f ca="1"/>
        <v>6</v>
      </c>
      <c r="B7" s="138" t="str">
        <f ca="1"/>
        <v>Firewood-Remote</v>
      </c>
      <c r="C7" s="138">
        <f ca="1"/>
        <v>5</v>
      </c>
      <c r="D7" s="138">
        <f ca="1"/>
        <v>3</v>
      </c>
      <c r="E7" s="138">
        <f ca="1"/>
        <v>0.95</v>
      </c>
      <c r="F7" s="138">
        <f ca="1"/>
        <v>0</v>
      </c>
      <c r="G7" s="138">
        <f ca="1"/>
        <v>0</v>
      </c>
      <c r="H7" s="138">
        <f ca="1"/>
        <v>0.01</v>
      </c>
      <c r="I7" s="138">
        <f ca="1"/>
        <v>0.02</v>
      </c>
      <c r="J7" s="138">
        <f ca="1"/>
        <v>0.1</v>
      </c>
      <c r="K7" s="138">
        <f ca="1"/>
        <v>50</v>
      </c>
    </row>
    <row r="8" spans="1:11" x14ac:dyDescent="0.3">
      <c r="A8" s="138">
        <f ca="1"/>
        <v>7</v>
      </c>
      <c r="B8" s="138" t="str">
        <f ca="1"/>
        <v>Firewood-Local</v>
      </c>
      <c r="C8" s="138">
        <f ca="1"/>
        <v>5</v>
      </c>
      <c r="D8" s="138">
        <f ca="1"/>
        <v>3</v>
      </c>
      <c r="E8" s="138">
        <f ca="1"/>
        <v>0.95</v>
      </c>
      <c r="F8" s="138">
        <f ca="1"/>
        <v>0</v>
      </c>
      <c r="G8" s="138">
        <f ca="1"/>
        <v>0</v>
      </c>
      <c r="H8" s="138">
        <f ca="1"/>
        <v>0.01</v>
      </c>
      <c r="I8" s="138">
        <f ca="1"/>
        <v>0.03</v>
      </c>
      <c r="J8" s="138">
        <f ca="1"/>
        <v>0.9</v>
      </c>
      <c r="K8" s="138">
        <f ca="1"/>
        <v>2</v>
      </c>
    </row>
    <row r="9" spans="1:11" x14ac:dyDescent="0.3">
      <c r="A9" s="138">
        <f ca="1"/>
        <v>8</v>
      </c>
      <c r="B9" s="138" t="str">
        <f ca="1"/>
        <v xml:space="preserve">Free-CropsWaste </v>
      </c>
      <c r="C9" s="138">
        <f ca="1"/>
        <v>6</v>
      </c>
      <c r="D9" s="138">
        <f ca="1"/>
        <v>6</v>
      </c>
      <c r="E9" s="138">
        <f ca="1"/>
        <v>1</v>
      </c>
      <c r="F9" s="138">
        <f ca="1"/>
        <v>0</v>
      </c>
      <c r="G9" s="138">
        <f ca="1"/>
        <v>0</v>
      </c>
      <c r="H9" s="138">
        <f ca="1"/>
        <v>0</v>
      </c>
      <c r="I9" s="138">
        <f ca="1"/>
        <v>1E-3</v>
      </c>
      <c r="J9" s="138">
        <f ca="1"/>
        <v>1</v>
      </c>
      <c r="K9" s="138">
        <f ca="1"/>
        <v>0</v>
      </c>
    </row>
    <row r="10" spans="1:11" x14ac:dyDescent="0.3">
      <c r="A10" s="138">
        <f ca="1"/>
        <v>9</v>
      </c>
      <c r="B10" s="138" t="str">
        <f ca="1"/>
        <v>Wood-Pellets</v>
      </c>
      <c r="C10" s="138">
        <f ca="1"/>
        <v>7</v>
      </c>
      <c r="D10" s="138">
        <f ca="1"/>
        <v>3</v>
      </c>
      <c r="E10" s="138">
        <f ca="1"/>
        <v>0.95</v>
      </c>
      <c r="F10" s="138">
        <f ca="1"/>
        <v>0</v>
      </c>
      <c r="G10" s="138">
        <f ca="1"/>
        <v>0</v>
      </c>
      <c r="H10" s="138">
        <f ca="1"/>
        <v>0.05</v>
      </c>
      <c r="I10" s="138">
        <f ca="1"/>
        <v>5.0000000000000001E-3</v>
      </c>
      <c r="J10" s="138">
        <f ca="1"/>
        <v>1</v>
      </c>
      <c r="K10" s="138">
        <f ca="1"/>
        <v>10</v>
      </c>
    </row>
    <row r="11" spans="1:11" x14ac:dyDescent="0.3">
      <c r="A11" s="138">
        <f ca="1"/>
        <v>10</v>
      </c>
      <c r="B11" s="138" t="str">
        <f ca="1"/>
        <v>Free-Firewood</v>
      </c>
      <c r="C11" s="138">
        <f ca="1"/>
        <v>8</v>
      </c>
      <c r="D11" s="138">
        <f ca="1"/>
        <v>3</v>
      </c>
      <c r="E11" s="138">
        <f ca="1"/>
        <v>0.98</v>
      </c>
      <c r="F11" s="138">
        <f ca="1"/>
        <v>0</v>
      </c>
      <c r="G11" s="138">
        <f ca="1"/>
        <v>0</v>
      </c>
      <c r="H11" s="138">
        <f ca="1"/>
        <v>0</v>
      </c>
      <c r="I11" s="138">
        <f ca="1"/>
        <v>1E-3</v>
      </c>
      <c r="J11" s="138">
        <f ca="1"/>
        <v>1</v>
      </c>
      <c r="K11" s="138">
        <f ca="1"/>
        <v>0</v>
      </c>
    </row>
    <row r="12" spans="1:11" x14ac:dyDescent="0.3">
      <c r="A12" s="138">
        <f ca="1"/>
        <v>11</v>
      </c>
      <c r="B12" s="138" t="str">
        <f ca="1"/>
        <v>Ethanol</v>
      </c>
      <c r="C12" s="138">
        <f ca="1"/>
        <v>9</v>
      </c>
      <c r="D12" s="138">
        <f ca="1"/>
        <v>4</v>
      </c>
      <c r="E12" s="138">
        <f ca="1"/>
        <v>0.98</v>
      </c>
      <c r="F12" s="138">
        <f ca="1"/>
        <v>0</v>
      </c>
      <c r="G12" s="138">
        <f ca="1"/>
        <v>0</v>
      </c>
      <c r="H12" s="138">
        <f ca="1"/>
        <v>0.05</v>
      </c>
      <c r="I12" s="138">
        <f ca="1"/>
        <v>0.02</v>
      </c>
      <c r="J12" s="138">
        <f ca="1"/>
        <v>1</v>
      </c>
      <c r="K12" s="138">
        <f ca="1"/>
        <v>20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183D8-D53F-4446-A3E6-8FD7055BB414}">
  <sheetPr codeName="Sheet60"/>
  <dimension ref="A1:K14"/>
  <sheetViews>
    <sheetView workbookViewId="0">
      <selection activeCell="A2" sqref="A2"/>
    </sheetView>
  </sheetViews>
  <sheetFormatPr defaultColWidth="5.6640625" defaultRowHeight="14.4" x14ac:dyDescent="0.3"/>
  <cols>
    <col min="1" max="11" width="14.77734375" style="138" customWidth="1"/>
    <col min="12" max="16384" width="5.6640625" style="138"/>
  </cols>
  <sheetData>
    <row r="1" spans="1:11" x14ac:dyDescent="0.3">
      <c r="A1" s="138" t="s">
        <v>1255</v>
      </c>
      <c r="B1" s="138" t="s">
        <v>1256</v>
      </c>
      <c r="C1" s="138" t="s">
        <v>1257</v>
      </c>
      <c r="D1" s="138" t="s">
        <v>1258</v>
      </c>
      <c r="E1" s="138" t="s">
        <v>1259</v>
      </c>
      <c r="F1" s="138" t="s">
        <v>1260</v>
      </c>
      <c r="G1" s="138" t="s">
        <v>456</v>
      </c>
      <c r="H1" s="138" t="s">
        <v>1248</v>
      </c>
      <c r="I1" s="138" t="s">
        <v>1261</v>
      </c>
      <c r="J1" s="138" t="s">
        <v>1245</v>
      </c>
      <c r="K1" s="138" t="s">
        <v>1241</v>
      </c>
    </row>
    <row r="2" spans="1:11" x14ac:dyDescent="0.3">
      <c r="A2" s="138" cm="1">
        <f t="array" aca="1" ref="A2:K14" ca="1">OFFSET(INDIRECT(ADDRESS(21+Internal!$B$5+3+1+Internal!$B$6+4+1+Internal!$B$7+3+1,1,,,"Ck1")),0,0,Internal!$B$8,11)</f>
        <v>1</v>
      </c>
      <c r="B2" s="138" t="str">
        <f ca="1"/>
        <v>Electric_0</v>
      </c>
      <c r="C2" s="138">
        <f ca="1"/>
        <v>0</v>
      </c>
      <c r="D2" s="138">
        <f ca="1"/>
        <v>0.08</v>
      </c>
      <c r="E2" s="138">
        <f ca="1"/>
        <v>0.08</v>
      </c>
      <c r="F2" s="138">
        <f ca="1"/>
        <v>30</v>
      </c>
      <c r="G2" s="138">
        <f ca="1"/>
        <v>7300</v>
      </c>
      <c r="H2" s="138">
        <f ca="1"/>
        <v>1</v>
      </c>
      <c r="I2" s="138">
        <f ca="1"/>
        <v>0</v>
      </c>
      <c r="J2" s="138">
        <f ca="1"/>
        <v>1.6666666666666666E-2</v>
      </c>
      <c r="K2" s="138">
        <f ca="1"/>
        <v>0</v>
      </c>
    </row>
    <row r="3" spans="1:11" x14ac:dyDescent="0.3">
      <c r="A3" s="138">
        <f ca="1"/>
        <v>2</v>
      </c>
      <c r="B3" s="138" t="str">
        <f ca="1"/>
        <v>Electric_1</v>
      </c>
      <c r="C3" s="138">
        <f ca="1"/>
        <v>0</v>
      </c>
      <c r="D3" s="138">
        <f ca="1"/>
        <v>8.5000000000000006E-2</v>
      </c>
      <c r="E3" s="138">
        <f ca="1"/>
        <v>8.5000000000000006E-2</v>
      </c>
      <c r="F3" s="138">
        <f ca="1"/>
        <v>57.25</v>
      </c>
      <c r="G3" s="138">
        <f ca="1"/>
        <v>7300</v>
      </c>
      <c r="H3" s="138">
        <f ca="1"/>
        <v>1.4</v>
      </c>
      <c r="I3" s="138">
        <f ca="1"/>
        <v>0</v>
      </c>
      <c r="J3" s="138">
        <f ca="1"/>
        <v>1.6666666666666666E-2</v>
      </c>
      <c r="K3" s="138">
        <f ca="1"/>
        <v>0</v>
      </c>
    </row>
    <row r="4" spans="1:11" x14ac:dyDescent="0.3">
      <c r="A4" s="138">
        <f ca="1"/>
        <v>3</v>
      </c>
      <c r="B4" s="138" t="str">
        <f ca="1"/>
        <v>Electric_2</v>
      </c>
      <c r="C4" s="138">
        <f ca="1"/>
        <v>0</v>
      </c>
      <c r="D4" s="138">
        <f ca="1"/>
        <v>9.8000000000000004E-2</v>
      </c>
      <c r="E4" s="138">
        <f ca="1"/>
        <v>9.8000000000000004E-2</v>
      </c>
      <c r="F4" s="138">
        <f ca="1"/>
        <v>87</v>
      </c>
      <c r="G4" s="138">
        <f ca="1"/>
        <v>7300</v>
      </c>
      <c r="H4" s="138">
        <f ca="1"/>
        <v>1.9</v>
      </c>
      <c r="I4" s="138">
        <f ca="1"/>
        <v>0</v>
      </c>
      <c r="J4" s="138">
        <f ca="1"/>
        <v>1.6666666666666666E-2</v>
      </c>
      <c r="K4" s="138">
        <f ca="1"/>
        <v>0</v>
      </c>
    </row>
    <row r="5" spans="1:11" x14ac:dyDescent="0.3">
      <c r="A5" s="138">
        <f ca="1"/>
        <v>4</v>
      </c>
      <c r="B5" s="138" t="str">
        <f ca="1"/>
        <v>LPG</v>
      </c>
      <c r="C5" s="138">
        <f ca="1"/>
        <v>0</v>
      </c>
      <c r="D5" s="138">
        <f ca="1"/>
        <v>0.08</v>
      </c>
      <c r="E5" s="138">
        <f ca="1"/>
        <v>0.08</v>
      </c>
      <c r="F5" s="138">
        <f ca="1"/>
        <v>68</v>
      </c>
      <c r="G5" s="138">
        <f ca="1"/>
        <v>5475</v>
      </c>
      <c r="H5" s="138">
        <f ca="1"/>
        <v>1.04</v>
      </c>
      <c r="I5" s="138">
        <f ca="1"/>
        <v>0.11910918341813329</v>
      </c>
      <c r="J5" s="138">
        <f ca="1"/>
        <v>0.05</v>
      </c>
      <c r="K5" s="138">
        <f ca="1"/>
        <v>7.9192156718657189E-2</v>
      </c>
    </row>
    <row r="6" spans="1:11" x14ac:dyDescent="0.3">
      <c r="A6" s="138">
        <f ca="1"/>
        <v>5</v>
      </c>
      <c r="B6" s="138" t="str">
        <f ca="1"/>
        <v>Biogas</v>
      </c>
      <c r="C6" s="138">
        <f ca="1"/>
        <v>0</v>
      </c>
      <c r="D6" s="138">
        <f ca="1"/>
        <v>0.08</v>
      </c>
      <c r="E6" s="138">
        <f ca="1"/>
        <v>0.08</v>
      </c>
      <c r="F6" s="138">
        <f ca="1"/>
        <v>68</v>
      </c>
      <c r="G6" s="138">
        <f ca="1"/>
        <v>5475</v>
      </c>
      <c r="H6" s="138">
        <f ca="1"/>
        <v>1.04</v>
      </c>
      <c r="I6" s="138">
        <f ca="1"/>
        <v>0.56284927850529642</v>
      </c>
      <c r="J6" s="138">
        <f ca="1"/>
        <v>0.05</v>
      </c>
      <c r="K6" s="138">
        <f ca="1"/>
        <v>0.16889554009599311</v>
      </c>
    </row>
    <row r="7" spans="1:11" x14ac:dyDescent="0.3">
      <c r="A7" s="138">
        <f ca="1"/>
        <v>6</v>
      </c>
      <c r="B7" s="138" t="str">
        <f ca="1"/>
        <v>Charcoal_0</v>
      </c>
      <c r="C7" s="138">
        <f ca="1"/>
        <v>0</v>
      </c>
      <c r="D7" s="138">
        <f ca="1"/>
        <v>0</v>
      </c>
      <c r="E7" s="138">
        <f ca="1"/>
        <v>0</v>
      </c>
      <c r="F7" s="138">
        <f ca="1"/>
        <v>0</v>
      </c>
      <c r="G7" s="138">
        <f ca="1"/>
        <v>1</v>
      </c>
      <c r="H7" s="138">
        <f ca="1"/>
        <v>0.21</v>
      </c>
      <c r="I7" s="138">
        <f ca="1"/>
        <v>0.76236550170990069</v>
      </c>
      <c r="J7" s="138">
        <f ca="1"/>
        <v>1</v>
      </c>
      <c r="K7" s="138">
        <f ca="1"/>
        <v>1.7235389219497095</v>
      </c>
    </row>
    <row r="8" spans="1:11" x14ac:dyDescent="0.3">
      <c r="A8" s="138">
        <f ca="1"/>
        <v>7</v>
      </c>
      <c r="B8" s="138" t="str">
        <f ca="1"/>
        <v>Charcoal_1</v>
      </c>
      <c r="C8" s="138">
        <f ca="1"/>
        <v>0</v>
      </c>
      <c r="D8" s="138">
        <f ca="1"/>
        <v>0.15</v>
      </c>
      <c r="E8" s="138">
        <f ca="1"/>
        <v>0.15</v>
      </c>
      <c r="F8" s="138">
        <f ca="1"/>
        <v>25</v>
      </c>
      <c r="G8" s="138">
        <f ca="1"/>
        <v>1825</v>
      </c>
      <c r="H8" s="138">
        <f ca="1"/>
        <v>0.36</v>
      </c>
      <c r="I8" s="138">
        <f ca="1"/>
        <v>0.71598965718575358</v>
      </c>
      <c r="J8" s="138">
        <f ca="1"/>
        <v>0.83333333333333337</v>
      </c>
      <c r="K8" s="138">
        <f ca="1"/>
        <v>1.1645865104208473</v>
      </c>
    </row>
    <row r="9" spans="1:11" x14ac:dyDescent="0.3">
      <c r="A9" s="138">
        <f ca="1"/>
        <v>8</v>
      </c>
      <c r="B9" s="138" t="str">
        <f ca="1"/>
        <v>Charcoal_2</v>
      </c>
      <c r="C9" s="138">
        <f ca="1"/>
        <v>0</v>
      </c>
      <c r="D9" s="138">
        <f ca="1"/>
        <v>0.15</v>
      </c>
      <c r="E9" s="138">
        <f ca="1"/>
        <v>0.15</v>
      </c>
      <c r="F9" s="138">
        <f ca="1"/>
        <v>50</v>
      </c>
      <c r="G9" s="138">
        <f ca="1"/>
        <v>3650</v>
      </c>
      <c r="H9" s="138">
        <f ca="1"/>
        <v>0.5</v>
      </c>
      <c r="I9" s="138">
        <f ca="1"/>
        <v>0.44315622654099585</v>
      </c>
      <c r="J9" s="138">
        <f ca="1"/>
        <v>0.66666666666666663</v>
      </c>
      <c r="K9" s="138">
        <f ca="1"/>
        <v>0.83850228750300992</v>
      </c>
    </row>
    <row r="10" spans="1:11" x14ac:dyDescent="0.3">
      <c r="A10" s="138">
        <f ca="1"/>
        <v>9</v>
      </c>
      <c r="B10" s="138" t="str">
        <f ca="1"/>
        <v>Firewood-Bio_0</v>
      </c>
      <c r="C10" s="138">
        <f ca="1"/>
        <v>0</v>
      </c>
      <c r="D10" s="138">
        <f ca="1"/>
        <v>0</v>
      </c>
      <c r="E10" s="138">
        <f ca="1"/>
        <v>0</v>
      </c>
      <c r="F10" s="138">
        <f ca="1"/>
        <v>0</v>
      </c>
      <c r="G10" s="138">
        <f ca="1"/>
        <v>1</v>
      </c>
      <c r="H10" s="138">
        <f ca="1"/>
        <v>0.12</v>
      </c>
      <c r="I10" s="138">
        <f ca="1"/>
        <v>1</v>
      </c>
      <c r="J10" s="138">
        <f ca="1"/>
        <v>1</v>
      </c>
      <c r="K10" s="138">
        <f ca="1"/>
        <v>4.5301561658589122</v>
      </c>
    </row>
    <row r="11" spans="1:11" x14ac:dyDescent="0.3">
      <c r="A11" s="138">
        <f ca="1"/>
        <v>10</v>
      </c>
      <c r="B11" s="138" t="str">
        <f ca="1"/>
        <v>Firewood-Bio_1</v>
      </c>
      <c r="C11" s="138">
        <f ca="1"/>
        <v>0</v>
      </c>
      <c r="D11" s="138">
        <f ca="1"/>
        <v>0.15</v>
      </c>
      <c r="E11" s="138">
        <f ca="1"/>
        <v>0.15</v>
      </c>
      <c r="F11" s="138">
        <f ca="1"/>
        <v>20</v>
      </c>
      <c r="G11" s="138">
        <f ca="1"/>
        <v>1825</v>
      </c>
      <c r="H11" s="138">
        <f ca="1"/>
        <v>0.24</v>
      </c>
      <c r="I11" s="138">
        <f ca="1"/>
        <v>0.92534823588289261</v>
      </c>
      <c r="J11" s="138">
        <f ca="1"/>
        <v>0.83333333333333337</v>
      </c>
      <c r="K11" s="138">
        <f ca="1"/>
        <v>2.2436822063235637</v>
      </c>
    </row>
    <row r="12" spans="1:11" x14ac:dyDescent="0.3">
      <c r="A12" s="138">
        <f ca="1"/>
        <v>11</v>
      </c>
      <c r="B12" s="138" t="str">
        <f ca="1"/>
        <v>Firewood-Bio_2</v>
      </c>
      <c r="C12" s="138">
        <f ca="1"/>
        <v>0</v>
      </c>
      <c r="D12" s="138">
        <f ca="1"/>
        <v>0.15</v>
      </c>
      <c r="E12" s="138">
        <f ca="1"/>
        <v>0.15</v>
      </c>
      <c r="F12" s="138">
        <f ca="1"/>
        <v>40</v>
      </c>
      <c r="G12" s="138">
        <f ca="1"/>
        <v>3650</v>
      </c>
      <c r="H12" s="138">
        <f ca="1"/>
        <v>0.36</v>
      </c>
      <c r="I12" s="138">
        <f ca="1"/>
        <v>0.84894486612728326</v>
      </c>
      <c r="J12" s="138">
        <f ca="1"/>
        <v>0.66666666666666663</v>
      </c>
      <c r="K12" s="138">
        <f ca="1"/>
        <v>1.4459445598379363</v>
      </c>
    </row>
    <row r="13" spans="1:11" x14ac:dyDescent="0.3">
      <c r="A13" s="138">
        <f ca="1"/>
        <v>12</v>
      </c>
      <c r="B13" s="138" t="str">
        <f ca="1"/>
        <v>Pellets</v>
      </c>
      <c r="C13" s="138">
        <f ca="1"/>
        <v>0</v>
      </c>
      <c r="D13" s="138">
        <f ca="1"/>
        <v>0</v>
      </c>
      <c r="E13" s="138">
        <f ca="1"/>
        <v>0.15</v>
      </c>
      <c r="F13" s="138">
        <f ca="1"/>
        <v>72</v>
      </c>
      <c r="G13" s="138">
        <f ca="1"/>
        <v>5475</v>
      </c>
      <c r="H13" s="138">
        <f ca="1"/>
        <v>0.8</v>
      </c>
      <c r="I13" s="138">
        <f ca="1"/>
        <v>0.66102260405371582</v>
      </c>
      <c r="J13" s="138">
        <f ca="1"/>
        <v>0.33333333333333331</v>
      </c>
      <c r="K13" s="138">
        <f ca="1"/>
        <v>0.37</v>
      </c>
    </row>
    <row r="14" spans="1:11" x14ac:dyDescent="0.3">
      <c r="A14" s="138">
        <f ca="1"/>
        <v>13</v>
      </c>
      <c r="B14" s="138" t="str">
        <f ca="1"/>
        <v>Ethanol</v>
      </c>
      <c r="C14" s="138">
        <f ca="1"/>
        <v>0</v>
      </c>
      <c r="D14" s="138">
        <f ca="1"/>
        <v>0.08</v>
      </c>
      <c r="E14" s="138">
        <f ca="1"/>
        <v>0.08</v>
      </c>
      <c r="F14" s="138">
        <f ca="1"/>
        <v>40</v>
      </c>
      <c r="G14" s="138">
        <f ca="1"/>
        <v>5475</v>
      </c>
      <c r="H14" s="138">
        <f ca="1"/>
        <v>0.9</v>
      </c>
      <c r="I14" s="138">
        <f ca="1"/>
        <v>0.39</v>
      </c>
      <c r="J14" s="138">
        <f ca="1"/>
        <v>0.05</v>
      </c>
      <c r="K14" s="138">
        <f ca="1"/>
        <v>0.14699999999999999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D097-F2B3-45F5-97C6-89ECEB5073AA}">
  <sheetPr codeName="Sheet61"/>
  <dimension ref="A1:D20"/>
  <sheetViews>
    <sheetView workbookViewId="0"/>
  </sheetViews>
  <sheetFormatPr defaultColWidth="5.6640625" defaultRowHeight="14.4" x14ac:dyDescent="0.3"/>
  <cols>
    <col min="1" max="4" width="14.77734375" style="138" customWidth="1"/>
    <col min="5" max="16384" width="5.6640625" style="138"/>
  </cols>
  <sheetData>
    <row r="1" spans="1:4" x14ac:dyDescent="0.3">
      <c r="A1" s="138" t="s">
        <v>1262</v>
      </c>
      <c r="B1" s="138" t="s">
        <v>1263</v>
      </c>
      <c r="C1" s="138" t="s">
        <v>1242</v>
      </c>
      <c r="D1" s="138" t="s">
        <v>1255</v>
      </c>
    </row>
    <row r="2" spans="1:4" x14ac:dyDescent="0.3">
      <c r="A2" s="138" cm="1">
        <f t="array" aca="1" ref="A2:B20" ca="1">OFFSET(INDIRECT(ADDRESS(21+Internal!$B$5+3+1+Internal!$B$6+4+1+Internal!$B$7+3+1+Internal!$B$8+2+1,1,,,"Ck1")),0,0,Internal!$B$9,2)</f>
        <v>1</v>
      </c>
      <c r="B2" s="138" t="str">
        <f ca="1"/>
        <v>Electric_0</v>
      </c>
      <c r="C2" s="138" cm="1">
        <f t="array" aca="1" ref="C2:C20" ca="1">MATCH(OFFSET(INDIRECT(ADDRESS(21+Internal!$B$5+3+1+Internal!$B$6+4+1+Internal!$B$7+3+1+Internal!$B$8+2+1,3,,,"Ck1")),0,0,Internal!$B$9,1),Internal!$M$2:$M$21,0)</f>
        <v>1</v>
      </c>
      <c r="D2" s="138" cm="1">
        <f t="array" aca="1" ref="D2:D20" ca="1">MATCH(OFFSET(INDIRECT(ADDRESS(21+Internal!$B$5+3+1+Internal!$B$6+4+1+Internal!$B$7+3+1+Internal!$B$8+2+1,4,,,"Ck1")),0,0,Internal!$B$9,1),Internal!$Q$2:$Q$21,0)</f>
        <v>1</v>
      </c>
    </row>
    <row r="3" spans="1:4" x14ac:dyDescent="0.3">
      <c r="A3" s="138">
        <f ca="1"/>
        <v>2</v>
      </c>
      <c r="B3" s="138" t="str">
        <f ca="1"/>
        <v>Electric_1</v>
      </c>
      <c r="C3" s="138">
        <f ca="1"/>
        <v>1</v>
      </c>
      <c r="D3" s="138">
        <f ca="1"/>
        <v>2</v>
      </c>
    </row>
    <row r="4" spans="1:4" x14ac:dyDescent="0.3">
      <c r="A4" s="138">
        <f ca="1"/>
        <v>3</v>
      </c>
      <c r="B4" s="138" t="str">
        <f ca="1"/>
        <v>Electric_2</v>
      </c>
      <c r="C4" s="138">
        <f ca="1"/>
        <v>1</v>
      </c>
      <c r="D4" s="138">
        <f ca="1"/>
        <v>3</v>
      </c>
    </row>
    <row r="5" spans="1:4" x14ac:dyDescent="0.3">
      <c r="A5" s="138">
        <f ca="1"/>
        <v>4</v>
      </c>
      <c r="B5" s="138" t="str">
        <f ca="1"/>
        <v>LPG</v>
      </c>
      <c r="C5" s="138">
        <f ca="1"/>
        <v>2</v>
      </c>
      <c r="D5" s="138">
        <f ca="1"/>
        <v>4</v>
      </c>
    </row>
    <row r="6" spans="1:4" x14ac:dyDescent="0.3">
      <c r="A6" s="138">
        <f ca="1"/>
        <v>5</v>
      </c>
      <c r="B6" s="138" t="str">
        <f ca="1"/>
        <v>Biogas</v>
      </c>
      <c r="C6" s="138">
        <f ca="1"/>
        <v>3</v>
      </c>
      <c r="D6" s="138">
        <f ca="1"/>
        <v>5</v>
      </c>
    </row>
    <row r="7" spans="1:4" x14ac:dyDescent="0.3">
      <c r="A7" s="138">
        <f ca="1"/>
        <v>6</v>
      </c>
      <c r="B7" s="138" t="str">
        <f ca="1"/>
        <v>Charcoal_0</v>
      </c>
      <c r="C7" s="138">
        <f ca="1"/>
        <v>4</v>
      </c>
      <c r="D7" s="138">
        <f ca="1"/>
        <v>6</v>
      </c>
    </row>
    <row r="8" spans="1:4" x14ac:dyDescent="0.3">
      <c r="A8" s="138">
        <f ca="1"/>
        <v>7</v>
      </c>
      <c r="B8" s="138" t="str">
        <f ca="1"/>
        <v>Charcoal_1</v>
      </c>
      <c r="C8" s="138">
        <f ca="1"/>
        <v>4</v>
      </c>
      <c r="D8" s="138">
        <f ca="1"/>
        <v>7</v>
      </c>
    </row>
    <row r="9" spans="1:4" x14ac:dyDescent="0.3">
      <c r="A9" s="138">
        <f ca="1"/>
        <v>8</v>
      </c>
      <c r="B9" s="138" t="str">
        <f ca="1"/>
        <v>Charcoal_2</v>
      </c>
      <c r="C9" s="138">
        <f ca="1"/>
        <v>4</v>
      </c>
      <c r="D9" s="138">
        <f ca="1"/>
        <v>8</v>
      </c>
    </row>
    <row r="10" spans="1:4" x14ac:dyDescent="0.3">
      <c r="A10" s="138">
        <f ca="1"/>
        <v>9</v>
      </c>
      <c r="B10" s="138" t="str">
        <f ca="1"/>
        <v>Com-Firewood_0</v>
      </c>
      <c r="C10" s="138">
        <f ca="1"/>
        <v>5</v>
      </c>
      <c r="D10" s="138">
        <f ca="1"/>
        <v>9</v>
      </c>
    </row>
    <row r="11" spans="1:4" x14ac:dyDescent="0.3">
      <c r="A11" s="138">
        <f ca="1"/>
        <v>10</v>
      </c>
      <c r="B11" s="138" t="str">
        <f ca="1"/>
        <v>Com-Firewood_1</v>
      </c>
      <c r="C11" s="138">
        <f ca="1"/>
        <v>5</v>
      </c>
      <c r="D11" s="138">
        <f ca="1"/>
        <v>10</v>
      </c>
    </row>
    <row r="12" spans="1:4" x14ac:dyDescent="0.3">
      <c r="A12" s="138">
        <f ca="1"/>
        <v>11</v>
      </c>
      <c r="B12" s="138" t="str">
        <f ca="1"/>
        <v>Com-Firewood_2</v>
      </c>
      <c r="C12" s="138">
        <f ca="1"/>
        <v>5</v>
      </c>
      <c r="D12" s="138">
        <f ca="1"/>
        <v>11</v>
      </c>
    </row>
    <row r="13" spans="1:4" x14ac:dyDescent="0.3">
      <c r="A13" s="138">
        <f ca="1"/>
        <v>12</v>
      </c>
      <c r="B13" s="138" t="str">
        <f ca="1"/>
        <v>Free-Biomass_0</v>
      </c>
      <c r="C13" s="138">
        <f ca="1"/>
        <v>6</v>
      </c>
      <c r="D13" s="138">
        <f ca="1"/>
        <v>9</v>
      </c>
    </row>
    <row r="14" spans="1:4" x14ac:dyDescent="0.3">
      <c r="A14" s="138">
        <f ca="1"/>
        <v>13</v>
      </c>
      <c r="B14" s="138" t="str">
        <f ca="1"/>
        <v>Free-Biomass_1</v>
      </c>
      <c r="C14" s="138">
        <f ca="1"/>
        <v>6</v>
      </c>
      <c r="D14" s="138">
        <f ca="1"/>
        <v>10</v>
      </c>
    </row>
    <row r="15" spans="1:4" x14ac:dyDescent="0.3">
      <c r="A15" s="138">
        <f ca="1"/>
        <v>14</v>
      </c>
      <c r="B15" s="138" t="str">
        <f ca="1"/>
        <v>Free-Biomass_2</v>
      </c>
      <c r="C15" s="138">
        <f ca="1"/>
        <v>6</v>
      </c>
      <c r="D15" s="138">
        <f ca="1"/>
        <v>11</v>
      </c>
    </row>
    <row r="16" spans="1:4" x14ac:dyDescent="0.3">
      <c r="A16" s="138">
        <f ca="1"/>
        <v>15</v>
      </c>
      <c r="B16" s="138" t="str">
        <f ca="1"/>
        <v>Pellets</v>
      </c>
      <c r="C16" s="138">
        <f ca="1"/>
        <v>7</v>
      </c>
      <c r="D16" s="138">
        <f ca="1"/>
        <v>12</v>
      </c>
    </row>
    <row r="17" spans="1:4" x14ac:dyDescent="0.3">
      <c r="A17" s="138">
        <f ca="1"/>
        <v>16</v>
      </c>
      <c r="B17" s="138" t="str">
        <f ca="1"/>
        <v>Free-Firewood_0</v>
      </c>
      <c r="C17" s="138">
        <f ca="1"/>
        <v>8</v>
      </c>
      <c r="D17" s="138">
        <f ca="1"/>
        <v>9</v>
      </c>
    </row>
    <row r="18" spans="1:4" x14ac:dyDescent="0.3">
      <c r="A18" s="138">
        <f ca="1"/>
        <v>17</v>
      </c>
      <c r="B18" s="138" t="str">
        <f ca="1"/>
        <v>Free-Firewood_1</v>
      </c>
      <c r="C18" s="138">
        <f ca="1"/>
        <v>8</v>
      </c>
      <c r="D18" s="138">
        <f ca="1"/>
        <v>10</v>
      </c>
    </row>
    <row r="19" spans="1:4" x14ac:dyDescent="0.3">
      <c r="A19" s="138">
        <f ca="1"/>
        <v>18</v>
      </c>
      <c r="B19" s="138" t="str">
        <f ca="1"/>
        <v>Free-Firewood_2</v>
      </c>
      <c r="C19" s="138">
        <f ca="1"/>
        <v>8</v>
      </c>
      <c r="D19" s="138">
        <f ca="1"/>
        <v>11</v>
      </c>
    </row>
    <row r="20" spans="1:4" x14ac:dyDescent="0.3">
      <c r="A20" s="138">
        <f ca="1"/>
        <v>19</v>
      </c>
      <c r="B20" s="138" t="str">
        <f ca="1"/>
        <v>Ethanol</v>
      </c>
      <c r="C20" s="138">
        <f ca="1"/>
        <v>9</v>
      </c>
      <c r="D20" s="138">
        <f ca="1"/>
        <v>13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8230C-2283-49C4-974D-1B0F817547BF}">
  <sheetPr codeName="Sheet65"/>
  <dimension ref="A1:U17"/>
  <sheetViews>
    <sheetView workbookViewId="0">
      <selection activeCell="C2" sqref="C2"/>
    </sheetView>
  </sheetViews>
  <sheetFormatPr defaultColWidth="5.6640625" defaultRowHeight="14.4" x14ac:dyDescent="0.3"/>
  <cols>
    <col min="1" max="14" width="13.77734375" style="138" customWidth="1"/>
    <col min="15" max="16384" width="5.6640625" style="138"/>
  </cols>
  <sheetData>
    <row r="1" spans="1:21" x14ac:dyDescent="0.3">
      <c r="A1" s="138" t="s">
        <v>1283</v>
      </c>
      <c r="B1" s="138" t="s">
        <v>1284</v>
      </c>
      <c r="C1" s="138" t="s">
        <v>1272</v>
      </c>
      <c r="D1" s="138" t="str" cm="1">
        <f t="array" aca="1" ref="D1:L1" ca="1">TRANSPOSE(OFFSET(Internal!$M$1,1,0,Internal!$B$6,1))</f>
        <v>Electricity</v>
      </c>
      <c r="E1" s="138" t="str">
        <f ca="1"/>
        <v>LPG</v>
      </c>
      <c r="F1" s="138" t="str">
        <f ca="1"/>
        <v>Biogas</v>
      </c>
      <c r="G1" s="138" t="str">
        <f ca="1"/>
        <v>Charcoal</v>
      </c>
      <c r="H1" s="138" t="str">
        <f ca="1"/>
        <v>Com-Firewood</v>
      </c>
      <c r="I1" s="138" t="str">
        <f ca="1"/>
        <v>Free-Biomass</v>
      </c>
      <c r="J1" s="138" t="str">
        <f ca="1"/>
        <v>Pellets</v>
      </c>
      <c r="K1" s="138" t="str">
        <f ca="1"/>
        <v>Free-Firewood</v>
      </c>
      <c r="L1" s="138" t="str">
        <f ca="1"/>
        <v>Ethanol</v>
      </c>
    </row>
    <row r="2" spans="1:21" x14ac:dyDescent="0.3">
      <c r="A2" s="151" cm="1">
        <f t="array" aca="1" ref="A2:A9" ca="1">INDEX(OFFSET(Internal!$T$2,0,0,2*Internal!$B$10,1),MATCH(OFFSET($B$2,0,0,2*Internal!$B$10,1),Internal!$U$2:$U$21,0),0)</f>
        <v>2</v>
      </c>
      <c r="B2" s="151" t="str" cm="1">
        <f t="array" aca="1" ref="B2:B9" ca="1">OFFSET('Bm1'!B25,0,0,2*Internal!$B$10,1)</f>
        <v>FORE</v>
      </c>
      <c r="C2" s="151" cm="1">
        <f t="array" aca="1" ref="C2:C9" ca="1">IF(OFFSET(INDIRECT(ADDRESS(14+2*Internal!$B$10+3,3,,,"Bm1")),0,0,2*Internal!$B$10,1)="urban",1,0)</f>
        <v>0</v>
      </c>
      <c r="D2" s="151" cm="1">
        <f t="array" aca="1" ref="D2:L9" ca="1">OFFSET(INDIRECT(ADDRESS(14+2*Internal!$B$10+3,4,,,"Bm1")),0,0,2*Internal!$B$10,Internal!$B$6)</f>
        <v>1</v>
      </c>
      <c r="E2" s="151">
        <f ca="1"/>
        <v>1</v>
      </c>
      <c r="F2" s="151">
        <f ca="1"/>
        <v>3</v>
      </c>
      <c r="G2" s="151">
        <f ca="1"/>
        <v>0.91480456170316449</v>
      </c>
      <c r="H2" s="151">
        <f ca="1"/>
        <v>1</v>
      </c>
      <c r="I2" s="151">
        <f ca="1"/>
        <v>1</v>
      </c>
      <c r="J2" s="151">
        <f ca="1"/>
        <v>1</v>
      </c>
      <c r="K2" s="151">
        <f ca="1"/>
        <v>1</v>
      </c>
      <c r="L2" s="151">
        <f ca="1"/>
        <v>1</v>
      </c>
      <c r="M2" s="151"/>
      <c r="N2" s="151"/>
      <c r="O2" s="151"/>
      <c r="P2" s="151"/>
      <c r="Q2" s="151"/>
      <c r="R2" s="151"/>
      <c r="S2" s="151"/>
      <c r="T2" s="151"/>
      <c r="U2" s="151"/>
    </row>
    <row r="3" spans="1:21" x14ac:dyDescent="0.3">
      <c r="A3" s="151">
        <f ca="1"/>
        <v>2</v>
      </c>
      <c r="B3" s="151" t="str">
        <f ca="1"/>
        <v>FORE</v>
      </c>
      <c r="C3" s="151">
        <f ca="1"/>
        <v>1</v>
      </c>
      <c r="D3" s="151">
        <f ca="1"/>
        <v>1</v>
      </c>
      <c r="E3" s="151">
        <f ca="1"/>
        <v>1</v>
      </c>
      <c r="F3" s="151">
        <f ca="1"/>
        <v>8</v>
      </c>
      <c r="G3" s="151">
        <f ca="1"/>
        <v>0.97</v>
      </c>
      <c r="H3" s="151">
        <f ca="1"/>
        <v>2</v>
      </c>
      <c r="I3" s="151">
        <f ca="1"/>
        <v>1</v>
      </c>
      <c r="J3" s="151">
        <f ca="1"/>
        <v>1</v>
      </c>
      <c r="K3" s="151">
        <f ca="1"/>
        <v>2</v>
      </c>
      <c r="L3" s="151">
        <f ca="1"/>
        <v>1</v>
      </c>
      <c r="M3" s="151"/>
      <c r="N3" s="151"/>
      <c r="O3" s="151"/>
      <c r="P3" s="151"/>
      <c r="Q3" s="151"/>
      <c r="R3" s="151"/>
      <c r="S3" s="151"/>
      <c r="T3" s="151"/>
      <c r="U3" s="151"/>
    </row>
    <row r="4" spans="1:21" x14ac:dyDescent="0.3">
      <c r="A4" s="151">
        <f ca="1"/>
        <v>5</v>
      </c>
      <c r="B4" s="151" t="str">
        <f ca="1"/>
        <v>AGRO</v>
      </c>
      <c r="C4" s="151">
        <f ca="1"/>
        <v>0</v>
      </c>
      <c r="D4" s="151">
        <f ca="1"/>
        <v>1</v>
      </c>
      <c r="E4" s="151">
        <f ca="1"/>
        <v>1</v>
      </c>
      <c r="F4" s="151">
        <f ca="1"/>
        <v>3</v>
      </c>
      <c r="G4" s="151">
        <f ca="1"/>
        <v>0.89675133646152561</v>
      </c>
      <c r="H4" s="151">
        <f ca="1"/>
        <v>1.25</v>
      </c>
      <c r="I4" s="151">
        <f ca="1"/>
        <v>1</v>
      </c>
      <c r="J4" s="151">
        <f ca="1"/>
        <v>1</v>
      </c>
      <c r="K4" s="151">
        <f ca="1"/>
        <v>1.25</v>
      </c>
      <c r="L4" s="151">
        <f ca="1"/>
        <v>1</v>
      </c>
      <c r="M4" s="151"/>
      <c r="N4" s="151"/>
      <c r="O4" s="151"/>
      <c r="P4" s="151"/>
      <c r="Q4" s="151"/>
      <c r="R4" s="151"/>
      <c r="S4" s="151"/>
      <c r="T4" s="151"/>
      <c r="U4" s="151"/>
    </row>
    <row r="5" spans="1:21" x14ac:dyDescent="0.3">
      <c r="A5" s="151">
        <f ca="1"/>
        <v>5</v>
      </c>
      <c r="B5" s="151" t="str">
        <f ca="1"/>
        <v>AGRO</v>
      </c>
      <c r="C5" s="151">
        <f ca="1"/>
        <v>1</v>
      </c>
      <c r="D5" s="151">
        <f ca="1"/>
        <v>1</v>
      </c>
      <c r="E5" s="151">
        <f ca="1"/>
        <v>1</v>
      </c>
      <c r="F5" s="151">
        <f ca="1"/>
        <v>7</v>
      </c>
      <c r="G5" s="151">
        <f ca="1"/>
        <v>1.053327008923084</v>
      </c>
      <c r="H5" s="151">
        <f ca="1"/>
        <v>1.25</v>
      </c>
      <c r="I5" s="151">
        <f ca="1"/>
        <v>1</v>
      </c>
      <c r="J5" s="151">
        <f ca="1"/>
        <v>1</v>
      </c>
      <c r="K5" s="151">
        <f ca="1"/>
        <v>1.25</v>
      </c>
      <c r="L5" s="151">
        <f ca="1"/>
        <v>1</v>
      </c>
      <c r="M5" s="151"/>
      <c r="N5" s="151"/>
      <c r="O5" s="151"/>
      <c r="P5" s="151"/>
      <c r="Q5" s="151"/>
      <c r="R5" s="151"/>
      <c r="S5" s="151"/>
      <c r="T5" s="151"/>
      <c r="U5" s="151"/>
    </row>
    <row r="6" spans="1:21" x14ac:dyDescent="0.3">
      <c r="A6" s="151">
        <f ca="1"/>
        <v>7</v>
      </c>
      <c r="B6" s="151" t="str">
        <f ca="1"/>
        <v>CITY</v>
      </c>
      <c r="C6" s="151">
        <f ca="1"/>
        <v>0</v>
      </c>
      <c r="D6" s="151">
        <f ca="1"/>
        <v>1</v>
      </c>
      <c r="E6" s="151">
        <f ca="1"/>
        <v>1</v>
      </c>
      <c r="F6" s="151">
        <f ca="1"/>
        <v>5</v>
      </c>
      <c r="G6" s="151">
        <f ca="1"/>
        <v>1.0071414881554424</v>
      </c>
      <c r="H6" s="151">
        <f ca="1"/>
        <v>1.75</v>
      </c>
      <c r="I6" s="151">
        <f ca="1"/>
        <v>1</v>
      </c>
      <c r="J6" s="151">
        <f ca="1"/>
        <v>1</v>
      </c>
      <c r="K6" s="151">
        <f ca="1"/>
        <v>1.75</v>
      </c>
      <c r="L6" s="151">
        <f ca="1"/>
        <v>1</v>
      </c>
      <c r="M6" s="151"/>
      <c r="N6" s="151"/>
      <c r="O6" s="151"/>
      <c r="P6" s="151"/>
      <c r="Q6" s="151"/>
      <c r="R6" s="151"/>
      <c r="S6" s="151"/>
      <c r="T6" s="151"/>
      <c r="U6" s="151"/>
    </row>
    <row r="7" spans="1:21" x14ac:dyDescent="0.3">
      <c r="A7" s="151">
        <f ca="1"/>
        <v>7</v>
      </c>
      <c r="B7" s="151" t="str">
        <f ca="1"/>
        <v>CITY</v>
      </c>
      <c r="C7" s="151">
        <f ca="1"/>
        <v>1</v>
      </c>
      <c r="D7" s="151">
        <f ca="1"/>
        <v>1</v>
      </c>
      <c r="E7" s="151">
        <f ca="1"/>
        <v>1</v>
      </c>
      <c r="F7" s="151">
        <f ca="1"/>
        <v>10</v>
      </c>
      <c r="G7" s="151">
        <f ca="1"/>
        <v>1.1829916367530615</v>
      </c>
      <c r="H7" s="151">
        <f ca="1"/>
        <v>5</v>
      </c>
      <c r="I7" s="151">
        <f ca="1"/>
        <v>1</v>
      </c>
      <c r="J7" s="151">
        <f ca="1"/>
        <v>1</v>
      </c>
      <c r="K7" s="151">
        <f ca="1"/>
        <v>5</v>
      </c>
      <c r="L7" s="151">
        <f ca="1"/>
        <v>1</v>
      </c>
      <c r="M7" s="151"/>
      <c r="N7" s="151"/>
      <c r="O7" s="151"/>
      <c r="P7" s="151"/>
      <c r="Q7" s="151"/>
      <c r="R7" s="151"/>
      <c r="S7" s="151"/>
      <c r="T7" s="151"/>
      <c r="U7" s="151"/>
    </row>
    <row r="8" spans="1:21" x14ac:dyDescent="0.3">
      <c r="A8" s="151">
        <f ca="1"/>
        <v>11</v>
      </c>
      <c r="B8" s="151" t="str">
        <f ca="1"/>
        <v>RAGE</v>
      </c>
      <c r="C8" s="151">
        <f ca="1"/>
        <v>0</v>
      </c>
      <c r="D8" s="151">
        <f ca="1"/>
        <v>1</v>
      </c>
      <c r="E8" s="151">
        <f ca="1"/>
        <v>1</v>
      </c>
      <c r="F8" s="151">
        <f ca="1"/>
        <v>3</v>
      </c>
      <c r="G8" s="151">
        <f ca="1"/>
        <v>1.0900000000000001</v>
      </c>
      <c r="H8" s="151">
        <f ca="1"/>
        <v>1.25</v>
      </c>
      <c r="I8" s="151">
        <f ca="1"/>
        <v>1</v>
      </c>
      <c r="J8" s="151">
        <f ca="1"/>
        <v>1</v>
      </c>
      <c r="K8" s="151">
        <f ca="1"/>
        <v>1.25</v>
      </c>
      <c r="L8" s="151">
        <f ca="1"/>
        <v>1</v>
      </c>
      <c r="M8" s="151"/>
      <c r="N8" s="151"/>
      <c r="O8" s="151"/>
      <c r="P8" s="151"/>
      <c r="Q8" s="151"/>
      <c r="R8" s="151"/>
      <c r="S8" s="151"/>
      <c r="T8" s="151"/>
      <c r="U8" s="151"/>
    </row>
    <row r="9" spans="1:21" x14ac:dyDescent="0.3">
      <c r="A9" s="151">
        <f ca="1"/>
        <v>11</v>
      </c>
      <c r="B9" s="151" t="str">
        <f ca="1"/>
        <v>RAGE</v>
      </c>
      <c r="C9" s="151">
        <f ca="1"/>
        <v>1</v>
      </c>
      <c r="D9" s="151">
        <f ca="1"/>
        <v>1</v>
      </c>
      <c r="E9" s="151">
        <f ca="1"/>
        <v>1</v>
      </c>
      <c r="F9" s="151">
        <f ca="1"/>
        <v>7</v>
      </c>
      <c r="G9" s="151">
        <f ca="1"/>
        <v>1.0900000000000001</v>
      </c>
      <c r="H9" s="151">
        <f ca="1"/>
        <v>1.25</v>
      </c>
      <c r="I9" s="151">
        <f ca="1"/>
        <v>1</v>
      </c>
      <c r="J9" s="151">
        <f ca="1"/>
        <v>1</v>
      </c>
      <c r="K9" s="151">
        <f ca="1"/>
        <v>1.25</v>
      </c>
      <c r="L9" s="151">
        <f ca="1"/>
        <v>1</v>
      </c>
      <c r="M9" s="151"/>
      <c r="N9" s="151"/>
      <c r="O9" s="151"/>
      <c r="P9" s="151"/>
      <c r="Q9" s="151"/>
      <c r="R9" s="151"/>
      <c r="S9" s="151"/>
      <c r="T9" s="151"/>
      <c r="U9" s="151"/>
    </row>
    <row r="10" spans="1:21" x14ac:dyDescent="0.3">
      <c r="A10" s="151"/>
      <c r="B10" s="151"/>
      <c r="C10" s="151"/>
      <c r="D10" s="151"/>
      <c r="E10" s="151"/>
      <c r="F10" s="151"/>
      <c r="G10" s="151"/>
      <c r="H10" s="151"/>
    </row>
    <row r="11" spans="1:21" x14ac:dyDescent="0.3">
      <c r="A11" s="151"/>
      <c r="B11" s="151"/>
      <c r="C11" s="151"/>
      <c r="D11" s="151"/>
      <c r="E11" s="151"/>
      <c r="F11" s="151"/>
      <c r="G11" s="151"/>
      <c r="H11" s="151"/>
    </row>
    <row r="12" spans="1:21" x14ac:dyDescent="0.3">
      <c r="A12" s="151"/>
      <c r="B12" s="151"/>
      <c r="C12" s="151"/>
      <c r="D12" s="151"/>
      <c r="E12" s="151"/>
      <c r="F12" s="151"/>
      <c r="G12" s="151"/>
      <c r="H12" s="151"/>
    </row>
    <row r="13" spans="1:21" x14ac:dyDescent="0.3">
      <c r="A13" s="151"/>
      <c r="B13" s="151"/>
      <c r="C13" s="151"/>
      <c r="D13" s="151"/>
      <c r="E13" s="151"/>
      <c r="F13" s="151"/>
      <c r="G13" s="151"/>
      <c r="H13" s="151"/>
    </row>
    <row r="14" spans="1:21" x14ac:dyDescent="0.3">
      <c r="A14" s="151"/>
      <c r="B14" s="151"/>
      <c r="C14" s="151"/>
      <c r="D14" s="151"/>
      <c r="E14" s="151"/>
      <c r="F14" s="151"/>
      <c r="G14" s="151"/>
      <c r="H14" s="151"/>
    </row>
    <row r="15" spans="1:21" x14ac:dyDescent="0.3">
      <c r="A15" s="151"/>
      <c r="B15" s="151"/>
      <c r="C15" s="151"/>
      <c r="D15" s="151"/>
      <c r="E15" s="151"/>
      <c r="F15" s="151"/>
      <c r="G15" s="151"/>
      <c r="H15" s="151"/>
    </row>
    <row r="16" spans="1:21" x14ac:dyDescent="0.3">
      <c r="A16" s="151"/>
      <c r="B16" s="151"/>
      <c r="C16" s="151"/>
      <c r="D16" s="151"/>
      <c r="E16" s="151"/>
      <c r="F16" s="151"/>
      <c r="G16" s="151"/>
      <c r="H16" s="151"/>
    </row>
    <row r="17" spans="1:8" x14ac:dyDescent="0.3">
      <c r="A17" s="151"/>
      <c r="B17" s="151"/>
      <c r="C17" s="151"/>
      <c r="D17" s="151"/>
      <c r="E17" s="151"/>
      <c r="F17" s="151"/>
      <c r="G17" s="151"/>
      <c r="H17" s="15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57577-9AD4-4829-BED0-29B7BF0D6F60}">
  <sheetPr codeName="Sheet78"/>
  <dimension ref="A1:E3"/>
  <sheetViews>
    <sheetView workbookViewId="0">
      <selection activeCell="C3" sqref="C3"/>
    </sheetView>
  </sheetViews>
  <sheetFormatPr defaultColWidth="5.6640625" defaultRowHeight="14.4" x14ac:dyDescent="0.3"/>
  <cols>
    <col min="1" max="1" width="10" bestFit="1" customWidth="1"/>
    <col min="2" max="2" width="9" bestFit="1" customWidth="1"/>
    <col min="3" max="3" width="7.33203125" customWidth="1"/>
  </cols>
  <sheetData>
    <row r="1" spans="1:5" x14ac:dyDescent="0.3">
      <c r="A1" s="139" t="s">
        <v>1242</v>
      </c>
      <c r="B1" s="139" t="s">
        <v>1994</v>
      </c>
      <c r="C1" s="139" t="s">
        <v>1995</v>
      </c>
      <c r="D1" s="138"/>
      <c r="E1" s="138"/>
    </row>
    <row r="2" spans="1:5" x14ac:dyDescent="0.3">
      <c r="A2" s="610">
        <v>1</v>
      </c>
      <c r="B2">
        <f>'El1'!$C$13</f>
        <v>1</v>
      </c>
      <c r="C2" s="610">
        <f>Co!$C$29</f>
        <v>0.05</v>
      </c>
      <c r="D2" s="139"/>
      <c r="E2" s="139"/>
    </row>
    <row r="3" spans="1:5" x14ac:dyDescent="0.3">
      <c r="A3">
        <v>2</v>
      </c>
      <c r="B3">
        <f>'LPG1'!$C$13</f>
        <v>1</v>
      </c>
      <c r="C3" s="610">
        <f>Co!$C$30</f>
        <v>7.0000000000000007E-2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84D0E-2255-4EB2-A782-5B862DF63FB6}">
  <sheetPr codeName="Sheet79"/>
  <dimension ref="A1:E5"/>
  <sheetViews>
    <sheetView workbookViewId="0">
      <selection activeCell="D49" sqref="D49"/>
    </sheetView>
  </sheetViews>
  <sheetFormatPr defaultColWidth="5.6640625" defaultRowHeight="14.4" x14ac:dyDescent="0.3"/>
  <cols>
    <col min="1" max="1" width="10" bestFit="1" customWidth="1"/>
    <col min="2" max="2" width="9" bestFit="1" customWidth="1"/>
    <col min="3" max="3" width="7.33203125" customWidth="1"/>
    <col min="5" max="5" width="7.88671875" bestFit="1" customWidth="1"/>
  </cols>
  <sheetData>
    <row r="1" spans="1:5" x14ac:dyDescent="0.3">
      <c r="A1" s="139" t="s">
        <v>1992</v>
      </c>
      <c r="B1" s="139" t="s">
        <v>282</v>
      </c>
      <c r="C1" s="139" t="s">
        <v>11</v>
      </c>
      <c r="D1" s="138"/>
      <c r="E1" s="138"/>
    </row>
    <row r="2" spans="1:5" x14ac:dyDescent="0.3">
      <c r="A2" s="138" cm="1">
        <f t="array" ref="A2:A5">_xlfn.LET(_xlpm.cnt,Internal!$B$13+1,_xlpm.startRow,23,_xlpm.cols,_xlfn.SEQUENCE(1,_xlpm.cnt,3,2),_xlpm.src,INDEX(Pl!$1:$1048576,_xlpm.startRow,_xlpm.cols),_xlpm.idx,_xlfn.SEQUENCE(_xlpm.cnt,1,1,1),INDEX(_xlpm.src,_xlpm.idx))</f>
        <v>10</v>
      </c>
      <c r="B2" s="138" cm="1">
        <f t="array" ref="B2:B5">_xlfn.LET(_xlpm.cnt,Internal!$B$13+1,_xlpm.startRow,23+1+1+1,_xlpm.cols,_xlfn.SEQUENCE(1,_xlpm.cnt,3,2),_xlpm.src,INDEX(Pl!$1:$1048576,_xlpm.startRow,_xlpm.cols),_xlpm.idx,_xlfn.SEQUENCE(_xlpm.cnt,1,1,1),INDEX(_xlpm.src,_xlpm.idx))</f>
        <v>0.45</v>
      </c>
      <c r="C2" s="138" cm="1">
        <f t="array" ref="C2:C5">_xlfn.LET(_xlpm.cnt,Internal!$B$13+1,_xlpm.startRow,23+1+1+1+1,_xlpm.cols,_xlfn.SEQUENCE(1,_xlpm.cnt,3,2),_xlpm.src,INDEX(Pl!$1:$1048576,_xlpm.startRow,_xlpm.cols),_xlpm.idx,_xlfn.SEQUENCE(_xlpm.cnt,1,1,1),INDEX(_xlpm.src,_xlpm.idx))</f>
        <v>0.4</v>
      </c>
      <c r="D2" s="139"/>
      <c r="E2" s="138"/>
    </row>
    <row r="3" spans="1:5" x14ac:dyDescent="0.3">
      <c r="A3">
        <v>11</v>
      </c>
      <c r="B3">
        <v>0.5</v>
      </c>
      <c r="C3">
        <v>0.4</v>
      </c>
    </row>
    <row r="4" spans="1:5" x14ac:dyDescent="0.3">
      <c r="A4">
        <v>12</v>
      </c>
      <c r="B4">
        <v>0.5</v>
      </c>
      <c r="C4">
        <v>0.43</v>
      </c>
    </row>
    <row r="5" spans="1:5" x14ac:dyDescent="0.3">
      <c r="A5">
        <v>13</v>
      </c>
      <c r="B5">
        <v>0.56999999999999995</v>
      </c>
      <c r="C5">
        <v>0.6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6A4E-4BF6-4E12-B548-AD3898461694}">
  <sheetPr codeName="Sheet80"/>
  <dimension ref="A1:K9"/>
  <sheetViews>
    <sheetView workbookViewId="0">
      <selection activeCell="C2" sqref="C2"/>
    </sheetView>
  </sheetViews>
  <sheetFormatPr defaultColWidth="5.6640625" defaultRowHeight="14.4" x14ac:dyDescent="0.3"/>
  <cols>
    <col min="1" max="11" width="12.77734375" customWidth="1"/>
  </cols>
  <sheetData>
    <row r="1" spans="1:11" x14ac:dyDescent="0.3">
      <c r="A1" s="139" t="s">
        <v>1992</v>
      </c>
      <c r="B1" s="139" t="s">
        <v>1272</v>
      </c>
      <c r="C1" s="138" t="str" cm="1">
        <f t="array" aca="1" ref="C1:K1" ca="1">TRANSPOSE(OFFSET(Internal!$M$1,1,0,Internal!$B$6,1))</f>
        <v>Electricity</v>
      </c>
      <c r="D1" s="138" t="str">
        <f ca="1"/>
        <v>LPG</v>
      </c>
      <c r="E1" s="138" t="str">
        <f ca="1"/>
        <v>Biogas</v>
      </c>
      <c r="F1" t="str">
        <f ca="1"/>
        <v>Charcoal</v>
      </c>
      <c r="G1" t="str">
        <f ca="1"/>
        <v>Com-Firewood</v>
      </c>
      <c r="H1" t="str">
        <f ca="1"/>
        <v>Free-Biomass</v>
      </c>
      <c r="I1" t="str">
        <f ca="1"/>
        <v>Pellets</v>
      </c>
      <c r="J1" t="str">
        <f ca="1"/>
        <v>Free-Firewood</v>
      </c>
      <c r="K1" t="str">
        <f ca="1"/>
        <v>Ethanol</v>
      </c>
    </row>
    <row r="2" spans="1:11" x14ac:dyDescent="0.3">
      <c r="A2" s="610" cm="1">
        <f t="array" aca="1" ref="A2:A9" ca="1">TRANSPOSE(_xlfn.SCAN("",OFFSET(Pl!$B$23,0,1,1,2*(Internal!$B$13+1)),_xlfn.LAMBDA(_xlpm.prev,_xlpm.cur,IF(_xlpm.cur&lt;&gt;"",_xlpm.cur,_xlpm.prev))))</f>
        <v>10</v>
      </c>
      <c r="B2" s="610" cm="1">
        <f t="array" aca="1" ref="B2:B9" ca="1">IF(TRANSPOSE(OFFSET(Pl!$C$29,0,0,1,2*(Internal!$B$13+1)))="urban",1,0)</f>
        <v>0</v>
      </c>
      <c r="C2" s="632" cm="1">
        <f t="array" aca="1" ref="C2:K9" ca="1">TRANSPOSE(OFFSET(Pl!$C$30,0,0,Internal!$B$6,2*(Internal!$B$13+1)))</f>
        <v>0.7</v>
      </c>
      <c r="D2" s="632">
        <f ca="1"/>
        <v>0.8</v>
      </c>
      <c r="E2" s="632">
        <f ca="1"/>
        <v>0.7</v>
      </c>
      <c r="F2" s="633">
        <f ca="1"/>
        <v>0.8</v>
      </c>
      <c r="G2" s="633">
        <f ca="1"/>
        <v>0.8</v>
      </c>
      <c r="H2" s="633">
        <f ca="1"/>
        <v>0.4</v>
      </c>
      <c r="I2" s="633">
        <f ca="1"/>
        <v>0.7</v>
      </c>
      <c r="J2" s="633">
        <f ca="1"/>
        <v>0.6</v>
      </c>
      <c r="K2" s="633">
        <f ca="1"/>
        <v>0.6</v>
      </c>
    </row>
    <row r="3" spans="1:11" x14ac:dyDescent="0.3">
      <c r="A3">
        <f ca="1"/>
        <v>10</v>
      </c>
      <c r="B3">
        <f ca="1"/>
        <v>1</v>
      </c>
      <c r="C3" s="633">
        <f ca="1"/>
        <v>0.7</v>
      </c>
      <c r="D3" s="633">
        <f ca="1"/>
        <v>0.8</v>
      </c>
      <c r="E3" s="633">
        <f ca="1"/>
        <v>0.8</v>
      </c>
      <c r="F3" s="633">
        <f ca="1"/>
        <v>1</v>
      </c>
      <c r="G3" s="633">
        <f ca="1"/>
        <v>0.9</v>
      </c>
      <c r="H3" s="633">
        <f ca="1"/>
        <v>0.8</v>
      </c>
      <c r="I3" s="633">
        <f ca="1"/>
        <v>0.5</v>
      </c>
      <c r="J3" s="633">
        <f ca="1"/>
        <v>0.8</v>
      </c>
      <c r="K3" s="633">
        <f ca="1"/>
        <v>0.8</v>
      </c>
    </row>
    <row r="4" spans="1:11" x14ac:dyDescent="0.3">
      <c r="A4">
        <f ca="1"/>
        <v>11</v>
      </c>
      <c r="B4">
        <f ca="1"/>
        <v>0</v>
      </c>
      <c r="C4" s="633">
        <f ca="1"/>
        <v>0.7</v>
      </c>
      <c r="D4" s="633">
        <f ca="1"/>
        <v>0.8</v>
      </c>
      <c r="E4" s="633">
        <f ca="1"/>
        <v>0.7</v>
      </c>
      <c r="F4" s="633">
        <f ca="1"/>
        <v>0.8</v>
      </c>
      <c r="G4" s="633">
        <f ca="1"/>
        <v>0.8</v>
      </c>
      <c r="H4" s="633">
        <f ca="1"/>
        <v>0.4</v>
      </c>
      <c r="I4" s="633">
        <f ca="1"/>
        <v>0.7</v>
      </c>
      <c r="J4" s="633">
        <f ca="1"/>
        <v>0.6</v>
      </c>
      <c r="K4" s="633">
        <f ca="1"/>
        <v>0.6</v>
      </c>
    </row>
    <row r="5" spans="1:11" x14ac:dyDescent="0.3">
      <c r="A5">
        <f ca="1"/>
        <v>11</v>
      </c>
      <c r="B5">
        <f ca="1"/>
        <v>1</v>
      </c>
      <c r="C5" s="633">
        <f ca="1"/>
        <v>0.7</v>
      </c>
      <c r="D5" s="633">
        <f ca="1"/>
        <v>0.8</v>
      </c>
      <c r="E5" s="633">
        <f ca="1"/>
        <v>0.8</v>
      </c>
      <c r="F5" s="633">
        <f ca="1"/>
        <v>1</v>
      </c>
      <c r="G5" s="633">
        <f ca="1"/>
        <v>0.9</v>
      </c>
      <c r="H5" s="633">
        <f ca="1"/>
        <v>0.8</v>
      </c>
      <c r="I5" s="633">
        <f ca="1"/>
        <v>0.5</v>
      </c>
      <c r="J5" s="633">
        <f ca="1"/>
        <v>0.8</v>
      </c>
      <c r="K5" s="633">
        <f ca="1"/>
        <v>0.8</v>
      </c>
    </row>
    <row r="6" spans="1:11" x14ac:dyDescent="0.3">
      <c r="A6">
        <f ca="1"/>
        <v>12</v>
      </c>
      <c r="B6">
        <f ca="1"/>
        <v>0</v>
      </c>
      <c r="C6" s="633">
        <f ca="1"/>
        <v>0.7</v>
      </c>
      <c r="D6" s="633">
        <f ca="1"/>
        <v>0.8</v>
      </c>
      <c r="E6" s="633">
        <f ca="1"/>
        <v>0.7</v>
      </c>
      <c r="F6" s="633">
        <f ca="1"/>
        <v>0.8</v>
      </c>
      <c r="G6" s="633">
        <f ca="1"/>
        <v>0.8</v>
      </c>
      <c r="H6" s="633">
        <f ca="1"/>
        <v>0.4</v>
      </c>
      <c r="I6" s="633">
        <f ca="1"/>
        <v>0.7</v>
      </c>
      <c r="J6" s="633">
        <f ca="1"/>
        <v>0.6</v>
      </c>
      <c r="K6" s="633">
        <f ca="1"/>
        <v>0.6</v>
      </c>
    </row>
    <row r="7" spans="1:11" x14ac:dyDescent="0.3">
      <c r="A7">
        <f ca="1"/>
        <v>12</v>
      </c>
      <c r="B7">
        <f ca="1"/>
        <v>1</v>
      </c>
      <c r="C7" s="633">
        <f ca="1"/>
        <v>0.7</v>
      </c>
      <c r="D7" s="633">
        <f ca="1"/>
        <v>0.8</v>
      </c>
      <c r="E7" s="633">
        <f ca="1"/>
        <v>0.8</v>
      </c>
      <c r="F7" s="633">
        <f ca="1"/>
        <v>1</v>
      </c>
      <c r="G7" s="633">
        <f ca="1"/>
        <v>0.9</v>
      </c>
      <c r="H7" s="633">
        <f ca="1"/>
        <v>0.8</v>
      </c>
      <c r="I7" s="633">
        <f ca="1"/>
        <v>0.5</v>
      </c>
      <c r="J7" s="633">
        <f ca="1"/>
        <v>0.8</v>
      </c>
      <c r="K7" s="633">
        <f ca="1"/>
        <v>0.8</v>
      </c>
    </row>
    <row r="8" spans="1:11" x14ac:dyDescent="0.3">
      <c r="A8">
        <f ca="1"/>
        <v>13</v>
      </c>
      <c r="B8">
        <f ca="1"/>
        <v>0</v>
      </c>
      <c r="C8" s="633">
        <f ca="1"/>
        <v>0.7</v>
      </c>
      <c r="D8" s="633">
        <f ca="1"/>
        <v>0.8</v>
      </c>
      <c r="E8" s="633">
        <f ca="1"/>
        <v>0.7</v>
      </c>
      <c r="F8" s="633">
        <f ca="1"/>
        <v>0.8</v>
      </c>
      <c r="G8" s="633">
        <f ca="1"/>
        <v>0.8</v>
      </c>
      <c r="H8" s="633">
        <f ca="1"/>
        <v>0.4</v>
      </c>
      <c r="I8" s="633">
        <f ca="1"/>
        <v>0.7</v>
      </c>
      <c r="J8" s="633">
        <f ca="1"/>
        <v>0.6</v>
      </c>
      <c r="K8" s="633">
        <f ca="1"/>
        <v>0.6</v>
      </c>
    </row>
    <row r="9" spans="1:11" x14ac:dyDescent="0.3">
      <c r="A9">
        <f ca="1"/>
        <v>13</v>
      </c>
      <c r="B9">
        <f ca="1"/>
        <v>1</v>
      </c>
      <c r="C9" s="633">
        <f ca="1"/>
        <v>0.7</v>
      </c>
      <c r="D9" s="633">
        <f ca="1"/>
        <v>0.8</v>
      </c>
      <c r="E9" s="633">
        <f ca="1"/>
        <v>0.8</v>
      </c>
      <c r="F9" s="633">
        <f ca="1"/>
        <v>1</v>
      </c>
      <c r="G9" s="633">
        <f ca="1"/>
        <v>0.9</v>
      </c>
      <c r="H9" s="633">
        <f ca="1"/>
        <v>0.8</v>
      </c>
      <c r="I9" s="633">
        <f ca="1"/>
        <v>0.5</v>
      </c>
      <c r="J9" s="633">
        <f ca="1"/>
        <v>0.8</v>
      </c>
      <c r="K9" s="633">
        <f ca="1"/>
        <v>0.8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F9BAD-BCEE-457C-A564-A5220B86D1DE}">
  <sheetPr codeName="Sheet71"/>
  <dimension ref="A1:E9"/>
  <sheetViews>
    <sheetView workbookViewId="0">
      <selection activeCell="A2" sqref="A2"/>
    </sheetView>
  </sheetViews>
  <sheetFormatPr defaultColWidth="5.6640625" defaultRowHeight="14.4" x14ac:dyDescent="0.3"/>
  <cols>
    <col min="1" max="1" width="12" style="611" bestFit="1" customWidth="1"/>
    <col min="2" max="2" width="15.33203125" style="611" bestFit="1" customWidth="1"/>
    <col min="3" max="16384" width="5.6640625" style="611"/>
  </cols>
  <sheetData>
    <row r="1" spans="1:5" x14ac:dyDescent="0.3">
      <c r="A1" s="630" t="s">
        <v>1967</v>
      </c>
      <c r="B1" s="630" t="s">
        <v>1968</v>
      </c>
      <c r="C1" s="610"/>
      <c r="D1" s="610"/>
      <c r="E1" s="610"/>
    </row>
    <row r="2" spans="1:5" x14ac:dyDescent="0.3">
      <c r="A2" s="611" t="str" cm="1">
        <f t="array" ref="A2:A3">_xlfn.LET(_xlpm.cnt,Internal!$B$16,_xlpm.startRow,16,_xlpm.cols,_xlfn.SEQUENCE(1,_xlpm.cnt,3,3),_xlpm.src,INDEX('De5'!$1:$1048576,_xlpm.startRow,_xlpm.cols),_xlpm.idx,_xlfn.SEQUENCE(_xlpm.cnt,1,1,1),INDEX(_xlpm.src,_xlpm.idx))</f>
        <v>1</v>
      </c>
      <c r="B2" s="138" t="str" cm="1">
        <f t="array" ref="B2:B3">_xlfn.LET(_xlpm.cnt,Internal!$B$16,_xlpm.startRow,17,_xlpm.cols,_xlfn.SEQUENCE(1,_xlpm.cnt,3,3),_xlpm.src,INDEX('De5'!$1:$1048576,_xlpm.startRow,_xlpm.cols),_xlpm.idx,_xlfn.SEQUENCE(_xlpm.cnt,1,1,1),INDEX(_xlpm.src,_xlpm.idx))</f>
        <v>General</v>
      </c>
      <c r="C2" s="610"/>
      <c r="D2" s="610"/>
      <c r="E2" s="610"/>
    </row>
    <row r="3" spans="1:5" x14ac:dyDescent="0.3">
      <c r="A3" s="611" t="str">
        <v>2</v>
      </c>
      <c r="B3" s="611" t="str">
        <v>Special</v>
      </c>
    </row>
    <row r="9" spans="1:5" x14ac:dyDescent="0.3">
      <c r="B9" s="13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F7BC8-9DF3-40E7-A458-C87C26A19E3A}">
  <sheetPr codeName="Sheet66"/>
  <dimension ref="A1:V588"/>
  <sheetViews>
    <sheetView workbookViewId="0"/>
  </sheetViews>
  <sheetFormatPr defaultColWidth="5.6640625" defaultRowHeight="14.4" x14ac:dyDescent="0.3"/>
  <cols>
    <col min="1" max="22" width="10.77734375" customWidth="1"/>
  </cols>
  <sheetData>
    <row r="1" spans="1:22" x14ac:dyDescent="0.3">
      <c r="A1" s="139" t="s">
        <v>1302</v>
      </c>
      <c r="B1" s="139" t="s">
        <v>1303</v>
      </c>
      <c r="C1" s="139" t="s">
        <v>1304</v>
      </c>
      <c r="D1" s="138" t="s">
        <v>1305</v>
      </c>
      <c r="E1" s="138" t="s">
        <v>1306</v>
      </c>
      <c r="F1" t="s">
        <v>1307</v>
      </c>
      <c r="G1" t="s">
        <v>1308</v>
      </c>
      <c r="H1" t="s">
        <v>1309</v>
      </c>
      <c r="I1" t="s">
        <v>1310</v>
      </c>
      <c r="J1" t="s">
        <v>1311</v>
      </c>
      <c r="K1" t="s">
        <v>1312</v>
      </c>
      <c r="L1" t="s">
        <v>1313</v>
      </c>
      <c r="M1" t="s">
        <v>1314</v>
      </c>
      <c r="N1" t="s">
        <v>1315</v>
      </c>
      <c r="O1" t="s">
        <v>1316</v>
      </c>
      <c r="P1" t="s">
        <v>1317</v>
      </c>
      <c r="Q1" t="s">
        <v>1318</v>
      </c>
      <c r="R1" t="s">
        <v>1319</v>
      </c>
      <c r="S1" t="s">
        <v>1320</v>
      </c>
      <c r="T1" t="s">
        <v>1321</v>
      </c>
      <c r="U1" t="s">
        <v>1322</v>
      </c>
      <c r="V1" t="s">
        <v>1323</v>
      </c>
    </row>
    <row r="2" spans="1:22" x14ac:dyDescent="0.3">
      <c r="A2" t="str" cm="1">
        <f t="array" aca="1" ref="A2:V588" ca="1">OFFSET('El1'!$B$23,1,0,'El1'!$C$14,22)</f>
        <v>1</v>
      </c>
      <c r="B2" t="str">
        <f ca="1"/>
        <v>Airport_15</v>
      </c>
      <c r="C2">
        <f ca="1"/>
        <v>9.2580000000000006E-3</v>
      </c>
      <c r="D2">
        <f ca="1"/>
        <v>0</v>
      </c>
      <c r="E2">
        <f ca="1"/>
        <v>0</v>
      </c>
      <c r="F2">
        <f ca="1"/>
        <v>0</v>
      </c>
      <c r="G2">
        <f ca="1"/>
        <v>0</v>
      </c>
      <c r="H2">
        <f ca="1"/>
        <v>9.2580000000000006E-3</v>
      </c>
      <c r="I2">
        <f ca="1"/>
        <v>0</v>
      </c>
      <c r="J2">
        <f ca="1"/>
        <v>0</v>
      </c>
      <c r="K2">
        <f ca="1"/>
        <v>0</v>
      </c>
      <c r="L2">
        <f ca="1"/>
        <v>0</v>
      </c>
      <c r="M2">
        <f ca="1"/>
        <v>6.2088999999999998E-2</v>
      </c>
      <c r="N2">
        <f ca="1"/>
        <v>0</v>
      </c>
      <c r="O2">
        <f ca="1"/>
        <v>0</v>
      </c>
      <c r="P2">
        <f ca="1"/>
        <v>0</v>
      </c>
      <c r="Q2">
        <f ca="1"/>
        <v>0</v>
      </c>
      <c r="R2">
        <f ca="1"/>
        <v>6.2088999999999998E-2</v>
      </c>
      <c r="S2">
        <f ca="1"/>
        <v>0</v>
      </c>
      <c r="T2">
        <f ca="1"/>
        <v>0</v>
      </c>
      <c r="U2">
        <f ca="1"/>
        <v>0</v>
      </c>
      <c r="V2">
        <f ca="1"/>
        <v>0</v>
      </c>
    </row>
    <row r="3" spans="1:22" x14ac:dyDescent="0.3">
      <c r="A3" t="str">
        <f ca="1"/>
        <v>2</v>
      </c>
      <c r="B3" t="str">
        <f ca="1"/>
        <v>BIA_2_15</v>
      </c>
      <c r="C3">
        <f ca="1"/>
        <v>0.111472</v>
      </c>
      <c r="D3">
        <f ca="1"/>
        <v>0</v>
      </c>
      <c r="E3">
        <f ca="1"/>
        <v>0</v>
      </c>
      <c r="F3">
        <f ca="1"/>
        <v>0.141592</v>
      </c>
      <c r="G3">
        <f ca="1"/>
        <v>0</v>
      </c>
      <c r="H3">
        <f ca="1"/>
        <v>0.107145</v>
      </c>
      <c r="I3">
        <f ca="1"/>
        <v>0</v>
      </c>
      <c r="J3">
        <f ca="1"/>
        <v>0</v>
      </c>
      <c r="K3">
        <f ca="1"/>
        <v>0</v>
      </c>
      <c r="L3">
        <f ca="1"/>
        <v>0</v>
      </c>
      <c r="M3">
        <f ca="1"/>
        <v>0.14282600000000001</v>
      </c>
      <c r="N3">
        <f ca="1"/>
        <v>0.52794099999999999</v>
      </c>
      <c r="O3">
        <f ca="1"/>
        <v>0.5</v>
      </c>
      <c r="P3">
        <f ca="1"/>
        <v>0</v>
      </c>
      <c r="Q3">
        <f ca="1"/>
        <v>0</v>
      </c>
      <c r="R3">
        <f ca="1"/>
        <v>0.14282600000000001</v>
      </c>
      <c r="S3">
        <f ca="1"/>
        <v>0.52794099999999999</v>
      </c>
      <c r="T3">
        <f ca="1"/>
        <v>0.5</v>
      </c>
      <c r="U3">
        <f ca="1"/>
        <v>0</v>
      </c>
      <c r="V3">
        <f ca="1"/>
        <v>0</v>
      </c>
    </row>
    <row r="4" spans="1:22" x14ac:dyDescent="0.3">
      <c r="A4" t="str">
        <f ca="1"/>
        <v>3</v>
      </c>
      <c r="B4" t="str">
        <f ca="1"/>
        <v>Birembo_15</v>
      </c>
      <c r="C4">
        <f ca="1"/>
        <v>2.2600169999999999</v>
      </c>
      <c r="D4">
        <f ca="1"/>
        <v>0.86383100000000002</v>
      </c>
      <c r="E4">
        <f ca="1"/>
        <v>2.4379999999999999E-2</v>
      </c>
      <c r="F4">
        <f ca="1"/>
        <v>0.61693600000000004</v>
      </c>
      <c r="G4">
        <f ca="1"/>
        <v>1</v>
      </c>
      <c r="H4">
        <f ca="1"/>
        <v>0.69337099999999996</v>
      </c>
      <c r="I4">
        <f ca="1"/>
        <v>0</v>
      </c>
      <c r="J4">
        <f ca="1"/>
        <v>0</v>
      </c>
      <c r="K4">
        <f ca="1"/>
        <v>0.999946</v>
      </c>
      <c r="L4">
        <f ca="1"/>
        <v>1</v>
      </c>
      <c r="M4">
        <f ca="1"/>
        <v>0.529694</v>
      </c>
      <c r="N4">
        <f ca="1"/>
        <v>0</v>
      </c>
      <c r="O4">
        <f ca="1"/>
        <v>0</v>
      </c>
      <c r="P4">
        <f ca="1"/>
        <v>0.99955499999999997</v>
      </c>
      <c r="Q4">
        <f ca="1"/>
        <v>1</v>
      </c>
      <c r="R4">
        <f ca="1"/>
        <v>0.89609399999999995</v>
      </c>
      <c r="S4">
        <f ca="1"/>
        <v>0</v>
      </c>
      <c r="T4">
        <f ca="1"/>
        <v>0</v>
      </c>
      <c r="U4">
        <f ca="1"/>
        <v>0.999946</v>
      </c>
      <c r="V4">
        <f ca="1"/>
        <v>1</v>
      </c>
    </row>
    <row r="5" spans="1:22" x14ac:dyDescent="0.3">
      <c r="A5" t="str">
        <f ca="1"/>
        <v>4</v>
      </c>
      <c r="B5" t="str">
        <f ca="1"/>
        <v>Bugarama_15</v>
      </c>
      <c r="C5">
        <f ca="1"/>
        <v>0.6411</v>
      </c>
      <c r="D5">
        <f ca="1"/>
        <v>0</v>
      </c>
      <c r="E5">
        <f ca="1"/>
        <v>0</v>
      </c>
      <c r="F5">
        <f ca="1"/>
        <v>0.101771</v>
      </c>
      <c r="G5">
        <f ca="1"/>
        <v>0.875</v>
      </c>
      <c r="H5">
        <f ca="1"/>
        <v>0.22722100000000001</v>
      </c>
      <c r="I5">
        <f ca="1"/>
        <v>0</v>
      </c>
      <c r="J5">
        <f ca="1"/>
        <v>0</v>
      </c>
      <c r="K5">
        <f ca="1"/>
        <v>0.99958899999999995</v>
      </c>
      <c r="L5">
        <f ca="1"/>
        <v>0.38150000000000001</v>
      </c>
      <c r="M5">
        <f ca="1"/>
        <v>0.305479</v>
      </c>
      <c r="N5">
        <f ca="1"/>
        <v>0</v>
      </c>
      <c r="O5">
        <f ca="1"/>
        <v>0</v>
      </c>
      <c r="P5">
        <f ca="1"/>
        <v>0.99819500000000005</v>
      </c>
      <c r="Q5">
        <f ca="1"/>
        <v>0.66696200000000005</v>
      </c>
      <c r="R5">
        <f ca="1"/>
        <v>0.41893200000000003</v>
      </c>
      <c r="S5">
        <f ca="1"/>
        <v>0</v>
      </c>
      <c r="T5">
        <f ca="1"/>
        <v>0</v>
      </c>
      <c r="U5">
        <f ca="1"/>
        <v>0.99907900000000005</v>
      </c>
      <c r="V5">
        <f ca="1"/>
        <v>0.59992800000000002</v>
      </c>
    </row>
    <row r="6" spans="1:22" x14ac:dyDescent="0.3">
      <c r="A6" t="str">
        <f ca="1"/>
        <v>5</v>
      </c>
      <c r="B6" t="str">
        <f ca="1"/>
        <v>Bugesera_15</v>
      </c>
      <c r="C6">
        <f ca="1"/>
        <v>0.19645000000000001</v>
      </c>
      <c r="D6">
        <f ca="1"/>
        <v>0</v>
      </c>
      <c r="E6">
        <f ca="1"/>
        <v>0</v>
      </c>
      <c r="F6">
        <f ca="1"/>
        <v>0.33998200000000001</v>
      </c>
      <c r="G6">
        <f ca="1"/>
        <v>0.83333299999999999</v>
      </c>
      <c r="H6">
        <f ca="1"/>
        <v>0.143729</v>
      </c>
      <c r="I6">
        <f ca="1"/>
        <v>0.54855500000000001</v>
      </c>
      <c r="J6">
        <f ca="1"/>
        <v>0.52</v>
      </c>
      <c r="K6">
        <f ca="1"/>
        <v>0</v>
      </c>
      <c r="L6">
        <f ca="1"/>
        <v>0</v>
      </c>
      <c r="M6">
        <f ca="1"/>
        <v>0.14938299999999999</v>
      </c>
      <c r="N6">
        <f ca="1"/>
        <v>0.82179400000000002</v>
      </c>
      <c r="O6">
        <f ca="1"/>
        <v>0.52</v>
      </c>
      <c r="P6">
        <f ca="1"/>
        <v>0</v>
      </c>
      <c r="Q6">
        <f ca="1"/>
        <v>0</v>
      </c>
      <c r="R6">
        <f ca="1"/>
        <v>0.226328</v>
      </c>
      <c r="S6">
        <f ca="1"/>
        <v>0.51328799999999997</v>
      </c>
      <c r="T6">
        <f ca="1"/>
        <v>0.5</v>
      </c>
      <c r="U6">
        <f ca="1"/>
        <v>0</v>
      </c>
      <c r="V6">
        <f ca="1"/>
        <v>0</v>
      </c>
    </row>
    <row r="7" spans="1:22" x14ac:dyDescent="0.3">
      <c r="A7" t="str">
        <f ca="1"/>
        <v>6</v>
      </c>
      <c r="B7" t="str">
        <f ca="1"/>
        <v>Bugesera_HS0_15</v>
      </c>
      <c r="C7">
        <f ca="1"/>
        <v>2.4451000000000001E-2</v>
      </c>
      <c r="D7">
        <f ca="1"/>
        <v>0</v>
      </c>
      <c r="E7">
        <f ca="1"/>
        <v>0</v>
      </c>
      <c r="F7">
        <f ca="1"/>
        <v>0.98700399999999999</v>
      </c>
      <c r="G7">
        <f ca="1"/>
        <v>0</v>
      </c>
      <c r="H7">
        <f ca="1"/>
        <v>2.2728000000000002E-2</v>
      </c>
      <c r="I7">
        <f ca="1"/>
        <v>0</v>
      </c>
      <c r="J7">
        <f ca="1"/>
        <v>0</v>
      </c>
      <c r="K7">
        <f ca="1"/>
        <v>0.99424100000000004</v>
      </c>
      <c r="L7">
        <f ca="1"/>
        <v>0</v>
      </c>
      <c r="M7">
        <f ca="1"/>
        <v>4.1214000000000001E-2</v>
      </c>
      <c r="N7">
        <f ca="1"/>
        <v>0</v>
      </c>
      <c r="O7">
        <f ca="1"/>
        <v>0</v>
      </c>
      <c r="P7">
        <f ca="1"/>
        <v>0.97432099999999999</v>
      </c>
      <c r="Q7">
        <f ca="1"/>
        <v>0</v>
      </c>
      <c r="R7">
        <f ca="1"/>
        <v>5.1774000000000001E-2</v>
      </c>
      <c r="S7">
        <f ca="1"/>
        <v>0</v>
      </c>
      <c r="T7">
        <f ca="1"/>
        <v>0</v>
      </c>
      <c r="U7">
        <f ca="1"/>
        <v>0.97432099999999999</v>
      </c>
      <c r="V7">
        <f ca="1"/>
        <v>0</v>
      </c>
    </row>
    <row r="8" spans="1:22" x14ac:dyDescent="0.3">
      <c r="A8" t="str">
        <f ca="1"/>
        <v>7</v>
      </c>
      <c r="B8" t="str">
        <f ca="1"/>
        <v>Bugesera_HS10_15</v>
      </c>
      <c r="C8">
        <f ca="1"/>
        <v>0.44342199999999998</v>
      </c>
      <c r="D8">
        <f ca="1"/>
        <v>0</v>
      </c>
      <c r="E8">
        <f ca="1"/>
        <v>0</v>
      </c>
      <c r="F8">
        <f ca="1"/>
        <v>5.5695000000000001E-2</v>
      </c>
      <c r="G8">
        <f ca="1"/>
        <v>0.377778</v>
      </c>
      <c r="H8">
        <f ca="1"/>
        <v>0.93736200000000003</v>
      </c>
      <c r="I8">
        <f ca="1"/>
        <v>0</v>
      </c>
      <c r="J8">
        <f ca="1"/>
        <v>0</v>
      </c>
      <c r="K8">
        <f ca="1"/>
        <v>0</v>
      </c>
      <c r="L8">
        <f ca="1"/>
        <v>0</v>
      </c>
      <c r="M8">
        <f ca="1"/>
        <v>0.244473</v>
      </c>
      <c r="N8">
        <f ca="1"/>
        <v>0</v>
      </c>
      <c r="O8">
        <f ca="1"/>
        <v>0</v>
      </c>
      <c r="P8">
        <f ca="1"/>
        <v>0.98768999999999996</v>
      </c>
      <c r="Q8">
        <f ca="1"/>
        <v>0.76205599999999996</v>
      </c>
      <c r="R8">
        <f ca="1"/>
        <v>0.590499</v>
      </c>
      <c r="S8">
        <f ca="1"/>
        <v>0.47523399999999999</v>
      </c>
      <c r="T8">
        <f ca="1"/>
        <v>0.49</v>
      </c>
      <c r="U8">
        <f ca="1"/>
        <v>0</v>
      </c>
      <c r="V8">
        <f ca="1"/>
        <v>0</v>
      </c>
    </row>
    <row r="9" spans="1:22" x14ac:dyDescent="0.3">
      <c r="A9" t="str">
        <f ca="1"/>
        <v>8</v>
      </c>
      <c r="B9" t="str">
        <f ca="1"/>
        <v>Bugesera_HS11_15</v>
      </c>
      <c r="C9">
        <f ca="1"/>
        <v>0.49707099999999999</v>
      </c>
      <c r="D9">
        <f ca="1"/>
        <v>1.1980519999999999</v>
      </c>
      <c r="E9">
        <f ca="1"/>
        <v>0</v>
      </c>
      <c r="F9">
        <f ca="1"/>
        <v>0.29375899999999999</v>
      </c>
      <c r="G9">
        <f ca="1"/>
        <v>0.16666700000000001</v>
      </c>
      <c r="H9">
        <f ca="1"/>
        <v>1.1283049999999999</v>
      </c>
      <c r="I9">
        <f ca="1"/>
        <v>0</v>
      </c>
      <c r="J9">
        <f ca="1"/>
        <v>0</v>
      </c>
      <c r="K9">
        <f ca="1"/>
        <v>0</v>
      </c>
      <c r="L9">
        <f ca="1"/>
        <v>0</v>
      </c>
      <c r="M9">
        <f ca="1"/>
        <v>0.47001300000000001</v>
      </c>
      <c r="N9">
        <f ca="1"/>
        <v>0</v>
      </c>
      <c r="O9">
        <f ca="1"/>
        <v>0</v>
      </c>
      <c r="P9">
        <f ca="1"/>
        <v>0.95094999999999996</v>
      </c>
      <c r="Q9">
        <f ca="1"/>
        <v>0.74912100000000004</v>
      </c>
      <c r="R9">
        <f ca="1"/>
        <v>0.54736399999999996</v>
      </c>
      <c r="S9">
        <f ca="1"/>
        <v>0</v>
      </c>
      <c r="T9">
        <f ca="1"/>
        <v>0</v>
      </c>
      <c r="U9">
        <f ca="1"/>
        <v>0.95883700000000005</v>
      </c>
      <c r="V9">
        <f ca="1"/>
        <v>0.21177799999999999</v>
      </c>
    </row>
    <row r="10" spans="1:22" x14ac:dyDescent="0.3">
      <c r="A10" t="str">
        <f ca="1"/>
        <v>9</v>
      </c>
      <c r="B10" t="str">
        <f ca="1"/>
        <v>Bugesera_HS12_15</v>
      </c>
      <c r="C10">
        <f ca="1"/>
        <v>0.506135</v>
      </c>
      <c r="D10">
        <f ca="1"/>
        <v>0</v>
      </c>
      <c r="E10">
        <f ca="1"/>
        <v>0</v>
      </c>
      <c r="F10">
        <f ca="1"/>
        <v>0.122155</v>
      </c>
      <c r="G10">
        <f ca="1"/>
        <v>0</v>
      </c>
      <c r="H10">
        <f ca="1"/>
        <v>0.870008</v>
      </c>
      <c r="I10">
        <f ca="1"/>
        <v>0</v>
      </c>
      <c r="J10">
        <f ca="1"/>
        <v>0</v>
      </c>
      <c r="K10">
        <f ca="1"/>
        <v>0</v>
      </c>
      <c r="L10">
        <f ca="1"/>
        <v>0</v>
      </c>
      <c r="M10">
        <f ca="1"/>
        <v>0.284138</v>
      </c>
      <c r="N10">
        <f ca="1"/>
        <v>0</v>
      </c>
      <c r="O10">
        <f ca="1"/>
        <v>0</v>
      </c>
      <c r="P10">
        <f ca="1"/>
        <v>0.99999700000000002</v>
      </c>
      <c r="Q10">
        <f ca="1"/>
        <v>0.28766900000000001</v>
      </c>
      <c r="R10">
        <f ca="1"/>
        <v>0.35876200000000003</v>
      </c>
      <c r="S10">
        <f ca="1"/>
        <v>0</v>
      </c>
      <c r="T10">
        <f ca="1"/>
        <v>0</v>
      </c>
      <c r="U10">
        <f ca="1"/>
        <v>1</v>
      </c>
      <c r="V10">
        <f ca="1"/>
        <v>0.12307</v>
      </c>
    </row>
    <row r="11" spans="1:22" x14ac:dyDescent="0.3">
      <c r="A11" t="str">
        <f ca="1"/>
        <v>10</v>
      </c>
      <c r="B11" t="str">
        <f ca="1"/>
        <v>Bugesera_HS13_15</v>
      </c>
      <c r="C11">
        <f ca="1"/>
        <v>1.014543</v>
      </c>
      <c r="D11">
        <f ca="1"/>
        <v>0.91755399999999998</v>
      </c>
      <c r="E11">
        <f ca="1"/>
        <v>2.8159999999999999E-3</v>
      </c>
      <c r="F11">
        <f ca="1"/>
        <v>0.38234200000000002</v>
      </c>
      <c r="G11">
        <f ca="1"/>
        <v>0.74907299999999999</v>
      </c>
      <c r="H11">
        <f ca="1"/>
        <v>0.28755599999999998</v>
      </c>
      <c r="I11">
        <f ca="1"/>
        <v>0</v>
      </c>
      <c r="J11">
        <f ca="1"/>
        <v>0</v>
      </c>
      <c r="K11">
        <f ca="1"/>
        <v>0.99776200000000004</v>
      </c>
      <c r="L11">
        <f ca="1"/>
        <v>0.31304500000000002</v>
      </c>
      <c r="M11">
        <f ca="1"/>
        <v>0.30964000000000003</v>
      </c>
      <c r="N11">
        <f ca="1"/>
        <v>0</v>
      </c>
      <c r="O11">
        <f ca="1"/>
        <v>0</v>
      </c>
      <c r="P11">
        <f ca="1"/>
        <v>0.98291899999999999</v>
      </c>
      <c r="Q11">
        <f ca="1"/>
        <v>0.94405099999999997</v>
      </c>
      <c r="R11">
        <f ca="1"/>
        <v>0.44887899999999997</v>
      </c>
      <c r="S11">
        <f ca="1"/>
        <v>0</v>
      </c>
      <c r="T11">
        <f ca="1"/>
        <v>0</v>
      </c>
      <c r="U11">
        <f ca="1"/>
        <v>0.98350499999999996</v>
      </c>
      <c r="V11">
        <f ca="1"/>
        <v>0.68284599999999995</v>
      </c>
    </row>
    <row r="12" spans="1:22" x14ac:dyDescent="0.3">
      <c r="A12" t="str">
        <f ca="1"/>
        <v>11</v>
      </c>
      <c r="B12" t="str">
        <f ca="1"/>
        <v>Bugesera_HS14_15</v>
      </c>
      <c r="C12">
        <f ca="1"/>
        <v>0.42243000000000003</v>
      </c>
      <c r="D12">
        <f ca="1"/>
        <v>0</v>
      </c>
      <c r="E12">
        <f ca="1"/>
        <v>0</v>
      </c>
      <c r="F12">
        <f ca="1"/>
        <v>0.106084</v>
      </c>
      <c r="G12">
        <f ca="1"/>
        <v>0</v>
      </c>
      <c r="H12">
        <f ca="1"/>
        <v>0.488956</v>
      </c>
      <c r="I12">
        <f ca="1"/>
        <v>0</v>
      </c>
      <c r="J12">
        <f ca="1"/>
        <v>0</v>
      </c>
      <c r="K12">
        <f ca="1"/>
        <v>0</v>
      </c>
      <c r="L12">
        <f ca="1"/>
        <v>0</v>
      </c>
      <c r="M12">
        <f ca="1"/>
        <v>0.25156600000000001</v>
      </c>
      <c r="N12">
        <f ca="1"/>
        <v>0</v>
      </c>
      <c r="O12">
        <f ca="1"/>
        <v>0</v>
      </c>
      <c r="P12">
        <f ca="1"/>
        <v>0.97118000000000004</v>
      </c>
      <c r="Q12">
        <f ca="1"/>
        <v>0</v>
      </c>
      <c r="R12">
        <f ca="1"/>
        <v>0.30136299999999999</v>
      </c>
      <c r="S12">
        <f ca="1"/>
        <v>0</v>
      </c>
      <c r="T12">
        <f ca="1"/>
        <v>0</v>
      </c>
      <c r="U12">
        <f ca="1"/>
        <v>0.97118000000000004</v>
      </c>
      <c r="V12">
        <f ca="1"/>
        <v>0</v>
      </c>
    </row>
    <row r="13" spans="1:22" x14ac:dyDescent="0.3">
      <c r="A13" t="str">
        <f ca="1"/>
        <v>12</v>
      </c>
      <c r="B13" t="str">
        <f ca="1"/>
        <v>Bugesera_HS15_15</v>
      </c>
      <c r="C13">
        <f ca="1"/>
        <v>0.37861499999999998</v>
      </c>
      <c r="D13">
        <f ca="1"/>
        <v>0.30925000000000002</v>
      </c>
      <c r="E13">
        <f ca="1"/>
        <v>0</v>
      </c>
      <c r="F13">
        <f ca="1"/>
        <v>0.16822999999999999</v>
      </c>
      <c r="G13">
        <f ca="1"/>
        <v>0</v>
      </c>
      <c r="H13">
        <f ca="1"/>
        <v>0.49002800000000002</v>
      </c>
      <c r="I13">
        <f ca="1"/>
        <v>0</v>
      </c>
      <c r="J13">
        <f ca="1"/>
        <v>0</v>
      </c>
      <c r="K13">
        <f ca="1"/>
        <v>0</v>
      </c>
      <c r="L13">
        <f ca="1"/>
        <v>0</v>
      </c>
      <c r="M13">
        <f ca="1"/>
        <v>0.36280400000000002</v>
      </c>
      <c r="N13">
        <f ca="1"/>
        <v>0</v>
      </c>
      <c r="O13">
        <f ca="1"/>
        <v>0</v>
      </c>
      <c r="P13">
        <f ca="1"/>
        <v>0.98914899999999994</v>
      </c>
      <c r="Q13">
        <f ca="1"/>
        <v>0.11623799999999999</v>
      </c>
      <c r="R13">
        <f ca="1"/>
        <v>0.42595699999999997</v>
      </c>
      <c r="S13">
        <f ca="1"/>
        <v>0</v>
      </c>
      <c r="T13">
        <f ca="1"/>
        <v>0</v>
      </c>
      <c r="U13">
        <f ca="1"/>
        <v>0.98930399999999996</v>
      </c>
      <c r="V13">
        <f ca="1"/>
        <v>1.2024999999999999E-2</v>
      </c>
    </row>
    <row r="14" spans="1:22" x14ac:dyDescent="0.3">
      <c r="A14" t="str">
        <f ca="1"/>
        <v>13</v>
      </c>
      <c r="B14" t="str">
        <f ca="1"/>
        <v>Bugesera_HS16_15</v>
      </c>
      <c r="C14">
        <f ca="1"/>
        <v>2.0808960000000001</v>
      </c>
      <c r="D14">
        <f ca="1"/>
        <v>0.60465899999999995</v>
      </c>
      <c r="E14">
        <f ca="1"/>
        <v>2.8445000000000002E-2</v>
      </c>
      <c r="F14">
        <f ca="1"/>
        <v>0.217138</v>
      </c>
      <c r="G14">
        <f ca="1"/>
        <v>0.77699499999999999</v>
      </c>
      <c r="H14">
        <f ca="1"/>
        <v>0.96227300000000004</v>
      </c>
      <c r="I14">
        <f ca="1"/>
        <v>0.40039200000000003</v>
      </c>
      <c r="J14">
        <f ca="1"/>
        <v>0.53</v>
      </c>
      <c r="K14">
        <f ca="1"/>
        <v>0.73086899999999999</v>
      </c>
      <c r="L14">
        <f ca="1"/>
        <v>0.37860300000000002</v>
      </c>
      <c r="M14">
        <f ca="1"/>
        <v>0.80586000000000002</v>
      </c>
      <c r="N14">
        <f ca="1"/>
        <v>0.44112200000000001</v>
      </c>
      <c r="O14">
        <f ca="1"/>
        <v>0.34</v>
      </c>
      <c r="P14">
        <f ca="1"/>
        <v>0.94713499999999995</v>
      </c>
      <c r="Q14">
        <f ca="1"/>
        <v>0.97367400000000004</v>
      </c>
      <c r="R14">
        <f ca="1"/>
        <v>1.361639</v>
      </c>
      <c r="S14">
        <f ca="1"/>
        <v>0.368647</v>
      </c>
      <c r="T14">
        <f ca="1"/>
        <v>0.51</v>
      </c>
      <c r="U14">
        <f ca="1"/>
        <v>0.72930399999999995</v>
      </c>
      <c r="V14">
        <f ca="1"/>
        <v>0.8085</v>
      </c>
    </row>
    <row r="15" spans="1:22" x14ac:dyDescent="0.3">
      <c r="A15" t="str">
        <f ca="1"/>
        <v>14</v>
      </c>
      <c r="B15" t="str">
        <f ca="1"/>
        <v>Bugesera_HS17_15</v>
      </c>
      <c r="C15">
        <f ca="1"/>
        <v>0.86315299999999995</v>
      </c>
      <c r="D15">
        <f ca="1"/>
        <v>0.443465</v>
      </c>
      <c r="E15">
        <f ca="1"/>
        <v>0</v>
      </c>
      <c r="F15">
        <f ca="1"/>
        <v>0.24135599999999999</v>
      </c>
      <c r="G15">
        <f ca="1"/>
        <v>0.50485400000000002</v>
      </c>
      <c r="H15">
        <f ca="1"/>
        <v>0.436778</v>
      </c>
      <c r="I15">
        <f ca="1"/>
        <v>0</v>
      </c>
      <c r="J15">
        <f ca="1"/>
        <v>0</v>
      </c>
      <c r="K15">
        <f ca="1"/>
        <v>0.99426700000000001</v>
      </c>
      <c r="L15">
        <f ca="1"/>
        <v>9.3866000000000005E-2</v>
      </c>
      <c r="M15">
        <f ca="1"/>
        <v>0.51436999999999999</v>
      </c>
      <c r="N15">
        <f ca="1"/>
        <v>0</v>
      </c>
      <c r="O15">
        <f ca="1"/>
        <v>0</v>
      </c>
      <c r="P15">
        <f ca="1"/>
        <v>0.98024699999999998</v>
      </c>
      <c r="Q15">
        <f ca="1"/>
        <v>0.92697300000000005</v>
      </c>
      <c r="R15">
        <f ca="1"/>
        <v>0.65348499999999998</v>
      </c>
      <c r="S15">
        <f ca="1"/>
        <v>0</v>
      </c>
      <c r="T15">
        <f ca="1"/>
        <v>0</v>
      </c>
      <c r="U15">
        <f ca="1"/>
        <v>0.99107800000000001</v>
      </c>
      <c r="V15">
        <f ca="1"/>
        <v>0.51712800000000003</v>
      </c>
    </row>
    <row r="16" spans="1:22" x14ac:dyDescent="0.3">
      <c r="A16" t="str">
        <f ca="1"/>
        <v>15</v>
      </c>
      <c r="B16" t="str">
        <f ca="1"/>
        <v>Bugesera_HS1_15</v>
      </c>
      <c r="C16">
        <f ca="1"/>
        <v>1.2303249999999999</v>
      </c>
      <c r="D16">
        <f ca="1"/>
        <v>0.52508900000000003</v>
      </c>
      <c r="E16">
        <f ca="1"/>
        <v>7.8619999999999992E-3</v>
      </c>
      <c r="F16">
        <f ca="1"/>
        <v>0.245757</v>
      </c>
      <c r="G16">
        <f ca="1"/>
        <v>0.83209</v>
      </c>
      <c r="H16">
        <f ca="1"/>
        <v>0.51347799999999999</v>
      </c>
      <c r="I16">
        <f ca="1"/>
        <v>0</v>
      </c>
      <c r="J16">
        <f ca="1"/>
        <v>0</v>
      </c>
      <c r="K16">
        <f ca="1"/>
        <v>0.99316800000000005</v>
      </c>
      <c r="L16">
        <f ca="1"/>
        <v>0.11026</v>
      </c>
      <c r="M16">
        <f ca="1"/>
        <v>0.665435</v>
      </c>
      <c r="N16">
        <f ca="1"/>
        <v>0</v>
      </c>
      <c r="O16">
        <f ca="1"/>
        <v>0</v>
      </c>
      <c r="P16">
        <f ca="1"/>
        <v>0.98309199999999997</v>
      </c>
      <c r="Q16">
        <f ca="1"/>
        <v>0.92272500000000002</v>
      </c>
      <c r="R16">
        <f ca="1"/>
        <v>0.89786200000000005</v>
      </c>
      <c r="S16">
        <f ca="1"/>
        <v>0</v>
      </c>
      <c r="T16">
        <f ca="1"/>
        <v>0</v>
      </c>
      <c r="U16">
        <f ca="1"/>
        <v>0.98711899999999997</v>
      </c>
      <c r="V16">
        <f ca="1"/>
        <v>0.60723899999999997</v>
      </c>
    </row>
    <row r="17" spans="1:22" x14ac:dyDescent="0.3">
      <c r="A17" t="str">
        <f ca="1"/>
        <v>16</v>
      </c>
      <c r="B17" t="str">
        <f ca="1"/>
        <v>Bugesera_HS2_15</v>
      </c>
      <c r="C17">
        <f ca="1"/>
        <v>0.50839500000000004</v>
      </c>
      <c r="D17">
        <f ca="1"/>
        <v>0.33882099999999998</v>
      </c>
      <c r="E17">
        <f ca="1"/>
        <v>0.01</v>
      </c>
      <c r="F17">
        <f ca="1"/>
        <v>3.9281999999999997E-2</v>
      </c>
      <c r="G17">
        <f ca="1"/>
        <v>0</v>
      </c>
      <c r="H17">
        <f ca="1"/>
        <v>0.66663099999999997</v>
      </c>
      <c r="I17">
        <f ca="1"/>
        <v>0</v>
      </c>
      <c r="J17">
        <f ca="1"/>
        <v>0</v>
      </c>
      <c r="K17">
        <f ca="1"/>
        <v>0</v>
      </c>
      <c r="L17">
        <f ca="1"/>
        <v>0</v>
      </c>
      <c r="M17">
        <f ca="1"/>
        <v>0.343393</v>
      </c>
      <c r="N17">
        <f ca="1"/>
        <v>0</v>
      </c>
      <c r="O17">
        <f ca="1"/>
        <v>0</v>
      </c>
      <c r="P17">
        <f ca="1"/>
        <v>0.98958900000000005</v>
      </c>
      <c r="Q17">
        <f ca="1"/>
        <v>0.18618599999999999</v>
      </c>
      <c r="R17">
        <f ca="1"/>
        <v>0.40524900000000003</v>
      </c>
      <c r="S17">
        <f ca="1"/>
        <v>0</v>
      </c>
      <c r="T17">
        <f ca="1"/>
        <v>0</v>
      </c>
      <c r="U17">
        <f ca="1"/>
        <v>0.98902500000000004</v>
      </c>
      <c r="V17">
        <f ca="1"/>
        <v>4.0987999999999997E-2</v>
      </c>
    </row>
    <row r="18" spans="1:22" x14ac:dyDescent="0.3">
      <c r="A18" t="str">
        <f ca="1"/>
        <v>17</v>
      </c>
      <c r="B18" t="str">
        <f ca="1"/>
        <v>Bugesera_HS3_15</v>
      </c>
      <c r="C18">
        <f ca="1"/>
        <v>1.4748060000000001</v>
      </c>
      <c r="D18">
        <f ca="1"/>
        <v>0.73519900000000005</v>
      </c>
      <c r="E18">
        <f ca="1"/>
        <v>2.2499999999999998E-3</v>
      </c>
      <c r="F18">
        <f ca="1"/>
        <v>0.233935</v>
      </c>
      <c r="G18">
        <f ca="1"/>
        <v>0.74934699999999999</v>
      </c>
      <c r="H18">
        <f ca="1"/>
        <v>0.318019</v>
      </c>
      <c r="I18">
        <f ca="1"/>
        <v>0</v>
      </c>
      <c r="J18">
        <f ca="1"/>
        <v>0</v>
      </c>
      <c r="K18">
        <f ca="1"/>
        <v>0.99771200000000004</v>
      </c>
      <c r="L18">
        <f ca="1"/>
        <v>9.2912999999999996E-2</v>
      </c>
      <c r="M18">
        <f ca="1"/>
        <v>0.50038300000000002</v>
      </c>
      <c r="N18">
        <f ca="1"/>
        <v>0.471916</v>
      </c>
      <c r="O18">
        <f ca="1"/>
        <v>0.51</v>
      </c>
      <c r="P18">
        <f ca="1"/>
        <v>0.53643200000000002</v>
      </c>
      <c r="Q18">
        <f ca="1"/>
        <v>0.92931399999999997</v>
      </c>
      <c r="R18">
        <f ca="1"/>
        <v>0.62295500000000004</v>
      </c>
      <c r="S18">
        <f ca="1"/>
        <v>0.42498999999999998</v>
      </c>
      <c r="T18">
        <f ca="1"/>
        <v>0.5</v>
      </c>
      <c r="U18">
        <f ca="1"/>
        <v>0.68765799999999999</v>
      </c>
      <c r="V18">
        <f ca="1"/>
        <v>0.67405899999999996</v>
      </c>
    </row>
    <row r="19" spans="1:22" x14ac:dyDescent="0.3">
      <c r="A19" t="str">
        <f ca="1"/>
        <v>18</v>
      </c>
      <c r="B19" t="str">
        <f ca="1"/>
        <v>Bugesera_HS4_15</v>
      </c>
      <c r="C19">
        <f ca="1"/>
        <v>1.7257819999999999</v>
      </c>
      <c r="D19">
        <f ca="1"/>
        <v>0.64105299999999998</v>
      </c>
      <c r="E19">
        <f ca="1"/>
        <v>5.5820000000000002E-3</v>
      </c>
      <c r="F19">
        <f ca="1"/>
        <v>0.64379200000000003</v>
      </c>
      <c r="G19">
        <f ca="1"/>
        <v>0.94127000000000005</v>
      </c>
      <c r="H19">
        <f ca="1"/>
        <v>0.47980499999999998</v>
      </c>
      <c r="I19">
        <f ca="1"/>
        <v>0</v>
      </c>
      <c r="J19">
        <f ca="1"/>
        <v>0</v>
      </c>
      <c r="K19">
        <f ca="1"/>
        <v>0.99721300000000002</v>
      </c>
      <c r="L19">
        <f ca="1"/>
        <v>0.70362800000000003</v>
      </c>
      <c r="M19">
        <f ca="1"/>
        <v>0.442498</v>
      </c>
      <c r="N19">
        <f ca="1"/>
        <v>0</v>
      </c>
      <c r="O19">
        <f ca="1"/>
        <v>0</v>
      </c>
      <c r="P19">
        <f ca="1"/>
        <v>0.98862899999999998</v>
      </c>
      <c r="Q19">
        <f ca="1"/>
        <v>0.93992900000000001</v>
      </c>
      <c r="R19">
        <f ca="1"/>
        <v>0.66094799999999998</v>
      </c>
      <c r="S19">
        <f ca="1"/>
        <v>0</v>
      </c>
      <c r="T19">
        <f ca="1"/>
        <v>0</v>
      </c>
      <c r="U19">
        <f ca="1"/>
        <v>0.99428399999999995</v>
      </c>
      <c r="V19">
        <f ca="1"/>
        <v>0.86630700000000005</v>
      </c>
    </row>
    <row r="20" spans="1:22" x14ac:dyDescent="0.3">
      <c r="A20" t="str">
        <f ca="1"/>
        <v>19</v>
      </c>
      <c r="B20" t="str">
        <f ca="1"/>
        <v>Bugesera_HS5_15</v>
      </c>
      <c r="C20">
        <f ca="1"/>
        <v>2.158976</v>
      </c>
      <c r="D20">
        <f ca="1"/>
        <v>0.33057700000000001</v>
      </c>
      <c r="E20">
        <f ca="1"/>
        <v>0</v>
      </c>
      <c r="F20">
        <f ca="1"/>
        <v>0.137825</v>
      </c>
      <c r="G20">
        <f ca="1"/>
        <v>2.5000000000000001E-4</v>
      </c>
      <c r="H20">
        <f ca="1"/>
        <v>2.1493220000000002</v>
      </c>
      <c r="I20">
        <f ca="1"/>
        <v>0</v>
      </c>
      <c r="J20">
        <f ca="1"/>
        <v>0</v>
      </c>
      <c r="K20">
        <f ca="1"/>
        <v>0.39424599999999999</v>
      </c>
      <c r="L20">
        <f ca="1"/>
        <v>0</v>
      </c>
      <c r="M20">
        <f ca="1"/>
        <v>0.88021000000000005</v>
      </c>
      <c r="N20">
        <f ca="1"/>
        <v>0</v>
      </c>
      <c r="O20">
        <f ca="1"/>
        <v>0</v>
      </c>
      <c r="P20">
        <f ca="1"/>
        <v>0.99787599999999999</v>
      </c>
      <c r="Q20">
        <f ca="1"/>
        <v>7.3588000000000001E-2</v>
      </c>
      <c r="R20">
        <f ca="1"/>
        <v>1.1350549999999999</v>
      </c>
      <c r="S20">
        <f ca="1"/>
        <v>0</v>
      </c>
      <c r="T20">
        <f ca="1"/>
        <v>0</v>
      </c>
      <c r="U20">
        <f ca="1"/>
        <v>0.997973</v>
      </c>
      <c r="V20">
        <f ca="1"/>
        <v>3.9251000000000001E-2</v>
      </c>
    </row>
    <row r="21" spans="1:22" x14ac:dyDescent="0.3">
      <c r="A21" t="str">
        <f ca="1"/>
        <v>20</v>
      </c>
      <c r="B21" t="str">
        <f ca="1"/>
        <v>Bugesera_HS6_15</v>
      </c>
      <c r="C21">
        <f ca="1"/>
        <v>1.9714419999999999</v>
      </c>
      <c r="D21">
        <f ca="1"/>
        <v>0.57321299999999997</v>
      </c>
      <c r="E21">
        <f ca="1"/>
        <v>0.122902</v>
      </c>
      <c r="F21">
        <f ca="1"/>
        <v>0.41802600000000001</v>
      </c>
      <c r="G21">
        <f ca="1"/>
        <v>0.62326400000000004</v>
      </c>
      <c r="H21">
        <f ca="1"/>
        <v>0.64792700000000003</v>
      </c>
      <c r="I21">
        <f ca="1"/>
        <v>0</v>
      </c>
      <c r="J21">
        <f ca="1"/>
        <v>0</v>
      </c>
      <c r="K21">
        <f ca="1"/>
        <v>0.99607900000000005</v>
      </c>
      <c r="L21">
        <f ca="1"/>
        <v>0.13240199999999999</v>
      </c>
      <c r="M21">
        <f ca="1"/>
        <v>0.85883399999999999</v>
      </c>
      <c r="N21">
        <f ca="1"/>
        <v>0</v>
      </c>
      <c r="O21">
        <f ca="1"/>
        <v>0</v>
      </c>
      <c r="P21">
        <f ca="1"/>
        <v>0.98713700000000004</v>
      </c>
      <c r="Q21">
        <f ca="1"/>
        <v>0.70263699999999996</v>
      </c>
      <c r="R21">
        <f ca="1"/>
        <v>1.099669</v>
      </c>
      <c r="S21">
        <f ca="1"/>
        <v>0</v>
      </c>
      <c r="T21">
        <f ca="1"/>
        <v>0</v>
      </c>
      <c r="U21">
        <f ca="1"/>
        <v>0.99044500000000002</v>
      </c>
      <c r="V21">
        <f ca="1"/>
        <v>0.38608900000000002</v>
      </c>
    </row>
    <row r="22" spans="1:22" x14ac:dyDescent="0.3">
      <c r="A22" t="str">
        <f ca="1"/>
        <v>21</v>
      </c>
      <c r="B22" t="str">
        <f ca="1"/>
        <v>Bugesera_HS7_15</v>
      </c>
      <c r="C22">
        <f ca="1"/>
        <v>0.86388799999999999</v>
      </c>
      <c r="D22">
        <f ca="1"/>
        <v>0.46904400000000002</v>
      </c>
      <c r="E22">
        <f ca="1"/>
        <v>0</v>
      </c>
      <c r="F22">
        <f ca="1"/>
        <v>0.41928900000000002</v>
      </c>
      <c r="G22">
        <f ca="1"/>
        <v>0.79602399999999995</v>
      </c>
      <c r="H22">
        <f ca="1"/>
        <v>0.26352700000000001</v>
      </c>
      <c r="I22">
        <f ca="1"/>
        <v>0</v>
      </c>
      <c r="J22">
        <f ca="1"/>
        <v>0</v>
      </c>
      <c r="K22">
        <f ca="1"/>
        <v>0.99821800000000005</v>
      </c>
      <c r="L22">
        <f ca="1"/>
        <v>0.13761399999999999</v>
      </c>
      <c r="M22">
        <f ca="1"/>
        <v>0.37944299999999997</v>
      </c>
      <c r="N22">
        <f ca="1"/>
        <v>0</v>
      </c>
      <c r="O22">
        <f ca="1"/>
        <v>0</v>
      </c>
      <c r="P22">
        <f ca="1"/>
        <v>0.99668400000000001</v>
      </c>
      <c r="Q22">
        <f ca="1"/>
        <v>0.81594999999999995</v>
      </c>
      <c r="R22">
        <f ca="1"/>
        <v>0.45292300000000002</v>
      </c>
      <c r="S22">
        <f ca="1"/>
        <v>0</v>
      </c>
      <c r="T22">
        <f ca="1"/>
        <v>0</v>
      </c>
      <c r="U22">
        <f ca="1"/>
        <v>0.99734599999999995</v>
      </c>
      <c r="V22">
        <f ca="1"/>
        <v>0.232151</v>
      </c>
    </row>
    <row r="23" spans="1:22" x14ac:dyDescent="0.3">
      <c r="A23" t="str">
        <f ca="1"/>
        <v>22</v>
      </c>
      <c r="B23" t="str">
        <f ca="1"/>
        <v>Bugesera_HS8_15</v>
      </c>
      <c r="C23">
        <f ca="1"/>
        <v>0.72975500000000004</v>
      </c>
      <c r="D23">
        <f ca="1"/>
        <v>0.61207199999999995</v>
      </c>
      <c r="E23">
        <f ca="1"/>
        <v>6.9709999999999998E-3</v>
      </c>
      <c r="F23">
        <f ca="1"/>
        <v>0.60924100000000003</v>
      </c>
      <c r="G23">
        <f ca="1"/>
        <v>0.917431</v>
      </c>
      <c r="H23">
        <f ca="1"/>
        <v>0.38172899999999998</v>
      </c>
      <c r="I23">
        <f ca="1"/>
        <v>0</v>
      </c>
      <c r="J23">
        <f ca="1"/>
        <v>0</v>
      </c>
      <c r="K23">
        <f ca="1"/>
        <v>0.99339200000000005</v>
      </c>
      <c r="L23">
        <f ca="1"/>
        <v>0.228274</v>
      </c>
      <c r="M23">
        <f ca="1"/>
        <v>0.57201900000000006</v>
      </c>
      <c r="N23">
        <f ca="1"/>
        <v>0</v>
      </c>
      <c r="O23">
        <f ca="1"/>
        <v>0</v>
      </c>
      <c r="P23">
        <f ca="1"/>
        <v>0.97371399999999997</v>
      </c>
      <c r="Q23">
        <f ca="1"/>
        <v>0.62763400000000003</v>
      </c>
      <c r="R23">
        <f ca="1"/>
        <v>0.70854799999999996</v>
      </c>
      <c r="S23">
        <f ca="1"/>
        <v>0</v>
      </c>
      <c r="T23">
        <f ca="1"/>
        <v>0</v>
      </c>
      <c r="U23">
        <f ca="1"/>
        <v>0.97841699999999998</v>
      </c>
      <c r="V23">
        <f ca="1"/>
        <v>0.42152000000000001</v>
      </c>
    </row>
    <row r="24" spans="1:22" x14ac:dyDescent="0.3">
      <c r="A24" t="str">
        <f ca="1"/>
        <v>23</v>
      </c>
      <c r="B24" t="str">
        <f ca="1"/>
        <v>Bugesera_HS9_15</v>
      </c>
      <c r="C24">
        <f ca="1"/>
        <v>1.1684479999999999</v>
      </c>
      <c r="D24">
        <f ca="1"/>
        <v>0.25700499999999998</v>
      </c>
      <c r="E24">
        <f ca="1"/>
        <v>0</v>
      </c>
      <c r="F24">
        <f ca="1"/>
        <v>0.73067400000000005</v>
      </c>
      <c r="G24">
        <f ca="1"/>
        <v>0.28909099999999999</v>
      </c>
      <c r="H24">
        <f ca="1"/>
        <v>0.69751799999999997</v>
      </c>
      <c r="I24">
        <f ca="1"/>
        <v>0</v>
      </c>
      <c r="J24">
        <f ca="1"/>
        <v>0</v>
      </c>
      <c r="K24">
        <f ca="1"/>
        <v>0.99686900000000001</v>
      </c>
      <c r="L24">
        <f ca="1"/>
        <v>3.6032000000000002E-2</v>
      </c>
      <c r="M24">
        <f ca="1"/>
        <v>1.0170939999999999</v>
      </c>
      <c r="N24">
        <f ca="1"/>
        <v>0</v>
      </c>
      <c r="O24">
        <f ca="1"/>
        <v>0</v>
      </c>
      <c r="P24">
        <f ca="1"/>
        <v>0.98925600000000002</v>
      </c>
      <c r="Q24">
        <f ca="1"/>
        <v>0.40083999999999997</v>
      </c>
      <c r="R24">
        <f ca="1"/>
        <v>1.3333360000000001</v>
      </c>
      <c r="S24">
        <f ca="1"/>
        <v>0</v>
      </c>
      <c r="T24">
        <f ca="1"/>
        <v>0</v>
      </c>
      <c r="U24">
        <f ca="1"/>
        <v>0.99534800000000001</v>
      </c>
      <c r="V24">
        <f ca="1"/>
        <v>0.22736000000000001</v>
      </c>
    </row>
    <row r="25" spans="1:22" x14ac:dyDescent="0.3">
      <c r="A25" t="str">
        <f ca="1"/>
        <v>24</v>
      </c>
      <c r="B25" t="str">
        <f ca="1"/>
        <v>Bugesera_IP_15</v>
      </c>
      <c r="C25">
        <f ca="1"/>
        <v>1.255776</v>
      </c>
      <c r="D25">
        <f ca="1"/>
        <v>0.73056900000000002</v>
      </c>
      <c r="E25">
        <f ca="1"/>
        <v>0</v>
      </c>
      <c r="F25">
        <f ca="1"/>
        <v>0.249723</v>
      </c>
      <c r="G25">
        <f ca="1"/>
        <v>0.16366600000000001</v>
      </c>
      <c r="H25">
        <f ca="1"/>
        <v>0.48199500000000001</v>
      </c>
      <c r="I25">
        <f ca="1"/>
        <v>0</v>
      </c>
      <c r="J25">
        <f ca="1"/>
        <v>0</v>
      </c>
      <c r="K25">
        <f ca="1"/>
        <v>0.99666299999999997</v>
      </c>
      <c r="L25">
        <f ca="1"/>
        <v>0.10014099999999999</v>
      </c>
      <c r="M25">
        <f ca="1"/>
        <v>0.64149800000000001</v>
      </c>
      <c r="N25">
        <f ca="1"/>
        <v>0</v>
      </c>
      <c r="O25">
        <f ca="1"/>
        <v>0</v>
      </c>
      <c r="P25">
        <f ca="1"/>
        <v>0.99570199999999998</v>
      </c>
      <c r="Q25">
        <f ca="1"/>
        <v>0.89656000000000002</v>
      </c>
      <c r="R25">
        <f ca="1"/>
        <v>0.86203300000000005</v>
      </c>
      <c r="S25">
        <f ca="1"/>
        <v>0</v>
      </c>
      <c r="T25">
        <f ca="1"/>
        <v>0</v>
      </c>
      <c r="U25">
        <f ca="1"/>
        <v>0.99526899999999996</v>
      </c>
      <c r="V25">
        <f ca="1"/>
        <v>0.42008600000000001</v>
      </c>
    </row>
    <row r="26" spans="1:22" x14ac:dyDescent="0.3">
      <c r="A26" t="str">
        <f ca="1"/>
        <v>25</v>
      </c>
      <c r="B26" t="str">
        <f ca="1"/>
        <v>Burera_HS0_15</v>
      </c>
      <c r="C26">
        <f ca="1"/>
        <v>0.62448700000000001</v>
      </c>
      <c r="D26">
        <f ca="1"/>
        <v>0</v>
      </c>
      <c r="E26">
        <f ca="1"/>
        <v>0</v>
      </c>
      <c r="F26">
        <f ca="1"/>
        <v>0.20588699999999999</v>
      </c>
      <c r="G26">
        <f ca="1"/>
        <v>0</v>
      </c>
      <c r="H26">
        <f ca="1"/>
        <v>0.78703199999999995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M26">
        <f ca="1"/>
        <v>0.46246700000000002</v>
      </c>
      <c r="N26">
        <f ca="1"/>
        <v>0</v>
      </c>
      <c r="O26">
        <f ca="1"/>
        <v>0</v>
      </c>
      <c r="P26">
        <f ca="1"/>
        <v>0.99736000000000002</v>
      </c>
      <c r="Q26">
        <f ca="1"/>
        <v>0</v>
      </c>
      <c r="R26">
        <f ca="1"/>
        <v>0.56847599999999998</v>
      </c>
      <c r="S26">
        <f ca="1"/>
        <v>0</v>
      </c>
      <c r="T26">
        <f ca="1"/>
        <v>0</v>
      </c>
      <c r="U26">
        <f ca="1"/>
        <v>0.99736000000000002</v>
      </c>
      <c r="V26">
        <f ca="1"/>
        <v>0</v>
      </c>
    </row>
    <row r="27" spans="1:22" x14ac:dyDescent="0.3">
      <c r="A27" t="str">
        <f ca="1"/>
        <v>26</v>
      </c>
      <c r="B27" t="str">
        <f ca="1"/>
        <v>Burera_HS10_15</v>
      </c>
      <c r="C27">
        <f ca="1"/>
        <v>0.31122699999999998</v>
      </c>
      <c r="D27">
        <f ca="1"/>
        <v>0</v>
      </c>
      <c r="E27">
        <f ca="1"/>
        <v>0</v>
      </c>
      <c r="F27">
        <f ca="1"/>
        <v>0.45787699999999998</v>
      </c>
      <c r="G27">
        <f ca="1"/>
        <v>0</v>
      </c>
      <c r="H27">
        <f ca="1"/>
        <v>0.51235600000000003</v>
      </c>
      <c r="I27">
        <f ca="1"/>
        <v>0</v>
      </c>
      <c r="J27">
        <f ca="1"/>
        <v>0</v>
      </c>
      <c r="K27">
        <f ca="1"/>
        <v>0</v>
      </c>
      <c r="L27">
        <f ca="1"/>
        <v>0</v>
      </c>
      <c r="M27">
        <f ca="1"/>
        <v>0.41748499999999999</v>
      </c>
      <c r="N27">
        <f ca="1"/>
        <v>0</v>
      </c>
      <c r="O27">
        <f ca="1"/>
        <v>0</v>
      </c>
      <c r="P27">
        <f ca="1"/>
        <v>0.97406199999999998</v>
      </c>
      <c r="Q27">
        <f ca="1"/>
        <v>0.146097</v>
      </c>
      <c r="R27">
        <f ca="1"/>
        <v>0.48668400000000001</v>
      </c>
      <c r="S27">
        <f ca="1"/>
        <v>0</v>
      </c>
      <c r="T27">
        <f ca="1"/>
        <v>0</v>
      </c>
      <c r="U27">
        <f ca="1"/>
        <v>0.97565500000000005</v>
      </c>
      <c r="V27">
        <f ca="1"/>
        <v>4.8021000000000001E-2</v>
      </c>
    </row>
    <row r="28" spans="1:22" x14ac:dyDescent="0.3">
      <c r="A28" t="str">
        <f ca="1"/>
        <v>27</v>
      </c>
      <c r="B28" t="str">
        <f ca="1"/>
        <v>Burera_HS11_15</v>
      </c>
      <c r="C28">
        <f ca="1"/>
        <v>0.518146</v>
      </c>
      <c r="D28">
        <f ca="1"/>
        <v>0</v>
      </c>
      <c r="E28">
        <f ca="1"/>
        <v>0</v>
      </c>
      <c r="F28">
        <f ca="1"/>
        <v>0.57471000000000005</v>
      </c>
      <c r="G28">
        <f ca="1"/>
        <v>0</v>
      </c>
      <c r="H28">
        <f ca="1"/>
        <v>0.78173999999999999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0.49093199999999998</v>
      </c>
      <c r="N28">
        <f ca="1"/>
        <v>0</v>
      </c>
      <c r="O28">
        <f ca="1"/>
        <v>0</v>
      </c>
      <c r="P28">
        <f ca="1"/>
        <v>0.99865599999999999</v>
      </c>
      <c r="Q28">
        <f ca="1"/>
        <v>0</v>
      </c>
      <c r="R28">
        <f ca="1"/>
        <v>0.607653</v>
      </c>
      <c r="S28">
        <f ca="1"/>
        <v>0</v>
      </c>
      <c r="T28">
        <f ca="1"/>
        <v>0</v>
      </c>
      <c r="U28">
        <f ca="1"/>
        <v>0.99865599999999999</v>
      </c>
      <c r="V28">
        <f ca="1"/>
        <v>0</v>
      </c>
    </row>
    <row r="29" spans="1:22" x14ac:dyDescent="0.3">
      <c r="A29" t="str">
        <f ca="1"/>
        <v>28</v>
      </c>
      <c r="B29" t="str">
        <f ca="1"/>
        <v>Burera_HS12_15</v>
      </c>
      <c r="C29">
        <f ca="1"/>
        <v>0.17526800000000001</v>
      </c>
      <c r="D29">
        <f ca="1"/>
        <v>0</v>
      </c>
      <c r="E29">
        <f ca="1"/>
        <v>0</v>
      </c>
      <c r="F29">
        <f ca="1"/>
        <v>0.41744799999999999</v>
      </c>
      <c r="G29">
        <f ca="1"/>
        <v>0</v>
      </c>
      <c r="H29">
        <f ca="1"/>
        <v>0.240786</v>
      </c>
      <c r="I29">
        <f ca="1"/>
        <v>0</v>
      </c>
      <c r="J29">
        <f ca="1"/>
        <v>0</v>
      </c>
      <c r="K29">
        <f ca="1"/>
        <v>0</v>
      </c>
      <c r="L29">
        <f ca="1"/>
        <v>0</v>
      </c>
      <c r="M29">
        <f ca="1"/>
        <v>0.179093</v>
      </c>
      <c r="N29">
        <f ca="1"/>
        <v>0</v>
      </c>
      <c r="O29">
        <f ca="1"/>
        <v>0</v>
      </c>
      <c r="P29">
        <f ca="1"/>
        <v>0.99781200000000003</v>
      </c>
      <c r="Q29">
        <f ca="1"/>
        <v>0</v>
      </c>
      <c r="R29">
        <f ca="1"/>
        <v>0.21915000000000001</v>
      </c>
      <c r="S29">
        <f ca="1"/>
        <v>0</v>
      </c>
      <c r="T29">
        <f ca="1"/>
        <v>0</v>
      </c>
      <c r="U29">
        <f ca="1"/>
        <v>0.99781200000000003</v>
      </c>
      <c r="V29">
        <f ca="1"/>
        <v>0</v>
      </c>
    </row>
    <row r="30" spans="1:22" x14ac:dyDescent="0.3">
      <c r="A30" t="str">
        <f ca="1"/>
        <v>29</v>
      </c>
      <c r="B30" t="str">
        <f ca="1"/>
        <v>Burera_HS13_15</v>
      </c>
      <c r="C30">
        <f ca="1"/>
        <v>0.30416399999999999</v>
      </c>
      <c r="D30">
        <f ca="1"/>
        <v>0</v>
      </c>
      <c r="E30">
        <f ca="1"/>
        <v>0</v>
      </c>
      <c r="F30">
        <f ca="1"/>
        <v>0.59350599999999998</v>
      </c>
      <c r="G30">
        <f ca="1"/>
        <v>0</v>
      </c>
      <c r="H30">
        <f ca="1"/>
        <v>0.40747100000000003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M30">
        <f ca="1"/>
        <v>0.31772499999999998</v>
      </c>
      <c r="N30">
        <f ca="1"/>
        <v>0</v>
      </c>
      <c r="O30">
        <f ca="1"/>
        <v>0</v>
      </c>
      <c r="P30">
        <f ca="1"/>
        <v>0.98729299999999998</v>
      </c>
      <c r="Q30">
        <f ca="1"/>
        <v>0</v>
      </c>
      <c r="R30">
        <f ca="1"/>
        <v>0.370614</v>
      </c>
      <c r="S30">
        <f ca="1"/>
        <v>0</v>
      </c>
      <c r="T30">
        <f ca="1"/>
        <v>0</v>
      </c>
      <c r="U30">
        <f ca="1"/>
        <v>0.98729299999999998</v>
      </c>
      <c r="V30">
        <f ca="1"/>
        <v>0</v>
      </c>
    </row>
    <row r="31" spans="1:22" x14ac:dyDescent="0.3">
      <c r="A31" t="str">
        <f ca="1"/>
        <v>30</v>
      </c>
      <c r="B31" t="str">
        <f ca="1"/>
        <v>Burera_HS14_15</v>
      </c>
      <c r="C31">
        <f ca="1"/>
        <v>0.26212099999999999</v>
      </c>
      <c r="D31">
        <f ca="1"/>
        <v>0</v>
      </c>
      <c r="E31">
        <f ca="1"/>
        <v>0</v>
      </c>
      <c r="F31">
        <f ca="1"/>
        <v>0.520509</v>
      </c>
      <c r="G31">
        <f ca="1"/>
        <v>0</v>
      </c>
      <c r="H31">
        <f ca="1"/>
        <v>0.29680800000000002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0.37063000000000001</v>
      </c>
      <c r="N31">
        <f ca="1"/>
        <v>0.47160000000000002</v>
      </c>
      <c r="O31">
        <f ca="1"/>
        <v>0.49</v>
      </c>
      <c r="P31">
        <f ca="1"/>
        <v>0</v>
      </c>
      <c r="Q31">
        <f ca="1"/>
        <v>0</v>
      </c>
      <c r="R31">
        <f ca="1"/>
        <v>0.37063000000000001</v>
      </c>
      <c r="S31">
        <f ca="1"/>
        <v>0.47160000000000002</v>
      </c>
      <c r="T31">
        <f ca="1"/>
        <v>0.49</v>
      </c>
      <c r="U31">
        <f ca="1"/>
        <v>0</v>
      </c>
      <c r="V31">
        <f ca="1"/>
        <v>0</v>
      </c>
    </row>
    <row r="32" spans="1:22" x14ac:dyDescent="0.3">
      <c r="A32" t="str">
        <f ca="1"/>
        <v>31</v>
      </c>
      <c r="B32" t="str">
        <f ca="1"/>
        <v>Burera_HS1_15</v>
      </c>
      <c r="C32">
        <f ca="1"/>
        <v>0.95153600000000005</v>
      </c>
      <c r="D32">
        <f ca="1"/>
        <v>0</v>
      </c>
      <c r="E32">
        <f ca="1"/>
        <v>0</v>
      </c>
      <c r="F32">
        <f ca="1"/>
        <v>0.255496</v>
      </c>
      <c r="G32">
        <f ca="1"/>
        <v>0.19636400000000001</v>
      </c>
      <c r="H32">
        <f ca="1"/>
        <v>1.3094129999999999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M32">
        <f ca="1"/>
        <v>0.73880999999999997</v>
      </c>
      <c r="N32">
        <f ca="1"/>
        <v>0</v>
      </c>
      <c r="O32">
        <f ca="1"/>
        <v>0</v>
      </c>
      <c r="P32">
        <f ca="1"/>
        <v>0.99390800000000001</v>
      </c>
      <c r="Q32">
        <f ca="1"/>
        <v>0.15760299999999999</v>
      </c>
      <c r="R32">
        <f ca="1"/>
        <v>0.90638399999999997</v>
      </c>
      <c r="S32">
        <f ca="1"/>
        <v>0</v>
      </c>
      <c r="T32">
        <f ca="1"/>
        <v>0</v>
      </c>
      <c r="U32">
        <f ca="1"/>
        <v>0.99411400000000005</v>
      </c>
      <c r="V32">
        <f ca="1"/>
        <v>3.8837999999999998E-2</v>
      </c>
    </row>
    <row r="33" spans="1:22" x14ac:dyDescent="0.3">
      <c r="A33" t="str">
        <f ca="1"/>
        <v>32</v>
      </c>
      <c r="B33" t="str">
        <f ca="1"/>
        <v>Burera_HS2_15</v>
      </c>
      <c r="C33">
        <f ca="1"/>
        <v>1.11337</v>
      </c>
      <c r="D33">
        <f ca="1"/>
        <v>0.54133500000000001</v>
      </c>
      <c r="E33">
        <f ca="1"/>
        <v>0</v>
      </c>
      <c r="F33">
        <f ca="1"/>
        <v>0.49308999999999997</v>
      </c>
      <c r="G33">
        <f ca="1"/>
        <v>0</v>
      </c>
      <c r="H33">
        <f ca="1"/>
        <v>1.676779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M33">
        <f ca="1"/>
        <v>0.83102399999999998</v>
      </c>
      <c r="N33">
        <f ca="1"/>
        <v>0</v>
      </c>
      <c r="O33">
        <f ca="1"/>
        <v>0</v>
      </c>
      <c r="P33">
        <f ca="1"/>
        <v>0.99626899999999996</v>
      </c>
      <c r="Q33">
        <f ca="1"/>
        <v>3.2259000000000003E-2</v>
      </c>
      <c r="R33">
        <f ca="1"/>
        <v>1.0227999999999999</v>
      </c>
      <c r="S33">
        <f ca="1"/>
        <v>0</v>
      </c>
      <c r="T33">
        <f ca="1"/>
        <v>0</v>
      </c>
      <c r="U33">
        <f ca="1"/>
        <v>0.99630600000000002</v>
      </c>
      <c r="V33">
        <f ca="1"/>
        <v>9.4479999999999998E-3</v>
      </c>
    </row>
    <row r="34" spans="1:22" x14ac:dyDescent="0.3">
      <c r="A34" t="str">
        <f ca="1"/>
        <v>33</v>
      </c>
      <c r="B34" t="str">
        <f ca="1"/>
        <v>Burera_HS3_15</v>
      </c>
      <c r="C34">
        <f ca="1"/>
        <v>0.73834200000000005</v>
      </c>
      <c r="D34">
        <f ca="1"/>
        <v>0</v>
      </c>
      <c r="E34">
        <f ca="1"/>
        <v>0</v>
      </c>
      <c r="F34">
        <f ca="1"/>
        <v>0.22054000000000001</v>
      </c>
      <c r="G34">
        <f ca="1"/>
        <v>0</v>
      </c>
      <c r="H34">
        <f ca="1"/>
        <v>0.9052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M34">
        <f ca="1"/>
        <v>0.55836600000000003</v>
      </c>
      <c r="N34">
        <f ca="1"/>
        <v>0</v>
      </c>
      <c r="O34">
        <f ca="1"/>
        <v>0</v>
      </c>
      <c r="P34">
        <f ca="1"/>
        <v>0.98318399999999995</v>
      </c>
      <c r="Q34">
        <f ca="1"/>
        <v>0</v>
      </c>
      <c r="R34">
        <f ca="1"/>
        <v>0.65800999999999998</v>
      </c>
      <c r="S34">
        <f ca="1"/>
        <v>0</v>
      </c>
      <c r="T34">
        <f ca="1"/>
        <v>0</v>
      </c>
      <c r="U34">
        <f ca="1"/>
        <v>0.98318399999999995</v>
      </c>
      <c r="V34">
        <f ca="1"/>
        <v>0</v>
      </c>
    </row>
    <row r="35" spans="1:22" x14ac:dyDescent="0.3">
      <c r="A35" t="str">
        <f ca="1"/>
        <v>34</v>
      </c>
      <c r="B35" t="str">
        <f ca="1"/>
        <v>Burera_HS4_15</v>
      </c>
      <c r="C35">
        <f ca="1"/>
        <v>1.135996</v>
      </c>
      <c r="D35">
        <f ca="1"/>
        <v>0.57399199999999995</v>
      </c>
      <c r="E35">
        <f ca="1"/>
        <v>0</v>
      </c>
      <c r="F35">
        <f ca="1"/>
        <v>0.367898</v>
      </c>
      <c r="G35">
        <f ca="1"/>
        <v>0.31300800000000001</v>
      </c>
      <c r="H35">
        <f ca="1"/>
        <v>0.54104399999999997</v>
      </c>
      <c r="I35">
        <f ca="1"/>
        <v>0</v>
      </c>
      <c r="J35">
        <f ca="1"/>
        <v>0</v>
      </c>
      <c r="K35">
        <f ca="1"/>
        <v>0.99590199999999995</v>
      </c>
      <c r="L35">
        <f ca="1"/>
        <v>3.8942999999999998E-2</v>
      </c>
      <c r="M35">
        <f ca="1"/>
        <v>0.814944</v>
      </c>
      <c r="N35">
        <f ca="1"/>
        <v>0</v>
      </c>
      <c r="O35">
        <f ca="1"/>
        <v>0</v>
      </c>
      <c r="P35">
        <f ca="1"/>
        <v>0.98736400000000002</v>
      </c>
      <c r="Q35">
        <f ca="1"/>
        <v>0.76356599999999997</v>
      </c>
      <c r="R35">
        <f ca="1"/>
        <v>1.0229239999999999</v>
      </c>
      <c r="S35">
        <f ca="1"/>
        <v>0</v>
      </c>
      <c r="T35">
        <f ca="1"/>
        <v>0</v>
      </c>
      <c r="U35">
        <f ca="1"/>
        <v>0.99</v>
      </c>
      <c r="V35">
        <f ca="1"/>
        <v>0.27390999999999999</v>
      </c>
    </row>
    <row r="36" spans="1:22" x14ac:dyDescent="0.3">
      <c r="A36" t="str">
        <f ca="1"/>
        <v>35</v>
      </c>
      <c r="B36" t="str">
        <f ca="1"/>
        <v>Burera_HS5_15</v>
      </c>
      <c r="C36">
        <f ca="1"/>
        <v>0.28220899999999999</v>
      </c>
      <c r="D36">
        <f ca="1"/>
        <v>0</v>
      </c>
      <c r="E36">
        <f ca="1"/>
        <v>0</v>
      </c>
      <c r="F36">
        <f ca="1"/>
        <v>0.51212199999999997</v>
      </c>
      <c r="G36">
        <f ca="1"/>
        <v>4.5198000000000002E-2</v>
      </c>
      <c r="H36">
        <f ca="1"/>
        <v>0.37879699999999999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0.34348699999999999</v>
      </c>
      <c r="N36">
        <f ca="1"/>
        <v>0.44170900000000002</v>
      </c>
      <c r="O36">
        <f ca="1"/>
        <v>0.49</v>
      </c>
      <c r="P36">
        <f ca="1"/>
        <v>0</v>
      </c>
      <c r="Q36">
        <f ca="1"/>
        <v>0</v>
      </c>
      <c r="R36">
        <f ca="1"/>
        <v>0.35178700000000002</v>
      </c>
      <c r="S36">
        <f ca="1"/>
        <v>0.436002</v>
      </c>
      <c r="T36">
        <f ca="1"/>
        <v>0.49</v>
      </c>
      <c r="U36">
        <f ca="1"/>
        <v>0</v>
      </c>
      <c r="V36">
        <f ca="1"/>
        <v>0</v>
      </c>
    </row>
    <row r="37" spans="1:22" x14ac:dyDescent="0.3">
      <c r="A37" t="str">
        <f ca="1"/>
        <v>36</v>
      </c>
      <c r="B37" t="str">
        <f ca="1"/>
        <v>Burera_HS6_15</v>
      </c>
      <c r="C37">
        <f ca="1"/>
        <v>0.68580399999999997</v>
      </c>
      <c r="D37">
        <f ca="1"/>
        <v>0</v>
      </c>
      <c r="E37">
        <f ca="1"/>
        <v>0</v>
      </c>
      <c r="F37">
        <f ca="1"/>
        <v>0.347026</v>
      </c>
      <c r="G37">
        <f ca="1"/>
        <v>3.0769000000000001E-2</v>
      </c>
      <c r="H37">
        <f ca="1"/>
        <v>0.97501700000000002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0.59736900000000004</v>
      </c>
      <c r="N37">
        <f ca="1"/>
        <v>0</v>
      </c>
      <c r="O37">
        <f ca="1"/>
        <v>0</v>
      </c>
      <c r="P37">
        <f ca="1"/>
        <v>0.99446299999999999</v>
      </c>
      <c r="Q37">
        <f ca="1"/>
        <v>0.181751</v>
      </c>
      <c r="R37">
        <f ca="1"/>
        <v>0.72586899999999999</v>
      </c>
      <c r="S37">
        <f ca="1"/>
        <v>0</v>
      </c>
      <c r="T37">
        <f ca="1"/>
        <v>0</v>
      </c>
      <c r="U37">
        <f ca="1"/>
        <v>0.99388600000000005</v>
      </c>
      <c r="V37">
        <f ca="1"/>
        <v>3.1026000000000001E-2</v>
      </c>
    </row>
    <row r="38" spans="1:22" x14ac:dyDescent="0.3">
      <c r="A38" t="str">
        <f ca="1"/>
        <v>37</v>
      </c>
      <c r="B38" t="str">
        <f ca="1"/>
        <v>Burera_HS7_15</v>
      </c>
      <c r="C38">
        <f ca="1"/>
        <v>1.42685</v>
      </c>
      <c r="D38">
        <f ca="1"/>
        <v>0.31977699999999998</v>
      </c>
      <c r="E38">
        <f ca="1"/>
        <v>0</v>
      </c>
      <c r="F38">
        <f ca="1"/>
        <v>0.31797199999999998</v>
      </c>
      <c r="G38">
        <f ca="1"/>
        <v>0.35416700000000001</v>
      </c>
      <c r="H38">
        <f ca="1"/>
        <v>0.82221699999999998</v>
      </c>
      <c r="I38">
        <f ca="1"/>
        <v>0</v>
      </c>
      <c r="J38">
        <f ca="1"/>
        <v>0</v>
      </c>
      <c r="K38">
        <f ca="1"/>
        <v>0.99701600000000001</v>
      </c>
      <c r="L38">
        <f ca="1"/>
        <v>6.5158999999999995E-2</v>
      </c>
      <c r="M38">
        <f ca="1"/>
        <v>1.165324</v>
      </c>
      <c r="N38">
        <f ca="1"/>
        <v>0</v>
      </c>
      <c r="O38">
        <f ca="1"/>
        <v>0</v>
      </c>
      <c r="P38">
        <f ca="1"/>
        <v>0.98994400000000005</v>
      </c>
      <c r="Q38">
        <f ca="1"/>
        <v>0.84945700000000002</v>
      </c>
      <c r="R38">
        <f ca="1"/>
        <v>1.542808</v>
      </c>
      <c r="S38">
        <f ca="1"/>
        <v>0</v>
      </c>
      <c r="T38">
        <f ca="1"/>
        <v>0</v>
      </c>
      <c r="U38">
        <f ca="1"/>
        <v>0.9919</v>
      </c>
      <c r="V38">
        <f ca="1"/>
        <v>0.36600199999999999</v>
      </c>
    </row>
    <row r="39" spans="1:22" x14ac:dyDescent="0.3">
      <c r="A39" t="str">
        <f ca="1"/>
        <v>38</v>
      </c>
      <c r="B39" t="str">
        <f ca="1"/>
        <v>Burera_HS8_15</v>
      </c>
      <c r="C39">
        <f ca="1"/>
        <v>0.16081400000000001</v>
      </c>
      <c r="D39">
        <f ca="1"/>
        <v>0</v>
      </c>
      <c r="E39">
        <f ca="1"/>
        <v>0</v>
      </c>
      <c r="F39">
        <f ca="1"/>
        <v>0.35641200000000001</v>
      </c>
      <c r="G39">
        <f ca="1"/>
        <v>0</v>
      </c>
      <c r="H39">
        <f ca="1"/>
        <v>0.173481</v>
      </c>
      <c r="I39">
        <f ca="1"/>
        <v>0</v>
      </c>
      <c r="J39">
        <f ca="1"/>
        <v>0</v>
      </c>
      <c r="K39">
        <f ca="1"/>
        <v>0</v>
      </c>
      <c r="L39">
        <f ca="1"/>
        <v>0</v>
      </c>
      <c r="M39">
        <f ca="1"/>
        <v>0.22659699999999999</v>
      </c>
      <c r="N39">
        <f ca="1"/>
        <v>0.53160700000000005</v>
      </c>
      <c r="O39">
        <f ca="1"/>
        <v>0.5</v>
      </c>
      <c r="P39">
        <f ca="1"/>
        <v>0</v>
      </c>
      <c r="Q39">
        <f ca="1"/>
        <v>0</v>
      </c>
      <c r="R39">
        <f ca="1"/>
        <v>0.22659699999999999</v>
      </c>
      <c r="S39">
        <f ca="1"/>
        <v>0.53160700000000005</v>
      </c>
      <c r="T39">
        <f ca="1"/>
        <v>0.5</v>
      </c>
      <c r="U39">
        <f ca="1"/>
        <v>0</v>
      </c>
      <c r="V39">
        <f ca="1"/>
        <v>0</v>
      </c>
    </row>
    <row r="40" spans="1:22" x14ac:dyDescent="0.3">
      <c r="A40" t="str">
        <f ca="1"/>
        <v>39</v>
      </c>
      <c r="B40" t="str">
        <f ca="1"/>
        <v>Burera_HS9_15</v>
      </c>
      <c r="C40">
        <f ca="1"/>
        <v>0.36223499999999997</v>
      </c>
      <c r="D40">
        <f ca="1"/>
        <v>0</v>
      </c>
      <c r="E40">
        <f ca="1"/>
        <v>0</v>
      </c>
      <c r="F40">
        <f ca="1"/>
        <v>0.33779500000000001</v>
      </c>
      <c r="G40">
        <f ca="1"/>
        <v>0</v>
      </c>
      <c r="H40">
        <f ca="1"/>
        <v>0.480794</v>
      </c>
      <c r="I40">
        <f ca="1"/>
        <v>0</v>
      </c>
      <c r="J40">
        <f ca="1"/>
        <v>0</v>
      </c>
      <c r="K40">
        <f ca="1"/>
        <v>0</v>
      </c>
      <c r="L40">
        <f ca="1"/>
        <v>0</v>
      </c>
      <c r="M40">
        <f ca="1"/>
        <v>0.38380999999999998</v>
      </c>
      <c r="N40">
        <f ca="1"/>
        <v>0</v>
      </c>
      <c r="O40">
        <f ca="1"/>
        <v>0</v>
      </c>
      <c r="P40">
        <f ca="1"/>
        <v>0.997089</v>
      </c>
      <c r="Q40">
        <f ca="1"/>
        <v>0</v>
      </c>
      <c r="R40">
        <f ca="1"/>
        <v>0.47189700000000001</v>
      </c>
      <c r="S40">
        <f ca="1"/>
        <v>0</v>
      </c>
      <c r="T40">
        <f ca="1"/>
        <v>0</v>
      </c>
      <c r="U40">
        <f ca="1"/>
        <v>0.997089</v>
      </c>
      <c r="V40">
        <f ca="1"/>
        <v>0</v>
      </c>
    </row>
    <row r="41" spans="1:22" x14ac:dyDescent="0.3">
      <c r="A41" t="str">
        <f ca="1"/>
        <v>40</v>
      </c>
      <c r="B41" t="str">
        <f ca="1"/>
        <v>Camp_Belge_15</v>
      </c>
      <c r="C41">
        <f ca="1"/>
        <v>2.3268960000000001</v>
      </c>
      <c r="D41">
        <f ca="1"/>
        <v>0.51309300000000002</v>
      </c>
      <c r="E41">
        <f ca="1"/>
        <v>9.8399999999999998E-3</v>
      </c>
      <c r="F41">
        <f ca="1"/>
        <v>0.79222700000000001</v>
      </c>
      <c r="G41">
        <f ca="1"/>
        <v>1</v>
      </c>
      <c r="H41">
        <f ca="1"/>
        <v>0.80786999999999998</v>
      </c>
      <c r="I41">
        <f ca="1"/>
        <v>0</v>
      </c>
      <c r="J41">
        <f ca="1"/>
        <v>0</v>
      </c>
      <c r="K41">
        <f ca="1"/>
        <v>0.99988999999999995</v>
      </c>
      <c r="L41">
        <f ca="1"/>
        <v>0.95762000000000003</v>
      </c>
      <c r="M41">
        <f ca="1"/>
        <v>0.73964700000000005</v>
      </c>
      <c r="N41">
        <f ca="1"/>
        <v>0</v>
      </c>
      <c r="O41">
        <f ca="1"/>
        <v>0</v>
      </c>
      <c r="P41">
        <f ca="1"/>
        <v>0.99985299999999999</v>
      </c>
      <c r="Q41">
        <f ca="1"/>
        <v>0.99444500000000002</v>
      </c>
      <c r="R41">
        <f ca="1"/>
        <v>1.193065</v>
      </c>
      <c r="S41">
        <f ca="1"/>
        <v>0</v>
      </c>
      <c r="T41">
        <f ca="1"/>
        <v>0</v>
      </c>
      <c r="U41">
        <f ca="1"/>
        <v>0.99959900000000002</v>
      </c>
      <c r="V41">
        <f ca="1"/>
        <v>0.98716999999999999</v>
      </c>
    </row>
    <row r="42" spans="1:22" x14ac:dyDescent="0.3">
      <c r="A42" t="str">
        <f ca="1"/>
        <v>41</v>
      </c>
      <c r="B42" t="str">
        <f ca="1"/>
        <v>Gabiro_15</v>
      </c>
      <c r="C42">
        <f ca="1"/>
        <v>0.36620000000000003</v>
      </c>
      <c r="D42">
        <f ca="1"/>
        <v>0</v>
      </c>
      <c r="E42">
        <f ca="1"/>
        <v>0</v>
      </c>
      <c r="F42">
        <f ca="1"/>
        <v>0.232459</v>
      </c>
      <c r="G42">
        <f ca="1"/>
        <v>0.80898899999999996</v>
      </c>
      <c r="H42">
        <f ca="1"/>
        <v>0.14188500000000001</v>
      </c>
      <c r="I42">
        <f ca="1"/>
        <v>0.59819699999999998</v>
      </c>
      <c r="J42">
        <f ca="1"/>
        <v>0.6</v>
      </c>
      <c r="K42">
        <f ca="1"/>
        <v>0</v>
      </c>
      <c r="L42">
        <f ca="1"/>
        <v>0</v>
      </c>
      <c r="M42">
        <f ca="1"/>
        <v>0.218551</v>
      </c>
      <c r="N42">
        <f ca="1"/>
        <v>0.53894600000000004</v>
      </c>
      <c r="O42">
        <f ca="1"/>
        <v>0.57999999999999996</v>
      </c>
      <c r="P42">
        <f ca="1"/>
        <v>0</v>
      </c>
      <c r="Q42">
        <f ca="1"/>
        <v>0</v>
      </c>
      <c r="R42">
        <f ca="1"/>
        <v>0.27726499999999998</v>
      </c>
      <c r="S42">
        <f ca="1"/>
        <v>0.43694899999999998</v>
      </c>
      <c r="T42">
        <f ca="1"/>
        <v>0.56000000000000005</v>
      </c>
      <c r="U42">
        <f ca="1"/>
        <v>0</v>
      </c>
      <c r="V42">
        <f ca="1"/>
        <v>0</v>
      </c>
    </row>
    <row r="43" spans="1:22" x14ac:dyDescent="0.3">
      <c r="A43" t="str">
        <f ca="1"/>
        <v>42</v>
      </c>
      <c r="B43" t="str">
        <f ca="1"/>
        <v>Gahanga_15</v>
      </c>
      <c r="C43">
        <f ca="1"/>
        <v>1.571955</v>
      </c>
      <c r="D43">
        <f ca="1"/>
        <v>0.89671199999999995</v>
      </c>
      <c r="E43">
        <f ca="1"/>
        <v>4.7470000000000004E-3</v>
      </c>
      <c r="F43">
        <f ca="1"/>
        <v>0.461287</v>
      </c>
      <c r="G43">
        <f ca="1"/>
        <v>0.99211499999999997</v>
      </c>
      <c r="H43">
        <f ca="1"/>
        <v>0.703511</v>
      </c>
      <c r="I43">
        <f ca="1"/>
        <v>0.31618800000000002</v>
      </c>
      <c r="J43">
        <f ca="1"/>
        <v>0.49</v>
      </c>
      <c r="K43">
        <f ca="1"/>
        <v>0.66813800000000001</v>
      </c>
      <c r="L43">
        <f ca="1"/>
        <v>0.98283799999999999</v>
      </c>
      <c r="M43">
        <f ca="1"/>
        <v>0.28307500000000002</v>
      </c>
      <c r="N43">
        <f ca="1"/>
        <v>0</v>
      </c>
      <c r="O43">
        <f ca="1"/>
        <v>0</v>
      </c>
      <c r="P43">
        <f ca="1"/>
        <v>0.99677700000000002</v>
      </c>
      <c r="Q43">
        <f ca="1"/>
        <v>0.99935799999999997</v>
      </c>
      <c r="R43">
        <f ca="1"/>
        <v>0.92380399999999996</v>
      </c>
      <c r="S43">
        <f ca="1"/>
        <v>0.32100400000000001</v>
      </c>
      <c r="T43">
        <f ca="1"/>
        <v>0.50227500000000003</v>
      </c>
      <c r="U43">
        <f ca="1"/>
        <v>0.457094</v>
      </c>
      <c r="V43">
        <f ca="1"/>
        <v>0.99336800000000003</v>
      </c>
    </row>
    <row r="44" spans="1:22" x14ac:dyDescent="0.3">
      <c r="A44" t="str">
        <f ca="1"/>
        <v>43</v>
      </c>
      <c r="B44" t="str">
        <f ca="1"/>
        <v>Gakenke_HS0_15</v>
      </c>
      <c r="C44">
        <f ca="1"/>
        <v>0.31883299999999998</v>
      </c>
      <c r="D44">
        <f ca="1"/>
        <v>0</v>
      </c>
      <c r="E44">
        <f ca="1"/>
        <v>0</v>
      </c>
      <c r="F44">
        <f ca="1"/>
        <v>0.41610599999999998</v>
      </c>
      <c r="G44">
        <f ca="1"/>
        <v>0</v>
      </c>
      <c r="H44">
        <f ca="1"/>
        <v>0.359572</v>
      </c>
      <c r="I44">
        <f ca="1"/>
        <v>0</v>
      </c>
      <c r="J44">
        <f ca="1"/>
        <v>0</v>
      </c>
      <c r="K44">
        <f ca="1"/>
        <v>0</v>
      </c>
      <c r="L44">
        <f ca="1"/>
        <v>0</v>
      </c>
      <c r="M44">
        <f ca="1"/>
        <v>0.38294299999999998</v>
      </c>
      <c r="N44">
        <f ca="1"/>
        <v>0.53161700000000001</v>
      </c>
      <c r="O44">
        <f ca="1"/>
        <v>0.5</v>
      </c>
      <c r="P44">
        <f ca="1"/>
        <v>0</v>
      </c>
      <c r="Q44">
        <f ca="1"/>
        <v>0</v>
      </c>
      <c r="R44">
        <f ca="1"/>
        <v>0.38324799999999998</v>
      </c>
      <c r="S44">
        <f ca="1"/>
        <v>0.53074900000000003</v>
      </c>
      <c r="T44">
        <f ca="1"/>
        <v>0.5</v>
      </c>
      <c r="U44">
        <f ca="1"/>
        <v>0</v>
      </c>
      <c r="V44">
        <f ca="1"/>
        <v>0</v>
      </c>
    </row>
    <row r="45" spans="1:22" x14ac:dyDescent="0.3">
      <c r="A45" t="str">
        <f ca="1"/>
        <v>44</v>
      </c>
      <c r="B45" t="str">
        <f ca="1"/>
        <v>Gakenke_HS10_15</v>
      </c>
      <c r="C45">
        <f ca="1"/>
        <v>0.38540099999999999</v>
      </c>
      <c r="D45">
        <f ca="1"/>
        <v>0</v>
      </c>
      <c r="E45">
        <f ca="1"/>
        <v>0</v>
      </c>
      <c r="F45">
        <f ca="1"/>
        <v>7.8489000000000003E-2</v>
      </c>
      <c r="G45">
        <f ca="1"/>
        <v>0</v>
      </c>
      <c r="H45">
        <f ca="1"/>
        <v>0.41380899999999998</v>
      </c>
      <c r="I45">
        <f ca="1"/>
        <v>0</v>
      </c>
      <c r="J45">
        <f ca="1"/>
        <v>0</v>
      </c>
      <c r="K45">
        <f ca="1"/>
        <v>0</v>
      </c>
      <c r="L45">
        <f ca="1"/>
        <v>0</v>
      </c>
      <c r="M45">
        <f ca="1"/>
        <v>0.117703</v>
      </c>
      <c r="N45">
        <f ca="1"/>
        <v>0</v>
      </c>
      <c r="O45">
        <f ca="1"/>
        <v>0</v>
      </c>
      <c r="P45">
        <f ca="1"/>
        <v>0.99837200000000004</v>
      </c>
      <c r="Q45">
        <f ca="1"/>
        <v>0</v>
      </c>
      <c r="R45">
        <f ca="1"/>
        <v>0.13142100000000001</v>
      </c>
      <c r="S45">
        <f ca="1"/>
        <v>0</v>
      </c>
      <c r="T45">
        <f ca="1"/>
        <v>0</v>
      </c>
      <c r="U45">
        <f ca="1"/>
        <v>0.99837200000000004</v>
      </c>
      <c r="V45">
        <f ca="1"/>
        <v>0</v>
      </c>
    </row>
    <row r="46" spans="1:22" x14ac:dyDescent="0.3">
      <c r="A46" t="str">
        <f ca="1"/>
        <v>45</v>
      </c>
      <c r="B46" t="str">
        <f ca="1"/>
        <v>Gakenke_HS11_15</v>
      </c>
      <c r="C46">
        <f ca="1"/>
        <v>0.54249199999999997</v>
      </c>
      <c r="D46">
        <f ca="1"/>
        <v>0.31497599999999998</v>
      </c>
      <c r="E46">
        <f ca="1"/>
        <v>0.01</v>
      </c>
      <c r="F46">
        <f ca="1"/>
        <v>0.19692399999999999</v>
      </c>
      <c r="G46">
        <f ca="1"/>
        <v>0</v>
      </c>
      <c r="H46">
        <f ca="1"/>
        <v>0.74237799999999998</v>
      </c>
      <c r="I46">
        <f ca="1"/>
        <v>0</v>
      </c>
      <c r="J46">
        <f ca="1"/>
        <v>0</v>
      </c>
      <c r="K46">
        <f ca="1"/>
        <v>0</v>
      </c>
      <c r="L46">
        <f ca="1"/>
        <v>0</v>
      </c>
      <c r="M46">
        <f ca="1"/>
        <v>0.39523799999999998</v>
      </c>
      <c r="N46">
        <f ca="1"/>
        <v>0</v>
      </c>
      <c r="O46">
        <f ca="1"/>
        <v>0</v>
      </c>
      <c r="P46">
        <f ca="1"/>
        <v>0.98616499999999996</v>
      </c>
      <c r="Q46">
        <f ca="1"/>
        <v>0.34631600000000001</v>
      </c>
      <c r="R46">
        <f ca="1"/>
        <v>0.44644200000000001</v>
      </c>
      <c r="S46">
        <f ca="1"/>
        <v>0</v>
      </c>
      <c r="T46">
        <f ca="1"/>
        <v>0</v>
      </c>
      <c r="U46">
        <f ca="1"/>
        <v>0.98678399999999999</v>
      </c>
      <c r="V46">
        <f ca="1"/>
        <v>5.1152999999999997E-2</v>
      </c>
    </row>
    <row r="47" spans="1:22" x14ac:dyDescent="0.3">
      <c r="A47" t="str">
        <f ca="1"/>
        <v>46</v>
      </c>
      <c r="B47" t="str">
        <f ca="1"/>
        <v>Gakenke_HS12_15</v>
      </c>
      <c r="C47">
        <f ca="1"/>
        <v>0.23005100000000001</v>
      </c>
      <c r="D47">
        <f ca="1"/>
        <v>0</v>
      </c>
      <c r="E47">
        <f ca="1"/>
        <v>0</v>
      </c>
      <c r="F47">
        <f ca="1"/>
        <v>0.42640800000000001</v>
      </c>
      <c r="G47">
        <f ca="1"/>
        <v>0</v>
      </c>
      <c r="H47">
        <f ca="1"/>
        <v>0.25467899999999999</v>
      </c>
      <c r="I47">
        <f ca="1"/>
        <v>0</v>
      </c>
      <c r="J47">
        <f ca="1"/>
        <v>0</v>
      </c>
      <c r="K47">
        <f ca="1"/>
        <v>0</v>
      </c>
      <c r="L47">
        <f ca="1"/>
        <v>0</v>
      </c>
      <c r="M47">
        <f ca="1"/>
        <v>0.29816399999999998</v>
      </c>
      <c r="N47">
        <f ca="1"/>
        <v>0.51184700000000005</v>
      </c>
      <c r="O47">
        <f ca="1"/>
        <v>0.5</v>
      </c>
      <c r="P47">
        <f ca="1"/>
        <v>0</v>
      </c>
      <c r="Q47">
        <f ca="1"/>
        <v>0</v>
      </c>
      <c r="R47">
        <f ca="1"/>
        <v>0.29816399999999998</v>
      </c>
      <c r="S47">
        <f ca="1"/>
        <v>0.51184700000000005</v>
      </c>
      <c r="T47">
        <f ca="1"/>
        <v>0.5</v>
      </c>
      <c r="U47">
        <f ca="1"/>
        <v>0</v>
      </c>
      <c r="V47">
        <f ca="1"/>
        <v>0</v>
      </c>
    </row>
    <row r="48" spans="1:22" x14ac:dyDescent="0.3">
      <c r="A48" t="str">
        <f ca="1"/>
        <v>47</v>
      </c>
      <c r="B48" t="str">
        <f ca="1"/>
        <v>Gakenke_HS13_15</v>
      </c>
      <c r="C48">
        <f ca="1"/>
        <v>0.134487</v>
      </c>
      <c r="D48">
        <f ca="1"/>
        <v>0</v>
      </c>
      <c r="E48">
        <f ca="1"/>
        <v>0</v>
      </c>
      <c r="F48">
        <f ca="1"/>
        <v>0.56112799999999996</v>
      </c>
      <c r="G48">
        <f ca="1"/>
        <v>0</v>
      </c>
      <c r="H48">
        <f ca="1"/>
        <v>0.16694200000000001</v>
      </c>
      <c r="I48">
        <f ca="1"/>
        <v>0</v>
      </c>
      <c r="J48">
        <f ca="1"/>
        <v>0</v>
      </c>
      <c r="K48">
        <f ca="1"/>
        <v>0</v>
      </c>
      <c r="L48">
        <f ca="1"/>
        <v>0</v>
      </c>
      <c r="M48">
        <f ca="1"/>
        <v>0.21173900000000001</v>
      </c>
      <c r="N48">
        <f ca="1"/>
        <v>0.53611500000000001</v>
      </c>
      <c r="O48">
        <f ca="1"/>
        <v>0.5</v>
      </c>
      <c r="P48">
        <f ca="1"/>
        <v>0</v>
      </c>
      <c r="Q48">
        <f ca="1"/>
        <v>0</v>
      </c>
      <c r="R48">
        <f ca="1"/>
        <v>0.21199799999999999</v>
      </c>
      <c r="S48">
        <f ca="1"/>
        <v>0.53492200000000001</v>
      </c>
      <c r="T48">
        <f ca="1"/>
        <v>0.5</v>
      </c>
      <c r="U48">
        <f ca="1"/>
        <v>0</v>
      </c>
      <c r="V48">
        <f ca="1"/>
        <v>0</v>
      </c>
    </row>
    <row r="49" spans="1:22" x14ac:dyDescent="0.3">
      <c r="A49" t="str">
        <f ca="1"/>
        <v>48</v>
      </c>
      <c r="B49" t="str">
        <f ca="1"/>
        <v>Gakenke_HS14_15</v>
      </c>
      <c r="C49">
        <f ca="1"/>
        <v>0.39625199999999999</v>
      </c>
      <c r="D49">
        <f ca="1"/>
        <v>0</v>
      </c>
      <c r="E49">
        <f ca="1"/>
        <v>0</v>
      </c>
      <c r="F49">
        <f ca="1"/>
        <v>0.44364300000000001</v>
      </c>
      <c r="G49">
        <f ca="1"/>
        <v>0</v>
      </c>
      <c r="H49">
        <f ca="1"/>
        <v>0.51768999999999998</v>
      </c>
      <c r="I49">
        <f ca="1"/>
        <v>0</v>
      </c>
      <c r="J49">
        <f ca="1"/>
        <v>0</v>
      </c>
      <c r="K49">
        <f ca="1"/>
        <v>0</v>
      </c>
      <c r="L49">
        <f ca="1"/>
        <v>0</v>
      </c>
      <c r="M49">
        <f ca="1"/>
        <v>0.36444900000000002</v>
      </c>
      <c r="N49">
        <f ca="1"/>
        <v>0</v>
      </c>
      <c r="O49">
        <f ca="1"/>
        <v>0</v>
      </c>
      <c r="P49">
        <f ca="1"/>
        <v>0.97457300000000002</v>
      </c>
      <c r="Q49">
        <f ca="1"/>
        <v>0</v>
      </c>
      <c r="R49">
        <f ca="1"/>
        <v>0.40833199999999997</v>
      </c>
      <c r="S49">
        <f ca="1"/>
        <v>0</v>
      </c>
      <c r="T49">
        <f ca="1"/>
        <v>0</v>
      </c>
      <c r="U49">
        <f ca="1"/>
        <v>0.97457300000000002</v>
      </c>
      <c r="V49">
        <f ca="1"/>
        <v>0</v>
      </c>
    </row>
    <row r="50" spans="1:22" x14ac:dyDescent="0.3">
      <c r="A50" t="str">
        <f ca="1"/>
        <v>49</v>
      </c>
      <c r="B50" t="str">
        <f ca="1"/>
        <v>Gakenke_HS15_15</v>
      </c>
      <c r="C50">
        <f ca="1"/>
        <v>0.39210499999999998</v>
      </c>
      <c r="D50">
        <f ca="1"/>
        <v>0</v>
      </c>
      <c r="E50">
        <f ca="1"/>
        <v>0</v>
      </c>
      <c r="F50">
        <f ca="1"/>
        <v>0.28467599999999998</v>
      </c>
      <c r="G50">
        <f ca="1"/>
        <v>0</v>
      </c>
      <c r="H50">
        <f ca="1"/>
        <v>0.48080499999999998</v>
      </c>
      <c r="I50">
        <f ca="1"/>
        <v>0</v>
      </c>
      <c r="J50">
        <f ca="1"/>
        <v>0</v>
      </c>
      <c r="K50">
        <f ca="1"/>
        <v>0</v>
      </c>
      <c r="L50">
        <f ca="1"/>
        <v>0</v>
      </c>
      <c r="M50">
        <f ca="1"/>
        <v>0.284358</v>
      </c>
      <c r="N50">
        <f ca="1"/>
        <v>0</v>
      </c>
      <c r="O50">
        <f ca="1"/>
        <v>0</v>
      </c>
      <c r="P50">
        <f ca="1"/>
        <v>0.99241800000000002</v>
      </c>
      <c r="Q50">
        <f ca="1"/>
        <v>3.2000000000000002E-3</v>
      </c>
      <c r="R50">
        <f ca="1"/>
        <v>0.32716299999999998</v>
      </c>
      <c r="S50">
        <f ca="1"/>
        <v>0</v>
      </c>
      <c r="T50">
        <f ca="1"/>
        <v>0</v>
      </c>
      <c r="U50">
        <f ca="1"/>
        <v>0.99242399999999997</v>
      </c>
      <c r="V50">
        <f ca="1"/>
        <v>6.9200000000000002E-4</v>
      </c>
    </row>
    <row r="51" spans="1:22" x14ac:dyDescent="0.3">
      <c r="A51" t="str">
        <f ca="1"/>
        <v>50</v>
      </c>
      <c r="B51" t="str">
        <f ca="1"/>
        <v>Gakenke_HS16_15</v>
      </c>
      <c r="C51">
        <f ca="1"/>
        <v>0.61274200000000001</v>
      </c>
      <c r="D51">
        <f ca="1"/>
        <v>0</v>
      </c>
      <c r="E51">
        <f ca="1"/>
        <v>0</v>
      </c>
      <c r="F51">
        <f ca="1"/>
        <v>0.27759099999999998</v>
      </c>
      <c r="G51">
        <f ca="1"/>
        <v>0</v>
      </c>
      <c r="H51">
        <f ca="1"/>
        <v>0.710565</v>
      </c>
      <c r="I51">
        <f ca="1"/>
        <v>0</v>
      </c>
      <c r="J51">
        <f ca="1"/>
        <v>0</v>
      </c>
      <c r="K51">
        <f ca="1"/>
        <v>0</v>
      </c>
      <c r="L51">
        <f ca="1"/>
        <v>0</v>
      </c>
      <c r="M51">
        <f ca="1"/>
        <v>0.55462199999999995</v>
      </c>
      <c r="N51">
        <f ca="1"/>
        <v>0</v>
      </c>
      <c r="O51">
        <f ca="1"/>
        <v>0</v>
      </c>
      <c r="P51">
        <f ca="1"/>
        <v>0.98349900000000001</v>
      </c>
      <c r="Q51">
        <f ca="1"/>
        <v>0</v>
      </c>
      <c r="R51">
        <f ca="1"/>
        <v>0.62710900000000003</v>
      </c>
      <c r="S51">
        <f ca="1"/>
        <v>0</v>
      </c>
      <c r="T51">
        <f ca="1"/>
        <v>0</v>
      </c>
      <c r="U51">
        <f ca="1"/>
        <v>0.98349900000000001</v>
      </c>
      <c r="V51">
        <f ca="1"/>
        <v>0</v>
      </c>
    </row>
    <row r="52" spans="1:22" x14ac:dyDescent="0.3">
      <c r="A52" t="str">
        <f ca="1"/>
        <v>51</v>
      </c>
      <c r="B52" t="str">
        <f ca="1"/>
        <v>Gakenke_HS17_15</v>
      </c>
      <c r="C52">
        <f ca="1"/>
        <v>0.23589399999999999</v>
      </c>
      <c r="D52">
        <f ca="1"/>
        <v>0</v>
      </c>
      <c r="E52">
        <f ca="1"/>
        <v>0</v>
      </c>
      <c r="F52">
        <f ca="1"/>
        <v>0.49102899999999999</v>
      </c>
      <c r="G52">
        <f ca="1"/>
        <v>0</v>
      </c>
      <c r="H52">
        <f ca="1"/>
        <v>0.27289799999999997</v>
      </c>
      <c r="I52">
        <f ca="1"/>
        <v>0</v>
      </c>
      <c r="J52">
        <f ca="1"/>
        <v>0</v>
      </c>
      <c r="K52">
        <f ca="1"/>
        <v>0</v>
      </c>
      <c r="L52">
        <f ca="1"/>
        <v>0</v>
      </c>
      <c r="M52">
        <f ca="1"/>
        <v>0.40542699999999998</v>
      </c>
      <c r="N52">
        <f ca="1"/>
        <v>0.54950600000000005</v>
      </c>
      <c r="O52">
        <f ca="1"/>
        <v>0.48</v>
      </c>
      <c r="P52">
        <f ca="1"/>
        <v>0</v>
      </c>
      <c r="Q52">
        <f ca="1"/>
        <v>0</v>
      </c>
      <c r="R52">
        <f ca="1"/>
        <v>0.40542699999999998</v>
      </c>
      <c r="S52">
        <f ca="1"/>
        <v>0.54950600000000005</v>
      </c>
      <c r="T52">
        <f ca="1"/>
        <v>0.48</v>
      </c>
      <c r="U52">
        <f ca="1"/>
        <v>0</v>
      </c>
      <c r="V52">
        <f ca="1"/>
        <v>0</v>
      </c>
    </row>
    <row r="53" spans="1:22" x14ac:dyDescent="0.3">
      <c r="A53" t="str">
        <f ca="1"/>
        <v>52</v>
      </c>
      <c r="B53" t="str">
        <f ca="1"/>
        <v>Gakenke_HS18_15</v>
      </c>
      <c r="C53">
        <f ca="1"/>
        <v>0.30331999999999998</v>
      </c>
      <c r="D53">
        <f ca="1"/>
        <v>0.25889099999999998</v>
      </c>
      <c r="E53">
        <f ca="1"/>
        <v>0</v>
      </c>
      <c r="F53">
        <f ca="1"/>
        <v>0.111623</v>
      </c>
      <c r="G53">
        <f ca="1"/>
        <v>0</v>
      </c>
      <c r="H53">
        <f ca="1"/>
        <v>0.306058</v>
      </c>
      <c r="I53">
        <f ca="1"/>
        <v>0</v>
      </c>
      <c r="J53">
        <f ca="1"/>
        <v>0</v>
      </c>
      <c r="K53">
        <f ca="1"/>
        <v>0</v>
      </c>
      <c r="L53">
        <f ca="1"/>
        <v>0</v>
      </c>
      <c r="M53">
        <f ca="1"/>
        <v>0.38415500000000002</v>
      </c>
      <c r="N53">
        <f ca="1"/>
        <v>0.55517899999999998</v>
      </c>
      <c r="O53">
        <f ca="1"/>
        <v>0.49</v>
      </c>
      <c r="P53">
        <f ca="1"/>
        <v>0</v>
      </c>
      <c r="Q53">
        <f ca="1"/>
        <v>0</v>
      </c>
      <c r="R53">
        <f ca="1"/>
        <v>0.38415500000000002</v>
      </c>
      <c r="S53">
        <f ca="1"/>
        <v>0.55517899999999998</v>
      </c>
      <c r="T53">
        <f ca="1"/>
        <v>0.49</v>
      </c>
      <c r="U53">
        <f ca="1"/>
        <v>0</v>
      </c>
      <c r="V53">
        <f ca="1"/>
        <v>0</v>
      </c>
    </row>
    <row r="54" spans="1:22" x14ac:dyDescent="0.3">
      <c r="A54" t="str">
        <f ca="1"/>
        <v>53</v>
      </c>
      <c r="B54" t="str">
        <f ca="1"/>
        <v>Gakenke_HS19_15</v>
      </c>
      <c r="C54">
        <f ca="1"/>
        <v>0.35708400000000001</v>
      </c>
      <c r="D54">
        <f ca="1"/>
        <v>1.1948780000000001</v>
      </c>
      <c r="E54">
        <f ca="1"/>
        <v>0</v>
      </c>
      <c r="F54">
        <f ca="1"/>
        <v>0.70354899999999998</v>
      </c>
      <c r="G54">
        <f ca="1"/>
        <v>0.45890399999999998</v>
      </c>
      <c r="H54">
        <f ca="1"/>
        <v>0.19221299999999999</v>
      </c>
      <c r="I54">
        <f ca="1"/>
        <v>0.87814899999999996</v>
      </c>
      <c r="J54">
        <f ca="1"/>
        <v>0.64</v>
      </c>
      <c r="K54">
        <f ca="1"/>
        <v>0</v>
      </c>
      <c r="L54">
        <f ca="1"/>
        <v>0</v>
      </c>
      <c r="M54">
        <f ca="1"/>
        <v>0.359595</v>
      </c>
      <c r="N54">
        <f ca="1"/>
        <v>0.51783699999999999</v>
      </c>
      <c r="O54">
        <f ca="1"/>
        <v>0.56999999999999995</v>
      </c>
      <c r="P54">
        <f ca="1"/>
        <v>0</v>
      </c>
      <c r="Q54">
        <f ca="1"/>
        <v>0</v>
      </c>
      <c r="R54">
        <f ca="1"/>
        <v>0.40648299999999998</v>
      </c>
      <c r="S54">
        <f ca="1"/>
        <v>0.47182099999999999</v>
      </c>
      <c r="T54">
        <f ca="1"/>
        <v>0.56000000000000005</v>
      </c>
      <c r="U54">
        <f ca="1"/>
        <v>0</v>
      </c>
      <c r="V54">
        <f ca="1"/>
        <v>0</v>
      </c>
    </row>
    <row r="55" spans="1:22" x14ac:dyDescent="0.3">
      <c r="A55" t="str">
        <f ca="1"/>
        <v>54</v>
      </c>
      <c r="B55" t="str">
        <f ca="1"/>
        <v>Gakenke_HS1_15</v>
      </c>
      <c r="C55">
        <f ca="1"/>
        <v>0.61663599999999996</v>
      </c>
      <c r="D55">
        <f ca="1"/>
        <v>0</v>
      </c>
      <c r="E55">
        <f ca="1"/>
        <v>0</v>
      </c>
      <c r="F55">
        <f ca="1"/>
        <v>0.70305300000000004</v>
      </c>
      <c r="G55">
        <f ca="1"/>
        <v>0</v>
      </c>
      <c r="H55">
        <f ca="1"/>
        <v>1.0014460000000001</v>
      </c>
      <c r="I55">
        <f ca="1"/>
        <v>0</v>
      </c>
      <c r="J55">
        <f ca="1"/>
        <v>0</v>
      </c>
      <c r="K55">
        <f ca="1"/>
        <v>0</v>
      </c>
      <c r="L55">
        <f ca="1"/>
        <v>0</v>
      </c>
      <c r="M55">
        <f ca="1"/>
        <v>0.57899299999999998</v>
      </c>
      <c r="N55">
        <f ca="1"/>
        <v>0</v>
      </c>
      <c r="O55">
        <f ca="1"/>
        <v>0</v>
      </c>
      <c r="P55">
        <f ca="1"/>
        <v>0.99356599999999995</v>
      </c>
      <c r="Q55">
        <f ca="1"/>
        <v>0</v>
      </c>
      <c r="R55">
        <f ca="1"/>
        <v>0.68063700000000005</v>
      </c>
      <c r="S55">
        <f ca="1"/>
        <v>0</v>
      </c>
      <c r="T55">
        <f ca="1"/>
        <v>0</v>
      </c>
      <c r="U55">
        <f ca="1"/>
        <v>0.99356599999999995</v>
      </c>
      <c r="V55">
        <f ca="1"/>
        <v>0</v>
      </c>
    </row>
    <row r="56" spans="1:22" x14ac:dyDescent="0.3">
      <c r="A56" t="str">
        <f ca="1"/>
        <v>55</v>
      </c>
      <c r="B56" t="str">
        <f ca="1"/>
        <v>Gakenke_HS20_15</v>
      </c>
      <c r="C56">
        <f ca="1"/>
        <v>0.21985199999999999</v>
      </c>
      <c r="D56">
        <f ca="1"/>
        <v>0</v>
      </c>
      <c r="E56">
        <f ca="1"/>
        <v>0</v>
      </c>
      <c r="F56">
        <f ca="1"/>
        <v>0.465416</v>
      </c>
      <c r="G56">
        <f ca="1"/>
        <v>0</v>
      </c>
      <c r="H56">
        <f ca="1"/>
        <v>0.26164599999999999</v>
      </c>
      <c r="I56">
        <f ca="1"/>
        <v>0</v>
      </c>
      <c r="J56">
        <f ca="1"/>
        <v>0</v>
      </c>
      <c r="K56">
        <f ca="1"/>
        <v>0</v>
      </c>
      <c r="L56">
        <f ca="1"/>
        <v>0</v>
      </c>
      <c r="M56">
        <f ca="1"/>
        <v>0.29362199999999999</v>
      </c>
      <c r="N56">
        <f ca="1"/>
        <v>0.51166800000000001</v>
      </c>
      <c r="O56">
        <f ca="1"/>
        <v>0.5</v>
      </c>
      <c r="P56">
        <f ca="1"/>
        <v>0</v>
      </c>
      <c r="Q56">
        <f ca="1"/>
        <v>0</v>
      </c>
      <c r="R56">
        <f ca="1"/>
        <v>0.29362199999999999</v>
      </c>
      <c r="S56">
        <f ca="1"/>
        <v>0.51166800000000001</v>
      </c>
      <c r="T56">
        <f ca="1"/>
        <v>0.5</v>
      </c>
      <c r="U56">
        <f ca="1"/>
        <v>0</v>
      </c>
      <c r="V56">
        <f ca="1"/>
        <v>0</v>
      </c>
    </row>
    <row r="57" spans="1:22" x14ac:dyDescent="0.3">
      <c r="A57" t="str">
        <f ca="1"/>
        <v>56</v>
      </c>
      <c r="B57" t="str">
        <f ca="1"/>
        <v>Gakenke_HS21_15</v>
      </c>
      <c r="C57">
        <f ca="1"/>
        <v>0.39367600000000003</v>
      </c>
      <c r="D57">
        <f ca="1"/>
        <v>0</v>
      </c>
      <c r="E57">
        <f ca="1"/>
        <v>0</v>
      </c>
      <c r="F57">
        <f ca="1"/>
        <v>0.11955399999999999</v>
      </c>
      <c r="G57">
        <f ca="1"/>
        <v>0</v>
      </c>
      <c r="H57">
        <f ca="1"/>
        <v>0.43598100000000001</v>
      </c>
      <c r="I57">
        <f ca="1"/>
        <v>0</v>
      </c>
      <c r="J57">
        <f ca="1"/>
        <v>0</v>
      </c>
      <c r="K57">
        <f ca="1"/>
        <v>0</v>
      </c>
      <c r="L57">
        <f ca="1"/>
        <v>0</v>
      </c>
      <c r="M57">
        <f ca="1"/>
        <v>0.30095300000000003</v>
      </c>
      <c r="N57">
        <f ca="1"/>
        <v>0.516046</v>
      </c>
      <c r="O57">
        <f ca="1"/>
        <v>0.61</v>
      </c>
      <c r="P57">
        <f ca="1"/>
        <v>0</v>
      </c>
      <c r="Q57">
        <f ca="1"/>
        <v>0</v>
      </c>
      <c r="R57">
        <f ca="1"/>
        <v>0.30412099999999997</v>
      </c>
      <c r="S57">
        <f ca="1"/>
        <v>0.51263099999999995</v>
      </c>
      <c r="T57">
        <f ca="1"/>
        <v>0.61</v>
      </c>
      <c r="U57">
        <f ca="1"/>
        <v>0</v>
      </c>
      <c r="V57">
        <f ca="1"/>
        <v>0</v>
      </c>
    </row>
    <row r="58" spans="1:22" x14ac:dyDescent="0.3">
      <c r="A58" t="str">
        <f ca="1"/>
        <v>57</v>
      </c>
      <c r="B58" t="str">
        <f ca="1"/>
        <v>Gakenke_HS22_15</v>
      </c>
      <c r="C58">
        <f ca="1"/>
        <v>0.43856099999999998</v>
      </c>
      <c r="D58">
        <f ca="1"/>
        <v>0</v>
      </c>
      <c r="E58">
        <f ca="1"/>
        <v>0</v>
      </c>
      <c r="F58">
        <f ca="1"/>
        <v>0.34320099999999998</v>
      </c>
      <c r="G58">
        <f ca="1"/>
        <v>0</v>
      </c>
      <c r="H58">
        <f ca="1"/>
        <v>0.53821200000000002</v>
      </c>
      <c r="I58">
        <f ca="1"/>
        <v>0</v>
      </c>
      <c r="J58">
        <f ca="1"/>
        <v>0</v>
      </c>
      <c r="K58">
        <f ca="1"/>
        <v>0</v>
      </c>
      <c r="L58">
        <f ca="1"/>
        <v>0</v>
      </c>
      <c r="M58">
        <f ca="1"/>
        <v>0.43157200000000001</v>
      </c>
      <c r="N58">
        <f ca="1"/>
        <v>0</v>
      </c>
      <c r="O58">
        <f ca="1"/>
        <v>0</v>
      </c>
      <c r="P58">
        <f ca="1"/>
        <v>0.98347799999999996</v>
      </c>
      <c r="Q58">
        <f ca="1"/>
        <v>3.8408999999999999E-2</v>
      </c>
      <c r="R58">
        <f ca="1"/>
        <v>0.47601100000000002</v>
      </c>
      <c r="S58">
        <f ca="1"/>
        <v>0</v>
      </c>
      <c r="T58">
        <f ca="1"/>
        <v>0</v>
      </c>
      <c r="U58">
        <f ca="1"/>
        <v>0.99146599999999996</v>
      </c>
      <c r="V58">
        <f ca="1"/>
        <v>4.1570000000000001E-3</v>
      </c>
    </row>
    <row r="59" spans="1:22" x14ac:dyDescent="0.3">
      <c r="A59" t="str">
        <f ca="1"/>
        <v>58</v>
      </c>
      <c r="B59" t="str">
        <f ca="1"/>
        <v>Gakenke_HS23_15</v>
      </c>
      <c r="C59">
        <f ca="1"/>
        <v>0.20610700000000001</v>
      </c>
      <c r="D59">
        <f ca="1"/>
        <v>0</v>
      </c>
      <c r="E59">
        <f ca="1"/>
        <v>0</v>
      </c>
      <c r="F59">
        <f ca="1"/>
        <v>7.5916999999999998E-2</v>
      </c>
      <c r="G59">
        <f ca="1"/>
        <v>0</v>
      </c>
      <c r="H59">
        <f ca="1"/>
        <v>0.23346500000000001</v>
      </c>
      <c r="I59">
        <f ca="1"/>
        <v>0</v>
      </c>
      <c r="J59">
        <f ca="1"/>
        <v>0</v>
      </c>
      <c r="K59">
        <f ca="1"/>
        <v>0</v>
      </c>
      <c r="L59">
        <f ca="1"/>
        <v>0</v>
      </c>
      <c r="M59">
        <f ca="1"/>
        <v>0.184308</v>
      </c>
      <c r="N59">
        <f ca="1"/>
        <v>0</v>
      </c>
      <c r="O59">
        <f ca="1"/>
        <v>0</v>
      </c>
      <c r="P59">
        <f ca="1"/>
        <v>0.99624500000000005</v>
      </c>
      <c r="Q59">
        <f ca="1"/>
        <v>0</v>
      </c>
      <c r="R59">
        <f ca="1"/>
        <v>0.21034800000000001</v>
      </c>
      <c r="S59">
        <f ca="1"/>
        <v>0</v>
      </c>
      <c r="T59">
        <f ca="1"/>
        <v>0</v>
      </c>
      <c r="U59">
        <f ca="1"/>
        <v>0.99624500000000005</v>
      </c>
      <c r="V59">
        <f ca="1"/>
        <v>0</v>
      </c>
    </row>
    <row r="60" spans="1:22" x14ac:dyDescent="0.3">
      <c r="A60" t="str">
        <f ca="1"/>
        <v>59</v>
      </c>
      <c r="B60" t="str">
        <f ca="1"/>
        <v>Gakenke_HS2_15</v>
      </c>
      <c r="C60">
        <f ca="1"/>
        <v>8.8775999999999994E-2</v>
      </c>
      <c r="D60">
        <f ca="1"/>
        <v>0</v>
      </c>
      <c r="E60">
        <f ca="1"/>
        <v>0</v>
      </c>
      <c r="F60">
        <f ca="1"/>
        <v>0.86431400000000003</v>
      </c>
      <c r="G60">
        <f ca="1"/>
        <v>0</v>
      </c>
      <c r="H60">
        <f ca="1"/>
        <v>8.924E-2</v>
      </c>
      <c r="I60">
        <f ca="1"/>
        <v>0.50278599999999996</v>
      </c>
      <c r="J60">
        <f ca="1"/>
        <v>0.17</v>
      </c>
      <c r="K60">
        <f ca="1"/>
        <v>0</v>
      </c>
      <c r="L60">
        <f ca="1"/>
        <v>0</v>
      </c>
      <c r="M60">
        <f ca="1"/>
        <v>0.14516100000000001</v>
      </c>
      <c r="N60">
        <f ca="1"/>
        <v>0.565419</v>
      </c>
      <c r="O60">
        <f ca="1"/>
        <v>0.56000000000000005</v>
      </c>
      <c r="P60">
        <f ca="1"/>
        <v>0</v>
      </c>
      <c r="Q60">
        <f ca="1"/>
        <v>0</v>
      </c>
      <c r="R60">
        <f ca="1"/>
        <v>0.14516100000000001</v>
      </c>
      <c r="S60">
        <f ca="1"/>
        <v>0.565419</v>
      </c>
      <c r="T60">
        <f ca="1"/>
        <v>0.56000000000000005</v>
      </c>
      <c r="U60">
        <f ca="1"/>
        <v>0</v>
      </c>
      <c r="V60">
        <f ca="1"/>
        <v>0</v>
      </c>
    </row>
    <row r="61" spans="1:22" x14ac:dyDescent="0.3">
      <c r="A61" t="str">
        <f ca="1"/>
        <v>60</v>
      </c>
      <c r="B61" t="str">
        <f ca="1"/>
        <v>Gakenke_HS3_15</v>
      </c>
      <c r="C61">
        <f ca="1"/>
        <v>0.50107000000000002</v>
      </c>
      <c r="D61">
        <f ca="1"/>
        <v>0.40451500000000001</v>
      </c>
      <c r="E61">
        <f ca="1"/>
        <v>0</v>
      </c>
      <c r="F61">
        <f ca="1"/>
        <v>0.58692599999999995</v>
      </c>
      <c r="G61">
        <f ca="1"/>
        <v>0</v>
      </c>
      <c r="H61">
        <f ca="1"/>
        <v>0.77786299999999997</v>
      </c>
      <c r="I61">
        <f ca="1"/>
        <v>0</v>
      </c>
      <c r="J61">
        <f ca="1"/>
        <v>0</v>
      </c>
      <c r="K61">
        <f ca="1"/>
        <v>0</v>
      </c>
      <c r="L61">
        <f ca="1"/>
        <v>0</v>
      </c>
      <c r="M61">
        <f ca="1"/>
        <v>0.35668699999999998</v>
      </c>
      <c r="N61">
        <f ca="1"/>
        <v>0</v>
      </c>
      <c r="O61">
        <f ca="1"/>
        <v>0</v>
      </c>
      <c r="P61">
        <f ca="1"/>
        <v>0.98490599999999995</v>
      </c>
      <c r="Q61">
        <f ca="1"/>
        <v>0</v>
      </c>
      <c r="R61">
        <f ca="1"/>
        <v>0.38994400000000001</v>
      </c>
      <c r="S61">
        <f ca="1"/>
        <v>0</v>
      </c>
      <c r="T61">
        <f ca="1"/>
        <v>0</v>
      </c>
      <c r="U61">
        <f ca="1"/>
        <v>0.98490599999999995</v>
      </c>
      <c r="V61">
        <f ca="1"/>
        <v>0</v>
      </c>
    </row>
    <row r="62" spans="1:22" x14ac:dyDescent="0.3">
      <c r="A62" t="str">
        <f ca="1"/>
        <v>61</v>
      </c>
      <c r="B62" t="str">
        <f ca="1"/>
        <v>Gakenke_HS4_15</v>
      </c>
      <c r="C62">
        <f ca="1"/>
        <v>0.388436</v>
      </c>
      <c r="D62">
        <f ca="1"/>
        <v>0</v>
      </c>
      <c r="E62">
        <f ca="1"/>
        <v>0</v>
      </c>
      <c r="F62">
        <f ca="1"/>
        <v>0.74295</v>
      </c>
      <c r="G62">
        <f ca="1"/>
        <v>0.61764699999999995</v>
      </c>
      <c r="H62">
        <f ca="1"/>
        <v>0.225911</v>
      </c>
      <c r="I62">
        <f ca="1"/>
        <v>0.794983</v>
      </c>
      <c r="J62">
        <f ca="1"/>
        <v>0.62</v>
      </c>
      <c r="K62">
        <f ca="1"/>
        <v>0</v>
      </c>
      <c r="L62">
        <f ca="1"/>
        <v>0</v>
      </c>
      <c r="M62">
        <f ca="1"/>
        <v>0.39496199999999998</v>
      </c>
      <c r="N62">
        <f ca="1"/>
        <v>0.50965800000000006</v>
      </c>
      <c r="O62">
        <f ca="1"/>
        <v>0.56000000000000005</v>
      </c>
      <c r="P62">
        <f ca="1"/>
        <v>0</v>
      </c>
      <c r="Q62">
        <f ca="1"/>
        <v>0</v>
      </c>
      <c r="R62">
        <f ca="1"/>
        <v>0.474831</v>
      </c>
      <c r="S62">
        <f ca="1"/>
        <v>0.433029</v>
      </c>
      <c r="T62">
        <f ca="1"/>
        <v>0.54</v>
      </c>
      <c r="U62">
        <f ca="1"/>
        <v>0</v>
      </c>
      <c r="V62">
        <f ca="1"/>
        <v>0</v>
      </c>
    </row>
    <row r="63" spans="1:22" x14ac:dyDescent="0.3">
      <c r="A63" t="str">
        <f ca="1"/>
        <v>62</v>
      </c>
      <c r="B63" t="str">
        <f ca="1"/>
        <v>Gakenke_HS5_15</v>
      </c>
      <c r="C63">
        <f ca="1"/>
        <v>0.30395699999999998</v>
      </c>
      <c r="D63">
        <f ca="1"/>
        <v>0</v>
      </c>
      <c r="E63">
        <f ca="1"/>
        <v>0</v>
      </c>
      <c r="F63">
        <f ca="1"/>
        <v>0.44202200000000003</v>
      </c>
      <c r="G63">
        <f ca="1"/>
        <v>0</v>
      </c>
      <c r="H63">
        <f ca="1"/>
        <v>0.37245699999999998</v>
      </c>
      <c r="I63">
        <f ca="1"/>
        <v>0</v>
      </c>
      <c r="J63">
        <f ca="1"/>
        <v>0</v>
      </c>
      <c r="K63">
        <f ca="1"/>
        <v>0</v>
      </c>
      <c r="L63">
        <f ca="1"/>
        <v>0</v>
      </c>
      <c r="M63">
        <f ca="1"/>
        <v>0.263739</v>
      </c>
      <c r="N63">
        <f ca="1"/>
        <v>0</v>
      </c>
      <c r="O63">
        <f ca="1"/>
        <v>0</v>
      </c>
      <c r="P63">
        <f ca="1"/>
        <v>0.99261999999999995</v>
      </c>
      <c r="Q63">
        <f ca="1"/>
        <v>0</v>
      </c>
      <c r="R63">
        <f ca="1"/>
        <v>0.29246</v>
      </c>
      <c r="S63">
        <f ca="1"/>
        <v>0</v>
      </c>
      <c r="T63">
        <f ca="1"/>
        <v>0</v>
      </c>
      <c r="U63">
        <f ca="1"/>
        <v>0.99261999999999995</v>
      </c>
      <c r="V63">
        <f ca="1"/>
        <v>0</v>
      </c>
    </row>
    <row r="64" spans="1:22" x14ac:dyDescent="0.3">
      <c r="A64" t="str">
        <f ca="1"/>
        <v>63</v>
      </c>
      <c r="B64" t="str">
        <f ca="1"/>
        <v>Gakenke_HS6_15</v>
      </c>
      <c r="C64">
        <f ca="1"/>
        <v>0.56207399999999996</v>
      </c>
      <c r="D64">
        <f ca="1"/>
        <v>0</v>
      </c>
      <c r="E64">
        <f ca="1"/>
        <v>0</v>
      </c>
      <c r="F64">
        <f ca="1"/>
        <v>0.40635399999999999</v>
      </c>
      <c r="G64">
        <f ca="1"/>
        <v>0.16306499999999999</v>
      </c>
      <c r="H64">
        <f ca="1"/>
        <v>0.97726100000000005</v>
      </c>
      <c r="I64">
        <f ca="1"/>
        <v>0</v>
      </c>
      <c r="J64">
        <f ca="1"/>
        <v>0</v>
      </c>
      <c r="K64">
        <f ca="1"/>
        <v>0</v>
      </c>
      <c r="L64">
        <f ca="1"/>
        <v>0</v>
      </c>
      <c r="M64">
        <f ca="1"/>
        <v>0.415161</v>
      </c>
      <c r="N64">
        <f ca="1"/>
        <v>0</v>
      </c>
      <c r="O64">
        <f ca="1"/>
        <v>0</v>
      </c>
      <c r="P64">
        <f ca="1"/>
        <v>0.97796899999999998</v>
      </c>
      <c r="Q64">
        <f ca="1"/>
        <v>0.55565399999999998</v>
      </c>
      <c r="R64">
        <f ca="1"/>
        <v>0.462843</v>
      </c>
      <c r="S64">
        <f ca="1"/>
        <v>0</v>
      </c>
      <c r="T64">
        <f ca="1"/>
        <v>0</v>
      </c>
      <c r="U64">
        <f ca="1"/>
        <v>0.98209500000000005</v>
      </c>
      <c r="V64">
        <f ca="1"/>
        <v>0.13569500000000001</v>
      </c>
    </row>
    <row r="65" spans="1:22" x14ac:dyDescent="0.3">
      <c r="A65" t="str">
        <f ca="1"/>
        <v>64</v>
      </c>
      <c r="B65" t="str">
        <f ca="1"/>
        <v>Gakenke_HS7_15</v>
      </c>
      <c r="C65">
        <f ca="1"/>
        <v>1.0305610000000001</v>
      </c>
      <c r="D65">
        <f ca="1"/>
        <v>0.41059699999999999</v>
      </c>
      <c r="E65">
        <f ca="1"/>
        <v>0.01</v>
      </c>
      <c r="F65">
        <f ca="1"/>
        <v>0.45550400000000002</v>
      </c>
      <c r="G65">
        <f ca="1"/>
        <v>0.71111100000000005</v>
      </c>
      <c r="H65">
        <f ca="1"/>
        <v>0.73440399999999995</v>
      </c>
      <c r="I65">
        <f ca="1"/>
        <v>0</v>
      </c>
      <c r="J65">
        <f ca="1"/>
        <v>0</v>
      </c>
      <c r="K65">
        <f ca="1"/>
        <v>0.77431000000000005</v>
      </c>
      <c r="L65">
        <f ca="1"/>
        <v>0.269347</v>
      </c>
      <c r="M65">
        <f ca="1"/>
        <v>0.41614499999999999</v>
      </c>
      <c r="N65">
        <f ca="1"/>
        <v>0</v>
      </c>
      <c r="O65">
        <f ca="1"/>
        <v>0</v>
      </c>
      <c r="P65">
        <f ca="1"/>
        <v>0.98343199999999997</v>
      </c>
      <c r="Q65">
        <f ca="1"/>
        <v>0.66605099999999995</v>
      </c>
      <c r="R65">
        <f ca="1"/>
        <v>0.47609800000000002</v>
      </c>
      <c r="S65">
        <f ca="1"/>
        <v>0</v>
      </c>
      <c r="T65">
        <f ca="1"/>
        <v>0</v>
      </c>
      <c r="U65">
        <f ca="1"/>
        <v>0.98661500000000002</v>
      </c>
      <c r="V65">
        <f ca="1"/>
        <v>0.26659300000000002</v>
      </c>
    </row>
    <row r="66" spans="1:22" x14ac:dyDescent="0.3">
      <c r="A66" t="str">
        <f ca="1"/>
        <v>65</v>
      </c>
      <c r="B66" t="str">
        <f ca="1"/>
        <v>Gakenke_HS8_15</v>
      </c>
      <c r="C66">
        <f ca="1"/>
        <v>0.55662500000000004</v>
      </c>
      <c r="D66">
        <f ca="1"/>
        <v>0</v>
      </c>
      <c r="E66">
        <f ca="1"/>
        <v>0</v>
      </c>
      <c r="F66">
        <f ca="1"/>
        <v>0.39711000000000002</v>
      </c>
      <c r="G66">
        <f ca="1"/>
        <v>0</v>
      </c>
      <c r="H66">
        <f ca="1"/>
        <v>0.63504000000000005</v>
      </c>
      <c r="I66">
        <f ca="1"/>
        <v>0</v>
      </c>
      <c r="J66">
        <f ca="1"/>
        <v>0</v>
      </c>
      <c r="K66">
        <f ca="1"/>
        <v>0</v>
      </c>
      <c r="L66">
        <f ca="1"/>
        <v>0</v>
      </c>
      <c r="M66">
        <f ca="1"/>
        <v>0.588198</v>
      </c>
      <c r="N66">
        <f ca="1"/>
        <v>0</v>
      </c>
      <c r="O66">
        <f ca="1"/>
        <v>0</v>
      </c>
      <c r="P66">
        <f ca="1"/>
        <v>0.93385799999999997</v>
      </c>
      <c r="Q66">
        <f ca="1"/>
        <v>0</v>
      </c>
      <c r="R66">
        <f ca="1"/>
        <v>0.62887300000000002</v>
      </c>
      <c r="S66">
        <f ca="1"/>
        <v>0</v>
      </c>
      <c r="T66">
        <f ca="1"/>
        <v>0</v>
      </c>
      <c r="U66">
        <f ca="1"/>
        <v>0.93385799999999997</v>
      </c>
      <c r="V66">
        <f ca="1"/>
        <v>0</v>
      </c>
    </row>
    <row r="67" spans="1:22" x14ac:dyDescent="0.3">
      <c r="A67" t="str">
        <f ca="1"/>
        <v>66</v>
      </c>
      <c r="B67" t="str">
        <f ca="1"/>
        <v>Gakenke_HS9_15</v>
      </c>
      <c r="C67">
        <f ca="1"/>
        <v>0.45960899999999999</v>
      </c>
      <c r="D67">
        <f ca="1"/>
        <v>0</v>
      </c>
      <c r="E67">
        <f ca="1"/>
        <v>0</v>
      </c>
      <c r="F67">
        <f ca="1"/>
        <v>0.49752400000000002</v>
      </c>
      <c r="G67">
        <f ca="1"/>
        <v>0</v>
      </c>
      <c r="H67">
        <f ca="1"/>
        <v>0.66415800000000003</v>
      </c>
      <c r="I67">
        <f ca="1"/>
        <v>0</v>
      </c>
      <c r="J67">
        <f ca="1"/>
        <v>0</v>
      </c>
      <c r="K67">
        <f ca="1"/>
        <v>0</v>
      </c>
      <c r="L67">
        <f ca="1"/>
        <v>0</v>
      </c>
      <c r="M67">
        <f ca="1"/>
        <v>0.34193699999999999</v>
      </c>
      <c r="N67">
        <f ca="1"/>
        <v>0</v>
      </c>
      <c r="O67">
        <f ca="1"/>
        <v>0</v>
      </c>
      <c r="P67">
        <f ca="1"/>
        <v>0.98133199999999998</v>
      </c>
      <c r="Q67">
        <f ca="1"/>
        <v>0</v>
      </c>
      <c r="R67">
        <f ca="1"/>
        <v>0.38304100000000002</v>
      </c>
      <c r="S67">
        <f ca="1"/>
        <v>0</v>
      </c>
      <c r="T67">
        <f ca="1"/>
        <v>0</v>
      </c>
      <c r="U67">
        <f ca="1"/>
        <v>0.98133199999999998</v>
      </c>
      <c r="V67">
        <f ca="1"/>
        <v>0</v>
      </c>
    </row>
    <row r="68" spans="1:22" x14ac:dyDescent="0.3">
      <c r="A68" t="str">
        <f ca="1"/>
        <v>67</v>
      </c>
      <c r="B68" t="str">
        <f ca="1"/>
        <v>Gasabo_HS0_15</v>
      </c>
      <c r="C68">
        <f ca="1"/>
        <v>0.55142000000000002</v>
      </c>
      <c r="D68">
        <f ca="1"/>
        <v>0.45910299999999998</v>
      </c>
      <c r="E68">
        <f ca="1"/>
        <v>1.2486000000000001E-2</v>
      </c>
      <c r="F68">
        <f ca="1"/>
        <v>0.82497500000000001</v>
      </c>
      <c r="G68">
        <f ca="1"/>
        <v>1</v>
      </c>
      <c r="H68">
        <f ca="1"/>
        <v>0.238564</v>
      </c>
      <c r="I68">
        <f ca="1"/>
        <v>0</v>
      </c>
      <c r="J68">
        <f ca="1"/>
        <v>0</v>
      </c>
      <c r="K68">
        <f ca="1"/>
        <v>0.99948999999999999</v>
      </c>
      <c r="L68">
        <f ca="1"/>
        <v>1</v>
      </c>
      <c r="M68">
        <f ca="1"/>
        <v>0.197407</v>
      </c>
      <c r="N68">
        <f ca="1"/>
        <v>0</v>
      </c>
      <c r="O68">
        <f ca="1"/>
        <v>0</v>
      </c>
      <c r="P68">
        <f ca="1"/>
        <v>0.99923499999999998</v>
      </c>
      <c r="Q68">
        <f ca="1"/>
        <v>1</v>
      </c>
      <c r="R68">
        <f ca="1"/>
        <v>0.32732600000000001</v>
      </c>
      <c r="S68">
        <f ca="1"/>
        <v>0</v>
      </c>
      <c r="T68">
        <f ca="1"/>
        <v>0</v>
      </c>
      <c r="U68">
        <f ca="1"/>
        <v>0.99948999999999999</v>
      </c>
      <c r="V68">
        <f ca="1"/>
        <v>1</v>
      </c>
    </row>
    <row r="69" spans="1:22" x14ac:dyDescent="0.3">
      <c r="A69" t="str">
        <f ca="1"/>
        <v>68</v>
      </c>
      <c r="B69" t="str">
        <f ca="1"/>
        <v>Gasabo_HS10_15</v>
      </c>
      <c r="C69">
        <f ca="1"/>
        <v>0.55509900000000001</v>
      </c>
      <c r="D69">
        <f ca="1"/>
        <v>0.41038200000000002</v>
      </c>
      <c r="E69">
        <f ca="1"/>
        <v>0</v>
      </c>
      <c r="F69">
        <f ca="1"/>
        <v>0.185027</v>
      </c>
      <c r="G69">
        <f ca="1"/>
        <v>0.12820500000000001</v>
      </c>
      <c r="H69">
        <f ca="1"/>
        <v>0.95307399999999998</v>
      </c>
      <c r="I69">
        <f ca="1"/>
        <v>0</v>
      </c>
      <c r="J69">
        <f ca="1"/>
        <v>0</v>
      </c>
      <c r="K69">
        <f ca="1"/>
        <v>0</v>
      </c>
      <c r="L69">
        <f ca="1"/>
        <v>0</v>
      </c>
      <c r="M69">
        <f ca="1"/>
        <v>0.34026800000000001</v>
      </c>
      <c r="N69">
        <f ca="1"/>
        <v>0</v>
      </c>
      <c r="O69">
        <f ca="1"/>
        <v>0</v>
      </c>
      <c r="P69">
        <f ca="1"/>
        <v>0.99371600000000004</v>
      </c>
      <c r="Q69">
        <f ca="1"/>
        <v>0.644617</v>
      </c>
      <c r="R69">
        <f ca="1"/>
        <v>0.40704800000000002</v>
      </c>
      <c r="S69">
        <f ca="1"/>
        <v>0</v>
      </c>
      <c r="T69">
        <f ca="1"/>
        <v>0</v>
      </c>
      <c r="U69">
        <f ca="1"/>
        <v>0.99589700000000003</v>
      </c>
      <c r="V69">
        <f ca="1"/>
        <v>0.161553</v>
      </c>
    </row>
    <row r="70" spans="1:22" x14ac:dyDescent="0.3">
      <c r="A70" t="str">
        <f ca="1"/>
        <v>69</v>
      </c>
      <c r="B70" t="str">
        <f ca="1"/>
        <v>Gasabo_HS11_15</v>
      </c>
      <c r="C70">
        <f ca="1"/>
        <v>0.55174599999999996</v>
      </c>
      <c r="D70">
        <f ca="1"/>
        <v>0.50575899999999996</v>
      </c>
      <c r="E70">
        <f ca="1"/>
        <v>0</v>
      </c>
      <c r="F70">
        <f ca="1"/>
        <v>0.26812200000000003</v>
      </c>
      <c r="G70">
        <f ca="1"/>
        <v>0.89</v>
      </c>
      <c r="H70">
        <f ca="1"/>
        <v>0.23930699999999999</v>
      </c>
      <c r="I70">
        <f ca="1"/>
        <v>0</v>
      </c>
      <c r="J70">
        <f ca="1"/>
        <v>0</v>
      </c>
      <c r="K70">
        <f ca="1"/>
        <v>0.99964500000000001</v>
      </c>
      <c r="L70">
        <f ca="1"/>
        <v>0.35566700000000001</v>
      </c>
      <c r="M70">
        <f ca="1"/>
        <v>0.237734</v>
      </c>
      <c r="N70">
        <f ca="1"/>
        <v>0</v>
      </c>
      <c r="O70">
        <f ca="1"/>
        <v>0</v>
      </c>
      <c r="P70">
        <f ca="1"/>
        <v>0.99966900000000003</v>
      </c>
      <c r="Q70">
        <f ca="1"/>
        <v>0.97849299999999995</v>
      </c>
      <c r="R70">
        <f ca="1"/>
        <v>0.357491</v>
      </c>
      <c r="S70">
        <f ca="1"/>
        <v>0</v>
      </c>
      <c r="T70">
        <f ca="1"/>
        <v>0</v>
      </c>
      <c r="U70">
        <f ca="1"/>
        <v>0.99685000000000001</v>
      </c>
      <c r="V70">
        <f ca="1"/>
        <v>0.80263399999999996</v>
      </c>
    </row>
    <row r="71" spans="1:22" x14ac:dyDescent="0.3">
      <c r="A71" t="str">
        <f ca="1"/>
        <v>70</v>
      </c>
      <c r="B71" t="str">
        <f ca="1"/>
        <v>Gasabo_HS12_15</v>
      </c>
      <c r="C71">
        <f ca="1"/>
        <v>1.5274970000000001</v>
      </c>
      <c r="D71">
        <f ca="1"/>
        <v>0.73369799999999996</v>
      </c>
      <c r="E71">
        <f ca="1"/>
        <v>4.875E-3</v>
      </c>
      <c r="F71">
        <f ca="1"/>
        <v>0.50921700000000003</v>
      </c>
      <c r="G71">
        <f ca="1"/>
        <v>1</v>
      </c>
      <c r="H71">
        <f ca="1"/>
        <v>0.464783</v>
      </c>
      <c r="I71">
        <f ca="1"/>
        <v>0</v>
      </c>
      <c r="J71">
        <f ca="1"/>
        <v>0</v>
      </c>
      <c r="K71">
        <f ca="1"/>
        <v>0.99973400000000001</v>
      </c>
      <c r="L71">
        <f ca="1"/>
        <v>1</v>
      </c>
      <c r="M71">
        <f ca="1"/>
        <v>0.39523000000000003</v>
      </c>
      <c r="N71">
        <f ca="1"/>
        <v>0</v>
      </c>
      <c r="O71">
        <f ca="1"/>
        <v>0</v>
      </c>
      <c r="P71">
        <f ca="1"/>
        <v>0.998282</v>
      </c>
      <c r="Q71">
        <f ca="1"/>
        <v>1</v>
      </c>
      <c r="R71">
        <f ca="1"/>
        <v>0.65488400000000002</v>
      </c>
      <c r="S71">
        <f ca="1"/>
        <v>0</v>
      </c>
      <c r="T71">
        <f ca="1"/>
        <v>0</v>
      </c>
      <c r="U71">
        <f ca="1"/>
        <v>0.99973400000000001</v>
      </c>
      <c r="V71">
        <f ca="1"/>
        <v>1</v>
      </c>
    </row>
    <row r="72" spans="1:22" x14ac:dyDescent="0.3">
      <c r="A72" t="str">
        <f ca="1"/>
        <v>71</v>
      </c>
      <c r="B72" t="str">
        <f ca="1"/>
        <v>Gasabo_HS13_15</v>
      </c>
      <c r="C72">
        <f ca="1"/>
        <v>1.5220610000000001</v>
      </c>
      <c r="D72">
        <f ca="1"/>
        <v>0.63734999999999997</v>
      </c>
      <c r="E72">
        <f ca="1"/>
        <v>0</v>
      </c>
      <c r="F72">
        <f ca="1"/>
        <v>0.51250200000000001</v>
      </c>
      <c r="G72">
        <f ca="1"/>
        <v>0.99309199999999997</v>
      </c>
      <c r="H72">
        <f ca="1"/>
        <v>0.42016700000000001</v>
      </c>
      <c r="I72">
        <f ca="1"/>
        <v>0</v>
      </c>
      <c r="J72">
        <f ca="1"/>
        <v>0</v>
      </c>
      <c r="K72">
        <f ca="1"/>
        <v>0.99924400000000002</v>
      </c>
      <c r="L72">
        <f ca="1"/>
        <v>0.97540099999999996</v>
      </c>
      <c r="M72">
        <f ca="1"/>
        <v>0.358823</v>
      </c>
      <c r="N72">
        <f ca="1"/>
        <v>0</v>
      </c>
      <c r="O72">
        <f ca="1"/>
        <v>0</v>
      </c>
      <c r="P72">
        <f ca="1"/>
        <v>0.99960599999999999</v>
      </c>
      <c r="Q72">
        <f ca="1"/>
        <v>0.99951299999999998</v>
      </c>
      <c r="R72">
        <f ca="1"/>
        <v>0.58237399999999995</v>
      </c>
      <c r="S72">
        <f ca="1"/>
        <v>0</v>
      </c>
      <c r="T72">
        <f ca="1"/>
        <v>0</v>
      </c>
      <c r="U72">
        <f ca="1"/>
        <v>1</v>
      </c>
      <c r="V72">
        <f ca="1"/>
        <v>0.99319199999999996</v>
      </c>
    </row>
    <row r="73" spans="1:22" x14ac:dyDescent="0.3">
      <c r="A73" t="str">
        <f ca="1"/>
        <v>72</v>
      </c>
      <c r="B73" t="str">
        <f ca="1"/>
        <v>Gasabo_HS14_15</v>
      </c>
      <c r="C73">
        <f ca="1"/>
        <v>1.1643399999999999</v>
      </c>
      <c r="D73">
        <f ca="1"/>
        <v>0.37738899999999997</v>
      </c>
      <c r="E73">
        <f ca="1"/>
        <v>0</v>
      </c>
      <c r="F73">
        <f ca="1"/>
        <v>0.279974</v>
      </c>
      <c r="G73">
        <f ca="1"/>
        <v>1</v>
      </c>
      <c r="H73">
        <f ca="1"/>
        <v>0.51668199999999997</v>
      </c>
      <c r="I73">
        <f ca="1"/>
        <v>0.35053000000000001</v>
      </c>
      <c r="J73">
        <f ca="1"/>
        <v>0.5</v>
      </c>
      <c r="K73">
        <f ca="1"/>
        <v>0.59021900000000005</v>
      </c>
      <c r="L73">
        <f ca="1"/>
        <v>1</v>
      </c>
      <c r="M73">
        <f ca="1"/>
        <v>0.24787600000000001</v>
      </c>
      <c r="N73">
        <f ca="1"/>
        <v>0</v>
      </c>
      <c r="O73">
        <f ca="1"/>
        <v>0</v>
      </c>
      <c r="P73">
        <f ca="1"/>
        <v>0.99914800000000004</v>
      </c>
      <c r="Q73">
        <f ca="1"/>
        <v>0.998081</v>
      </c>
      <c r="R73">
        <f ca="1"/>
        <v>0.61755700000000002</v>
      </c>
      <c r="S73">
        <f ca="1"/>
        <v>0.347692</v>
      </c>
      <c r="T73">
        <f ca="1"/>
        <v>0.5</v>
      </c>
      <c r="U73">
        <f ca="1"/>
        <v>0.58302100000000001</v>
      </c>
      <c r="V73">
        <f ca="1"/>
        <v>1</v>
      </c>
    </row>
    <row r="74" spans="1:22" x14ac:dyDescent="0.3">
      <c r="A74" t="str">
        <f ca="1"/>
        <v>73</v>
      </c>
      <c r="B74" t="str">
        <f ca="1"/>
        <v>Gasabo_HS15_15</v>
      </c>
      <c r="C74">
        <f ca="1"/>
        <v>1.9839169999999999</v>
      </c>
      <c r="D74">
        <f ca="1"/>
        <v>0.42642200000000002</v>
      </c>
      <c r="E74">
        <f ca="1"/>
        <v>1.879E-3</v>
      </c>
      <c r="F74">
        <f ca="1"/>
        <v>0.68735900000000005</v>
      </c>
      <c r="G74">
        <f ca="1"/>
        <v>1</v>
      </c>
      <c r="H74">
        <f ca="1"/>
        <v>0.59997900000000004</v>
      </c>
      <c r="I74">
        <f ca="1"/>
        <v>0</v>
      </c>
      <c r="J74">
        <f ca="1"/>
        <v>0</v>
      </c>
      <c r="K74">
        <f ca="1"/>
        <v>1</v>
      </c>
      <c r="L74">
        <f ca="1"/>
        <v>1</v>
      </c>
      <c r="M74">
        <f ca="1"/>
        <v>0.50863000000000003</v>
      </c>
      <c r="N74">
        <f ca="1"/>
        <v>0</v>
      </c>
      <c r="O74">
        <f ca="1"/>
        <v>0</v>
      </c>
      <c r="P74">
        <f ca="1"/>
        <v>0.99997000000000003</v>
      </c>
      <c r="Q74">
        <f ca="1"/>
        <v>1</v>
      </c>
      <c r="R74">
        <f ca="1"/>
        <v>0.84230499999999997</v>
      </c>
      <c r="S74">
        <f ca="1"/>
        <v>0</v>
      </c>
      <c r="T74">
        <f ca="1"/>
        <v>0</v>
      </c>
      <c r="U74">
        <f ca="1"/>
        <v>1</v>
      </c>
      <c r="V74">
        <f ca="1"/>
        <v>1</v>
      </c>
    </row>
    <row r="75" spans="1:22" x14ac:dyDescent="0.3">
      <c r="A75" t="str">
        <f ca="1"/>
        <v>74</v>
      </c>
      <c r="B75" t="str">
        <f ca="1"/>
        <v>Gasabo_HS16_15</v>
      </c>
      <c r="C75">
        <f ca="1"/>
        <v>1.653246</v>
      </c>
      <c r="D75">
        <f ca="1"/>
        <v>0.44521300000000003</v>
      </c>
      <c r="E75">
        <f ca="1"/>
        <v>1.0732999999999999E-2</v>
      </c>
      <c r="F75">
        <f ca="1"/>
        <v>0.62279099999999998</v>
      </c>
      <c r="G75">
        <f ca="1"/>
        <v>1</v>
      </c>
      <c r="H75">
        <f ca="1"/>
        <v>0.50098299999999996</v>
      </c>
      <c r="I75">
        <f ca="1"/>
        <v>0</v>
      </c>
      <c r="J75">
        <f ca="1"/>
        <v>0</v>
      </c>
      <c r="K75">
        <f ca="1"/>
        <v>0.99993100000000001</v>
      </c>
      <c r="L75">
        <f ca="1"/>
        <v>1</v>
      </c>
      <c r="M75">
        <f ca="1"/>
        <v>0.42131999999999997</v>
      </c>
      <c r="N75">
        <f ca="1"/>
        <v>0</v>
      </c>
      <c r="O75">
        <f ca="1"/>
        <v>0</v>
      </c>
      <c r="P75">
        <f ca="1"/>
        <v>0.99990299999999999</v>
      </c>
      <c r="Q75">
        <f ca="1"/>
        <v>1</v>
      </c>
      <c r="R75">
        <f ca="1"/>
        <v>0.69986999999999999</v>
      </c>
      <c r="S75">
        <f ca="1"/>
        <v>0</v>
      </c>
      <c r="T75">
        <f ca="1"/>
        <v>0</v>
      </c>
      <c r="U75">
        <f ca="1"/>
        <v>0.99993100000000001</v>
      </c>
      <c r="V75">
        <f ca="1"/>
        <v>1</v>
      </c>
    </row>
    <row r="76" spans="1:22" x14ac:dyDescent="0.3">
      <c r="A76" t="str">
        <f ca="1"/>
        <v>75</v>
      </c>
      <c r="B76" t="str">
        <f ca="1"/>
        <v>Gasabo_HS17_15</v>
      </c>
      <c r="C76">
        <f ca="1"/>
        <v>1.5440050000000001</v>
      </c>
      <c r="D76">
        <f ca="1"/>
        <v>0.59879499999999997</v>
      </c>
      <c r="E76">
        <f ca="1"/>
        <v>0</v>
      </c>
      <c r="F76">
        <f ca="1"/>
        <v>0.178868</v>
      </c>
      <c r="G76">
        <f ca="1"/>
        <v>0.86310100000000001</v>
      </c>
      <c r="H76">
        <f ca="1"/>
        <v>0.56029799999999996</v>
      </c>
      <c r="I76">
        <f ca="1"/>
        <v>0</v>
      </c>
      <c r="J76">
        <f ca="1"/>
        <v>0</v>
      </c>
      <c r="K76">
        <f ca="1"/>
        <v>0.99548499999999995</v>
      </c>
      <c r="L76">
        <f ca="1"/>
        <v>0.235651</v>
      </c>
      <c r="M76">
        <f ca="1"/>
        <v>0.58155599999999996</v>
      </c>
      <c r="N76">
        <f ca="1"/>
        <v>0</v>
      </c>
      <c r="O76">
        <f ca="1"/>
        <v>0</v>
      </c>
      <c r="P76">
        <f ca="1"/>
        <v>0.980352</v>
      </c>
      <c r="Q76">
        <f ca="1"/>
        <v>0.95749600000000001</v>
      </c>
      <c r="R76">
        <f ca="1"/>
        <v>1.0380910000000001</v>
      </c>
      <c r="S76">
        <f ca="1"/>
        <v>0.33667399999999997</v>
      </c>
      <c r="T76">
        <f ca="1"/>
        <v>0.49</v>
      </c>
      <c r="U76">
        <f ca="1"/>
        <v>0.70644499999999999</v>
      </c>
      <c r="V76">
        <f ca="1"/>
        <v>0.63231700000000002</v>
      </c>
    </row>
    <row r="77" spans="1:22" x14ac:dyDescent="0.3">
      <c r="A77" t="str">
        <f ca="1"/>
        <v>76</v>
      </c>
      <c r="B77" t="str">
        <f ca="1"/>
        <v>Gasabo_HS18_15</v>
      </c>
      <c r="C77">
        <f ca="1"/>
        <v>3.055707</v>
      </c>
      <c r="D77">
        <f ca="1"/>
        <v>0.550732</v>
      </c>
      <c r="E77">
        <f ca="1"/>
        <v>5.9249999999999997E-3</v>
      </c>
      <c r="F77">
        <f ca="1"/>
        <v>0.384654</v>
      </c>
      <c r="G77">
        <f ca="1"/>
        <v>1</v>
      </c>
      <c r="H77">
        <f ca="1"/>
        <v>0.775953</v>
      </c>
      <c r="I77">
        <f ca="1"/>
        <v>0</v>
      </c>
      <c r="J77">
        <f ca="1"/>
        <v>0</v>
      </c>
      <c r="K77">
        <f ca="1"/>
        <v>0.99995000000000001</v>
      </c>
      <c r="L77">
        <f ca="1"/>
        <v>1</v>
      </c>
      <c r="M77">
        <f ca="1"/>
        <v>0.647034</v>
      </c>
      <c r="N77">
        <f ca="1"/>
        <v>0</v>
      </c>
      <c r="O77">
        <f ca="1"/>
        <v>0</v>
      </c>
      <c r="P77">
        <f ca="1"/>
        <v>0.99959600000000004</v>
      </c>
      <c r="Q77">
        <f ca="1"/>
        <v>1</v>
      </c>
      <c r="R77">
        <f ca="1"/>
        <v>1.0671900000000001</v>
      </c>
      <c r="S77">
        <f ca="1"/>
        <v>0</v>
      </c>
      <c r="T77">
        <f ca="1"/>
        <v>0</v>
      </c>
      <c r="U77">
        <f ca="1"/>
        <v>0.99995000000000001</v>
      </c>
      <c r="V77">
        <f ca="1"/>
        <v>1</v>
      </c>
    </row>
    <row r="78" spans="1:22" x14ac:dyDescent="0.3">
      <c r="A78" t="str">
        <f ca="1"/>
        <v>77</v>
      </c>
      <c r="B78" t="str">
        <f ca="1"/>
        <v>Gasabo_HS19_15</v>
      </c>
      <c r="C78">
        <f ca="1"/>
        <v>0.74333000000000005</v>
      </c>
      <c r="D78">
        <f ca="1"/>
        <v>0.51900000000000002</v>
      </c>
      <c r="E78">
        <f ca="1"/>
        <v>1.1511E-2</v>
      </c>
      <c r="F78">
        <f ca="1"/>
        <v>0.77851899999999996</v>
      </c>
      <c r="G78">
        <f ca="1"/>
        <v>1</v>
      </c>
      <c r="H78">
        <f ca="1"/>
        <v>0.27860499999999999</v>
      </c>
      <c r="I78">
        <f ca="1"/>
        <v>0</v>
      </c>
      <c r="J78">
        <f ca="1"/>
        <v>0</v>
      </c>
      <c r="K78">
        <f ca="1"/>
        <v>1</v>
      </c>
      <c r="L78">
        <f ca="1"/>
        <v>1</v>
      </c>
      <c r="M78">
        <f ca="1"/>
        <v>0.214</v>
      </c>
      <c r="N78">
        <f ca="1"/>
        <v>0</v>
      </c>
      <c r="O78">
        <f ca="1"/>
        <v>0</v>
      </c>
      <c r="P78">
        <f ca="1"/>
        <v>0.99998799999999999</v>
      </c>
      <c r="Q78">
        <f ca="1"/>
        <v>1</v>
      </c>
      <c r="R78">
        <f ca="1"/>
        <v>0.36833300000000002</v>
      </c>
      <c r="S78">
        <f ca="1"/>
        <v>0</v>
      </c>
      <c r="T78">
        <f ca="1"/>
        <v>0</v>
      </c>
      <c r="U78">
        <f ca="1"/>
        <v>1</v>
      </c>
      <c r="V78">
        <f ca="1"/>
        <v>1</v>
      </c>
    </row>
    <row r="79" spans="1:22" x14ac:dyDescent="0.3">
      <c r="A79" t="str">
        <f ca="1"/>
        <v>78</v>
      </c>
      <c r="B79" t="str">
        <f ca="1"/>
        <v>Gasabo_HS1_15</v>
      </c>
      <c r="C79">
        <f ca="1"/>
        <v>0.84402299999999997</v>
      </c>
      <c r="D79">
        <f ca="1"/>
        <v>0.60652200000000001</v>
      </c>
      <c r="E79">
        <f ca="1"/>
        <v>0</v>
      </c>
      <c r="F79">
        <f ca="1"/>
        <v>0.75541800000000003</v>
      </c>
      <c r="G79">
        <f ca="1"/>
        <v>1</v>
      </c>
      <c r="H79">
        <f ca="1"/>
        <v>0.31190800000000002</v>
      </c>
      <c r="I79">
        <f ca="1"/>
        <v>0</v>
      </c>
      <c r="J79">
        <f ca="1"/>
        <v>0</v>
      </c>
      <c r="K79">
        <f ca="1"/>
        <v>1</v>
      </c>
      <c r="L79">
        <f ca="1"/>
        <v>1</v>
      </c>
      <c r="M79">
        <f ca="1"/>
        <v>0.24453900000000001</v>
      </c>
      <c r="N79">
        <f ca="1"/>
        <v>0</v>
      </c>
      <c r="O79">
        <f ca="1"/>
        <v>0</v>
      </c>
      <c r="P79">
        <f ca="1"/>
        <v>0.99993399999999999</v>
      </c>
      <c r="Q79">
        <f ca="1"/>
        <v>1</v>
      </c>
      <c r="R79">
        <f ca="1"/>
        <v>0.42148400000000003</v>
      </c>
      <c r="S79">
        <f ca="1"/>
        <v>0</v>
      </c>
      <c r="T79">
        <f ca="1"/>
        <v>0</v>
      </c>
      <c r="U79">
        <f ca="1"/>
        <v>1</v>
      </c>
      <c r="V79">
        <f ca="1"/>
        <v>1</v>
      </c>
    </row>
    <row r="80" spans="1:22" x14ac:dyDescent="0.3">
      <c r="A80" t="str">
        <f ca="1"/>
        <v>79</v>
      </c>
      <c r="B80" t="str">
        <f ca="1"/>
        <v>Gasabo_HS20_15</v>
      </c>
      <c r="C80">
        <f ca="1"/>
        <v>0.96923499999999996</v>
      </c>
      <c r="D80">
        <f ca="1"/>
        <v>0.82682199999999995</v>
      </c>
      <c r="E80">
        <f ca="1"/>
        <v>2.1294E-2</v>
      </c>
      <c r="F80">
        <f ca="1"/>
        <v>0.73294400000000004</v>
      </c>
      <c r="G80">
        <f ca="1"/>
        <v>1</v>
      </c>
      <c r="H80">
        <f ca="1"/>
        <v>0.36424299999999998</v>
      </c>
      <c r="I80">
        <f ca="1"/>
        <v>0</v>
      </c>
      <c r="J80">
        <f ca="1"/>
        <v>0</v>
      </c>
      <c r="K80">
        <f ca="1"/>
        <v>0.99991600000000003</v>
      </c>
      <c r="L80">
        <f ca="1"/>
        <v>1</v>
      </c>
      <c r="M80">
        <f ca="1"/>
        <v>0.29402200000000001</v>
      </c>
      <c r="N80">
        <f ca="1"/>
        <v>0</v>
      </c>
      <c r="O80">
        <f ca="1"/>
        <v>0</v>
      </c>
      <c r="P80">
        <f ca="1"/>
        <v>0.99984799999999996</v>
      </c>
      <c r="Q80">
        <f ca="1"/>
        <v>1</v>
      </c>
      <c r="R80">
        <f ca="1"/>
        <v>0.496226</v>
      </c>
      <c r="S80">
        <f ca="1"/>
        <v>0</v>
      </c>
      <c r="T80">
        <f ca="1"/>
        <v>0</v>
      </c>
      <c r="U80">
        <f ca="1"/>
        <v>0.99991600000000003</v>
      </c>
      <c r="V80">
        <f ca="1"/>
        <v>1</v>
      </c>
    </row>
    <row r="81" spans="1:22" x14ac:dyDescent="0.3">
      <c r="A81" t="str">
        <f ca="1"/>
        <v>80</v>
      </c>
      <c r="B81" t="str">
        <f ca="1"/>
        <v>Gasabo_HS21_15</v>
      </c>
      <c r="C81">
        <f ca="1"/>
        <v>0.59673100000000001</v>
      </c>
      <c r="D81">
        <f ca="1"/>
        <v>0.44945499999999999</v>
      </c>
      <c r="E81">
        <f ca="1"/>
        <v>2.1679999999999998E-3</v>
      </c>
      <c r="F81">
        <f ca="1"/>
        <v>0.85607699999999998</v>
      </c>
      <c r="G81">
        <f ca="1"/>
        <v>1</v>
      </c>
      <c r="H81">
        <f ca="1"/>
        <v>0.27567700000000001</v>
      </c>
      <c r="I81">
        <f ca="1"/>
        <v>0</v>
      </c>
      <c r="J81">
        <f ca="1"/>
        <v>0</v>
      </c>
      <c r="K81">
        <f ca="1"/>
        <v>1</v>
      </c>
      <c r="L81">
        <f ca="1"/>
        <v>1</v>
      </c>
      <c r="M81">
        <f ca="1"/>
        <v>0.201235</v>
      </c>
      <c r="N81">
        <f ca="1"/>
        <v>0</v>
      </c>
      <c r="O81">
        <f ca="1"/>
        <v>0</v>
      </c>
      <c r="P81">
        <f ca="1"/>
        <v>0.99999899999999997</v>
      </c>
      <c r="Q81">
        <f ca="1"/>
        <v>1</v>
      </c>
      <c r="R81">
        <f ca="1"/>
        <v>0.35202800000000001</v>
      </c>
      <c r="S81">
        <f ca="1"/>
        <v>0</v>
      </c>
      <c r="T81">
        <f ca="1"/>
        <v>0</v>
      </c>
      <c r="U81">
        <f ca="1"/>
        <v>1</v>
      </c>
      <c r="V81">
        <f ca="1"/>
        <v>1</v>
      </c>
    </row>
    <row r="82" spans="1:22" x14ac:dyDescent="0.3">
      <c r="A82" t="str">
        <f ca="1"/>
        <v>81</v>
      </c>
      <c r="B82" t="str">
        <f ca="1"/>
        <v>Gasabo_HS22_15</v>
      </c>
      <c r="C82">
        <f ca="1"/>
        <v>0.46408100000000002</v>
      </c>
      <c r="D82">
        <f ca="1"/>
        <v>0.63723399999999997</v>
      </c>
      <c r="E82">
        <f ca="1"/>
        <v>1.3734E-2</v>
      </c>
      <c r="F82">
        <f ca="1"/>
        <v>0.91973800000000006</v>
      </c>
      <c r="G82">
        <f ca="1"/>
        <v>1</v>
      </c>
      <c r="H82">
        <f ca="1"/>
        <v>0.26516800000000001</v>
      </c>
      <c r="I82">
        <f ca="1"/>
        <v>0</v>
      </c>
      <c r="J82">
        <f ca="1"/>
        <v>0</v>
      </c>
      <c r="K82">
        <f ca="1"/>
        <v>1</v>
      </c>
      <c r="L82">
        <f ca="1"/>
        <v>1</v>
      </c>
      <c r="M82">
        <f ca="1"/>
        <v>0.19902700000000001</v>
      </c>
      <c r="N82">
        <f ca="1"/>
        <v>0</v>
      </c>
      <c r="O82">
        <f ca="1"/>
        <v>0</v>
      </c>
      <c r="P82">
        <f ca="1"/>
        <v>1</v>
      </c>
      <c r="Q82">
        <f ca="1"/>
        <v>1</v>
      </c>
      <c r="R82">
        <f ca="1"/>
        <v>0.34020400000000001</v>
      </c>
      <c r="S82">
        <f ca="1"/>
        <v>0</v>
      </c>
      <c r="T82">
        <f ca="1"/>
        <v>0</v>
      </c>
      <c r="U82">
        <f ca="1"/>
        <v>1</v>
      </c>
      <c r="V82">
        <f ca="1"/>
        <v>1</v>
      </c>
    </row>
    <row r="83" spans="1:22" x14ac:dyDescent="0.3">
      <c r="A83" t="str">
        <f ca="1"/>
        <v>82</v>
      </c>
      <c r="B83" t="str">
        <f ca="1"/>
        <v>Gasabo_HS23_15</v>
      </c>
      <c r="C83">
        <f ca="1"/>
        <v>1.0085390000000001</v>
      </c>
      <c r="D83">
        <f ca="1"/>
        <v>0.38431199999999999</v>
      </c>
      <c r="E83">
        <f ca="1"/>
        <v>4.3229999999999996E-3</v>
      </c>
      <c r="F83">
        <f ca="1"/>
        <v>0.66127499999999995</v>
      </c>
      <c r="G83">
        <f ca="1"/>
        <v>1</v>
      </c>
      <c r="H83">
        <f ca="1"/>
        <v>0.27140199999999998</v>
      </c>
      <c r="I83">
        <f ca="1"/>
        <v>0</v>
      </c>
      <c r="J83">
        <f ca="1"/>
        <v>0</v>
      </c>
      <c r="K83">
        <f ca="1"/>
        <v>0.99989600000000001</v>
      </c>
      <c r="L83">
        <f ca="1"/>
        <v>1</v>
      </c>
      <c r="M83">
        <f ca="1"/>
        <v>0.191501</v>
      </c>
      <c r="N83">
        <f ca="1"/>
        <v>0</v>
      </c>
      <c r="O83">
        <f ca="1"/>
        <v>0</v>
      </c>
      <c r="P83">
        <f ca="1"/>
        <v>0.99998699999999996</v>
      </c>
      <c r="Q83">
        <f ca="1"/>
        <v>1</v>
      </c>
      <c r="R83">
        <f ca="1"/>
        <v>0.33748299999999998</v>
      </c>
      <c r="S83">
        <f ca="1"/>
        <v>0</v>
      </c>
      <c r="T83">
        <f ca="1"/>
        <v>0</v>
      </c>
      <c r="U83">
        <f ca="1"/>
        <v>0.99989600000000001</v>
      </c>
      <c r="V83">
        <f ca="1"/>
        <v>1</v>
      </c>
    </row>
    <row r="84" spans="1:22" x14ac:dyDescent="0.3">
      <c r="A84" t="str">
        <f ca="1"/>
        <v>83</v>
      </c>
      <c r="B84" t="str">
        <f ca="1"/>
        <v>Gasabo_HS24_15</v>
      </c>
      <c r="C84">
        <f ca="1"/>
        <v>0.92341899999999999</v>
      </c>
      <c r="D84">
        <f ca="1"/>
        <v>0.453932</v>
      </c>
      <c r="E84">
        <f ca="1"/>
        <v>1.2409E-2</v>
      </c>
      <c r="F84">
        <f ca="1"/>
        <v>0.87203699999999995</v>
      </c>
      <c r="G84">
        <f ca="1"/>
        <v>1</v>
      </c>
      <c r="H84">
        <f ca="1"/>
        <v>0.39955200000000002</v>
      </c>
      <c r="I84">
        <f ca="1"/>
        <v>0</v>
      </c>
      <c r="J84">
        <f ca="1"/>
        <v>0</v>
      </c>
      <c r="K84">
        <f ca="1"/>
        <v>1</v>
      </c>
      <c r="L84">
        <f ca="1"/>
        <v>1</v>
      </c>
      <c r="M84">
        <f ca="1"/>
        <v>0.29612899999999998</v>
      </c>
      <c r="N84">
        <f ca="1"/>
        <v>0</v>
      </c>
      <c r="O84">
        <f ca="1"/>
        <v>0</v>
      </c>
      <c r="P84">
        <f ca="1"/>
        <v>0.99999700000000002</v>
      </c>
      <c r="Q84">
        <f ca="1"/>
        <v>1</v>
      </c>
      <c r="R84">
        <f ca="1"/>
        <v>0.49526900000000001</v>
      </c>
      <c r="S84">
        <f ca="1"/>
        <v>0</v>
      </c>
      <c r="T84">
        <f ca="1"/>
        <v>0</v>
      </c>
      <c r="U84">
        <f ca="1"/>
        <v>1</v>
      </c>
      <c r="V84">
        <f ca="1"/>
        <v>1</v>
      </c>
    </row>
    <row r="85" spans="1:22" x14ac:dyDescent="0.3">
      <c r="A85" t="str">
        <f ca="1"/>
        <v>84</v>
      </c>
      <c r="B85" t="str">
        <f ca="1"/>
        <v>Gasabo_HS25_15</v>
      </c>
      <c r="C85">
        <f ca="1"/>
        <v>0.349804</v>
      </c>
      <c r="D85">
        <f ca="1"/>
        <v>0.546821</v>
      </c>
      <c r="E85">
        <f ca="1"/>
        <v>0</v>
      </c>
      <c r="F85">
        <f ca="1"/>
        <v>0.21856100000000001</v>
      </c>
      <c r="G85">
        <f ca="1"/>
        <v>0.17934800000000001</v>
      </c>
      <c r="H85">
        <f ca="1"/>
        <v>0.38090099999999999</v>
      </c>
      <c r="I85">
        <f ca="1"/>
        <v>0</v>
      </c>
      <c r="J85">
        <f ca="1"/>
        <v>0</v>
      </c>
      <c r="K85">
        <f ca="1"/>
        <v>0</v>
      </c>
      <c r="L85">
        <f ca="1"/>
        <v>0</v>
      </c>
      <c r="M85">
        <f ca="1"/>
        <v>0.27324399999999999</v>
      </c>
      <c r="N85">
        <f ca="1"/>
        <v>0.44022600000000001</v>
      </c>
      <c r="O85">
        <f ca="1"/>
        <v>0.51</v>
      </c>
      <c r="P85">
        <f ca="1"/>
        <v>0</v>
      </c>
      <c r="Q85">
        <f ca="1"/>
        <v>0</v>
      </c>
      <c r="R85">
        <f ca="1"/>
        <v>0.280833</v>
      </c>
      <c r="S85">
        <f ca="1"/>
        <v>0.43464700000000001</v>
      </c>
      <c r="T85">
        <f ca="1"/>
        <v>0.51</v>
      </c>
      <c r="U85">
        <f ca="1"/>
        <v>0</v>
      </c>
      <c r="V85">
        <f ca="1"/>
        <v>0</v>
      </c>
    </row>
    <row r="86" spans="1:22" x14ac:dyDescent="0.3">
      <c r="A86" t="str">
        <f ca="1"/>
        <v>85</v>
      </c>
      <c r="B86" t="str">
        <f ca="1"/>
        <v>Gasabo_HS26_15</v>
      </c>
      <c r="C86">
        <f ca="1"/>
        <v>1.0397259999999999</v>
      </c>
      <c r="D86">
        <f ca="1"/>
        <v>0.42926599999999998</v>
      </c>
      <c r="E86">
        <f ca="1"/>
        <v>2.3040000000000001E-3</v>
      </c>
      <c r="F86">
        <f ca="1"/>
        <v>0.86107199999999995</v>
      </c>
      <c r="G86">
        <f ca="1"/>
        <v>1</v>
      </c>
      <c r="H86">
        <f ca="1"/>
        <v>0.49531399999999998</v>
      </c>
      <c r="I86">
        <f ca="1"/>
        <v>0</v>
      </c>
      <c r="J86">
        <f ca="1"/>
        <v>0</v>
      </c>
      <c r="K86">
        <f ca="1"/>
        <v>1</v>
      </c>
      <c r="L86">
        <f ca="1"/>
        <v>1</v>
      </c>
      <c r="M86">
        <f ca="1"/>
        <v>0.357346</v>
      </c>
      <c r="N86">
        <f ca="1"/>
        <v>0</v>
      </c>
      <c r="O86">
        <f ca="1"/>
        <v>0</v>
      </c>
      <c r="P86">
        <f ca="1"/>
        <v>0.99999700000000002</v>
      </c>
      <c r="Q86">
        <f ca="1"/>
        <v>1</v>
      </c>
      <c r="R86">
        <f ca="1"/>
        <v>0.62365499999999996</v>
      </c>
      <c r="S86">
        <f ca="1"/>
        <v>0</v>
      </c>
      <c r="T86">
        <f ca="1"/>
        <v>0</v>
      </c>
      <c r="U86">
        <f ca="1"/>
        <v>1</v>
      </c>
      <c r="V86">
        <f ca="1"/>
        <v>1</v>
      </c>
    </row>
    <row r="87" spans="1:22" x14ac:dyDescent="0.3">
      <c r="A87" t="str">
        <f ca="1"/>
        <v>86</v>
      </c>
      <c r="B87" t="str">
        <f ca="1"/>
        <v>Gasabo_HS27_15</v>
      </c>
      <c r="C87">
        <f ca="1"/>
        <v>0.45168799999999998</v>
      </c>
      <c r="D87">
        <f ca="1"/>
        <v>0</v>
      </c>
      <c r="E87">
        <f ca="1"/>
        <v>0</v>
      </c>
      <c r="F87">
        <f ca="1"/>
        <v>0.16006999999999999</v>
      </c>
      <c r="G87">
        <f ca="1"/>
        <v>0.25925900000000002</v>
      </c>
      <c r="H87">
        <f ca="1"/>
        <v>0.70441500000000001</v>
      </c>
      <c r="I87">
        <f ca="1"/>
        <v>0</v>
      </c>
      <c r="J87">
        <f ca="1"/>
        <v>0</v>
      </c>
      <c r="K87">
        <f ca="1"/>
        <v>0</v>
      </c>
      <c r="L87">
        <f ca="1"/>
        <v>0</v>
      </c>
      <c r="M87">
        <f ca="1"/>
        <v>0.36194799999999999</v>
      </c>
      <c r="N87">
        <f ca="1"/>
        <v>0</v>
      </c>
      <c r="O87">
        <f ca="1"/>
        <v>0</v>
      </c>
      <c r="P87">
        <f ca="1"/>
        <v>0.97658699999999998</v>
      </c>
      <c r="Q87">
        <f ca="1"/>
        <v>0.529671</v>
      </c>
      <c r="R87">
        <f ca="1"/>
        <v>0.41682799999999998</v>
      </c>
      <c r="S87">
        <f ca="1"/>
        <v>0</v>
      </c>
      <c r="T87">
        <f ca="1"/>
        <v>0</v>
      </c>
      <c r="U87">
        <f ca="1"/>
        <v>0.97869399999999995</v>
      </c>
      <c r="V87">
        <f ca="1"/>
        <v>9.4123999999999999E-2</v>
      </c>
    </row>
    <row r="88" spans="1:22" x14ac:dyDescent="0.3">
      <c r="A88" t="str">
        <f ca="1"/>
        <v>87</v>
      </c>
      <c r="B88" t="str">
        <f ca="1"/>
        <v>Gasabo_HS28_15</v>
      </c>
      <c r="C88">
        <f ca="1"/>
        <v>1.2080660000000001</v>
      </c>
      <c r="D88">
        <f ca="1"/>
        <v>0.79411100000000001</v>
      </c>
      <c r="E88">
        <f ca="1"/>
        <v>0</v>
      </c>
      <c r="F88">
        <f ca="1"/>
        <v>0.334009</v>
      </c>
      <c r="G88">
        <f ca="1"/>
        <v>1</v>
      </c>
      <c r="H88">
        <f ca="1"/>
        <v>0.313029</v>
      </c>
      <c r="I88">
        <f ca="1"/>
        <v>0</v>
      </c>
      <c r="J88">
        <f ca="1"/>
        <v>0</v>
      </c>
      <c r="K88">
        <f ca="1"/>
        <v>0.99962600000000001</v>
      </c>
      <c r="L88">
        <f ca="1"/>
        <v>1</v>
      </c>
      <c r="M88">
        <f ca="1"/>
        <v>0.214254</v>
      </c>
      <c r="N88">
        <f ca="1"/>
        <v>0</v>
      </c>
      <c r="O88">
        <f ca="1"/>
        <v>0</v>
      </c>
      <c r="P88">
        <f ca="1"/>
        <v>0.998865</v>
      </c>
      <c r="Q88">
        <f ca="1"/>
        <v>1</v>
      </c>
      <c r="R88">
        <f ca="1"/>
        <v>0.367232</v>
      </c>
      <c r="S88">
        <f ca="1"/>
        <v>0</v>
      </c>
      <c r="T88">
        <f ca="1"/>
        <v>0</v>
      </c>
      <c r="U88">
        <f ca="1"/>
        <v>0.99962600000000001</v>
      </c>
      <c r="V88">
        <f ca="1"/>
        <v>1</v>
      </c>
    </row>
    <row r="89" spans="1:22" x14ac:dyDescent="0.3">
      <c r="A89" t="str">
        <f ca="1"/>
        <v>88</v>
      </c>
      <c r="B89" t="str">
        <f ca="1"/>
        <v>Gasabo_HS29_15</v>
      </c>
      <c r="C89">
        <f ca="1"/>
        <v>0.51567099999999999</v>
      </c>
      <c r="D89">
        <f ca="1"/>
        <v>0.34823900000000002</v>
      </c>
      <c r="E89">
        <f ca="1"/>
        <v>0</v>
      </c>
      <c r="F89">
        <f ca="1"/>
        <v>0.66785099999999997</v>
      </c>
      <c r="G89">
        <f ca="1"/>
        <v>0</v>
      </c>
      <c r="H89">
        <f ca="1"/>
        <v>0.83831299999999997</v>
      </c>
      <c r="I89">
        <f ca="1"/>
        <v>0</v>
      </c>
      <c r="J89">
        <f ca="1"/>
        <v>0</v>
      </c>
      <c r="K89">
        <f ca="1"/>
        <v>0</v>
      </c>
      <c r="L89">
        <f ca="1"/>
        <v>0</v>
      </c>
      <c r="M89">
        <f ca="1"/>
        <v>0.45142700000000002</v>
      </c>
      <c r="N89">
        <f ca="1"/>
        <v>0</v>
      </c>
      <c r="O89">
        <f ca="1"/>
        <v>0</v>
      </c>
      <c r="P89">
        <f ca="1"/>
        <v>0.97823599999999999</v>
      </c>
      <c r="Q89">
        <f ca="1"/>
        <v>4.7710000000000001E-3</v>
      </c>
      <c r="R89">
        <f ca="1"/>
        <v>0.50728300000000004</v>
      </c>
      <c r="S89">
        <f ca="1"/>
        <v>0</v>
      </c>
      <c r="T89">
        <f ca="1"/>
        <v>0</v>
      </c>
      <c r="U89">
        <f ca="1"/>
        <v>0.97825899999999999</v>
      </c>
      <c r="V89">
        <f ca="1"/>
        <v>1.193E-3</v>
      </c>
    </row>
    <row r="90" spans="1:22" x14ac:dyDescent="0.3">
      <c r="A90" t="str">
        <f ca="1"/>
        <v>89</v>
      </c>
      <c r="B90" t="str">
        <f ca="1"/>
        <v>Gasabo_HS2_15</v>
      </c>
      <c r="C90">
        <f ca="1"/>
        <v>0.92652100000000004</v>
      </c>
      <c r="D90">
        <f ca="1"/>
        <v>0.55476199999999998</v>
      </c>
      <c r="E90">
        <f ca="1"/>
        <v>2.5441999999999999E-2</v>
      </c>
      <c r="F90">
        <f ca="1"/>
        <v>0.73135600000000001</v>
      </c>
      <c r="G90">
        <f ca="1"/>
        <v>1</v>
      </c>
      <c r="H90">
        <f ca="1"/>
        <v>0.356962</v>
      </c>
      <c r="I90">
        <f ca="1"/>
        <v>0</v>
      </c>
      <c r="J90">
        <f ca="1"/>
        <v>0</v>
      </c>
      <c r="K90">
        <f ca="1"/>
        <v>0.99871900000000002</v>
      </c>
      <c r="L90">
        <f ca="1"/>
        <v>1</v>
      </c>
      <c r="M90">
        <f ca="1"/>
        <v>0.27885599999999999</v>
      </c>
      <c r="N90">
        <f ca="1"/>
        <v>0</v>
      </c>
      <c r="O90">
        <f ca="1"/>
        <v>0</v>
      </c>
      <c r="P90">
        <f ca="1"/>
        <v>0.99953800000000004</v>
      </c>
      <c r="Q90">
        <f ca="1"/>
        <v>1</v>
      </c>
      <c r="R90">
        <f ca="1"/>
        <v>0.48654399999999998</v>
      </c>
      <c r="S90">
        <f ca="1"/>
        <v>0</v>
      </c>
      <c r="T90">
        <f ca="1"/>
        <v>0</v>
      </c>
      <c r="U90">
        <f ca="1"/>
        <v>0.99871900000000002</v>
      </c>
      <c r="V90">
        <f ca="1"/>
        <v>1</v>
      </c>
    </row>
    <row r="91" spans="1:22" x14ac:dyDescent="0.3">
      <c r="A91" t="str">
        <f ca="1"/>
        <v>90</v>
      </c>
      <c r="B91" t="str">
        <f ca="1"/>
        <v>Gasabo_HS30_15</v>
      </c>
      <c r="C91">
        <f ca="1"/>
        <v>0.52308200000000005</v>
      </c>
      <c r="D91">
        <f ca="1"/>
        <v>0.56500399999999995</v>
      </c>
      <c r="E91">
        <f ca="1"/>
        <v>0</v>
      </c>
      <c r="F91">
        <f ca="1"/>
        <v>0.20703299999999999</v>
      </c>
      <c r="G91">
        <f ca="1"/>
        <v>0.171429</v>
      </c>
      <c r="H91">
        <f ca="1"/>
        <v>0.73427600000000004</v>
      </c>
      <c r="I91">
        <f ca="1"/>
        <v>0</v>
      </c>
      <c r="J91">
        <f ca="1"/>
        <v>0</v>
      </c>
      <c r="K91">
        <f ca="1"/>
        <v>0</v>
      </c>
      <c r="L91">
        <f ca="1"/>
        <v>0</v>
      </c>
      <c r="M91">
        <f ca="1"/>
        <v>0.25623400000000002</v>
      </c>
      <c r="N91">
        <f ca="1"/>
        <v>0</v>
      </c>
      <c r="O91">
        <f ca="1"/>
        <v>0</v>
      </c>
      <c r="P91">
        <f ca="1"/>
        <v>0.993093</v>
      </c>
      <c r="Q91">
        <f ca="1"/>
        <v>0.55721100000000001</v>
      </c>
      <c r="R91">
        <f ca="1"/>
        <v>0.30132999999999999</v>
      </c>
      <c r="S91">
        <f ca="1"/>
        <v>0</v>
      </c>
      <c r="T91">
        <f ca="1"/>
        <v>0</v>
      </c>
      <c r="U91">
        <f ca="1"/>
        <v>0.99482000000000004</v>
      </c>
      <c r="V91">
        <f ca="1"/>
        <v>0.11597300000000001</v>
      </c>
    </row>
    <row r="92" spans="1:22" x14ac:dyDescent="0.3">
      <c r="A92" t="str">
        <f ca="1"/>
        <v>91</v>
      </c>
      <c r="B92" t="str">
        <f ca="1"/>
        <v>Gasabo_HS31_15</v>
      </c>
      <c r="C92">
        <f ca="1"/>
        <v>0.48470000000000002</v>
      </c>
      <c r="D92">
        <f ca="1"/>
        <v>0.45494000000000001</v>
      </c>
      <c r="E92">
        <f ca="1"/>
        <v>0</v>
      </c>
      <c r="F92">
        <f ca="1"/>
        <v>0.23349400000000001</v>
      </c>
      <c r="G92">
        <f ca="1"/>
        <v>0.28191500000000003</v>
      </c>
      <c r="H92">
        <f ca="1"/>
        <v>0.77508100000000002</v>
      </c>
      <c r="I92">
        <f ca="1"/>
        <v>0</v>
      </c>
      <c r="J92">
        <f ca="1"/>
        <v>0</v>
      </c>
      <c r="K92">
        <f ca="1"/>
        <v>0</v>
      </c>
      <c r="L92">
        <f ca="1"/>
        <v>0</v>
      </c>
      <c r="M92">
        <f ca="1"/>
        <v>0.424234</v>
      </c>
      <c r="N92">
        <f ca="1"/>
        <v>0.54366599999999998</v>
      </c>
      <c r="O92">
        <f ca="1"/>
        <v>0.51</v>
      </c>
      <c r="P92">
        <f ca="1"/>
        <v>0</v>
      </c>
      <c r="Q92">
        <f ca="1"/>
        <v>0</v>
      </c>
      <c r="R92">
        <f ca="1"/>
        <v>0.47468399999999999</v>
      </c>
      <c r="S92">
        <f ca="1"/>
        <v>0.48096800000000001</v>
      </c>
      <c r="T92">
        <f ca="1"/>
        <v>0.49</v>
      </c>
      <c r="U92">
        <f ca="1"/>
        <v>0</v>
      </c>
      <c r="V92">
        <f ca="1"/>
        <v>0</v>
      </c>
    </row>
    <row r="93" spans="1:22" x14ac:dyDescent="0.3">
      <c r="A93" t="str">
        <f ca="1"/>
        <v>92</v>
      </c>
      <c r="B93" t="str">
        <f ca="1"/>
        <v>Gasabo_HS3_15</v>
      </c>
      <c r="C93">
        <f ca="1"/>
        <v>0.66276999999999997</v>
      </c>
      <c r="D93">
        <f ca="1"/>
        <v>0.41499900000000001</v>
      </c>
      <c r="E93">
        <f ca="1"/>
        <v>0</v>
      </c>
      <c r="F93">
        <f ca="1"/>
        <v>0.86098300000000005</v>
      </c>
      <c r="G93">
        <f ca="1"/>
        <v>1</v>
      </c>
      <c r="H93">
        <f ca="1"/>
        <v>0.337256</v>
      </c>
      <c r="I93">
        <f ca="1"/>
        <v>0</v>
      </c>
      <c r="J93">
        <f ca="1"/>
        <v>0</v>
      </c>
      <c r="K93">
        <f ca="1"/>
        <v>0.999919</v>
      </c>
      <c r="L93">
        <f ca="1"/>
        <v>1</v>
      </c>
      <c r="M93">
        <f ca="1"/>
        <v>0.25320799999999999</v>
      </c>
      <c r="N93">
        <f ca="1"/>
        <v>0</v>
      </c>
      <c r="O93">
        <f ca="1"/>
        <v>0</v>
      </c>
      <c r="P93">
        <f ca="1"/>
        <v>0.99982099999999996</v>
      </c>
      <c r="Q93">
        <f ca="1"/>
        <v>1</v>
      </c>
      <c r="R93">
        <f ca="1"/>
        <v>0.43881700000000001</v>
      </c>
      <c r="S93">
        <f ca="1"/>
        <v>0</v>
      </c>
      <c r="T93">
        <f ca="1"/>
        <v>0</v>
      </c>
      <c r="U93">
        <f ca="1"/>
        <v>0.999919</v>
      </c>
      <c r="V93">
        <f ca="1"/>
        <v>1</v>
      </c>
    </row>
    <row r="94" spans="1:22" x14ac:dyDescent="0.3">
      <c r="A94" t="str">
        <f ca="1"/>
        <v>93</v>
      </c>
      <c r="B94" t="str">
        <f ca="1"/>
        <v>Gasabo_HS4_15</v>
      </c>
      <c r="C94">
        <f ca="1"/>
        <v>1.030896</v>
      </c>
      <c r="D94">
        <f ca="1"/>
        <v>0.454094</v>
      </c>
      <c r="E94">
        <f ca="1"/>
        <v>1.4475E-2</v>
      </c>
      <c r="F94">
        <f ca="1"/>
        <v>0.42554199999999998</v>
      </c>
      <c r="G94">
        <f ca="1"/>
        <v>1</v>
      </c>
      <c r="H94">
        <f ca="1"/>
        <v>0.25126700000000002</v>
      </c>
      <c r="I94">
        <f ca="1"/>
        <v>0</v>
      </c>
      <c r="J94">
        <f ca="1"/>
        <v>0</v>
      </c>
      <c r="K94">
        <f ca="1"/>
        <v>0.99985999999999997</v>
      </c>
      <c r="L94">
        <f ca="1"/>
        <v>1</v>
      </c>
      <c r="M94">
        <f ca="1"/>
        <v>0.18688199999999999</v>
      </c>
      <c r="N94">
        <f ca="1"/>
        <v>0</v>
      </c>
      <c r="O94">
        <f ca="1"/>
        <v>0</v>
      </c>
      <c r="P94">
        <f ca="1"/>
        <v>0.99992700000000001</v>
      </c>
      <c r="Q94">
        <f ca="1"/>
        <v>1</v>
      </c>
      <c r="R94">
        <f ca="1"/>
        <v>0.31972099999999998</v>
      </c>
      <c r="S94">
        <f ca="1"/>
        <v>0</v>
      </c>
      <c r="T94">
        <f ca="1"/>
        <v>0</v>
      </c>
      <c r="U94">
        <f ca="1"/>
        <v>0.99985999999999997</v>
      </c>
      <c r="V94">
        <f ca="1"/>
        <v>1</v>
      </c>
    </row>
    <row r="95" spans="1:22" x14ac:dyDescent="0.3">
      <c r="A95" t="str">
        <f ca="1"/>
        <v>94</v>
      </c>
      <c r="B95" t="str">
        <f ca="1"/>
        <v>Gasabo_HS5_15</v>
      </c>
      <c r="C95">
        <f ca="1"/>
        <v>0.58099500000000004</v>
      </c>
      <c r="D95">
        <f ca="1"/>
        <v>1.246297</v>
      </c>
      <c r="E95">
        <f ca="1"/>
        <v>0</v>
      </c>
      <c r="F95">
        <f ca="1"/>
        <v>0.58217600000000003</v>
      </c>
      <c r="G95">
        <f ca="1"/>
        <v>0.78481000000000001</v>
      </c>
      <c r="H95">
        <f ca="1"/>
        <v>0.22037300000000001</v>
      </c>
      <c r="I95">
        <f ca="1"/>
        <v>0</v>
      </c>
      <c r="J95">
        <f ca="1"/>
        <v>0</v>
      </c>
      <c r="K95">
        <f ca="1"/>
        <v>0.99995699999999998</v>
      </c>
      <c r="L95">
        <f ca="1"/>
        <v>0.65447299999999997</v>
      </c>
      <c r="M95">
        <f ca="1"/>
        <v>0.19395399999999999</v>
      </c>
      <c r="N95">
        <f ca="1"/>
        <v>0</v>
      </c>
      <c r="O95">
        <f ca="1"/>
        <v>0</v>
      </c>
      <c r="P95">
        <f ca="1"/>
        <v>0.99996499999999999</v>
      </c>
      <c r="Q95">
        <f ca="1"/>
        <v>0.97831599999999996</v>
      </c>
      <c r="R95">
        <f ca="1"/>
        <v>0.30053000000000002</v>
      </c>
      <c r="S95">
        <f ca="1"/>
        <v>0</v>
      </c>
      <c r="T95">
        <f ca="1"/>
        <v>0</v>
      </c>
      <c r="U95">
        <f ca="1"/>
        <v>1</v>
      </c>
      <c r="V95">
        <f ca="1"/>
        <v>0.87307400000000002</v>
      </c>
    </row>
    <row r="96" spans="1:22" x14ac:dyDescent="0.3">
      <c r="A96" t="str">
        <f ca="1"/>
        <v>95</v>
      </c>
      <c r="B96" t="str">
        <f ca="1"/>
        <v>Gasabo_HS6_15</v>
      </c>
      <c r="C96">
        <f ca="1"/>
        <v>1.06162</v>
      </c>
      <c r="D96">
        <f ca="1"/>
        <v>0.49370199999999997</v>
      </c>
      <c r="E96">
        <f ca="1"/>
        <v>2.091E-3</v>
      </c>
      <c r="F96">
        <f ca="1"/>
        <v>0.67520599999999997</v>
      </c>
      <c r="G96">
        <f ca="1"/>
        <v>0.99365000000000003</v>
      </c>
      <c r="H96">
        <f ca="1"/>
        <v>0.26847199999999999</v>
      </c>
      <c r="I96">
        <f ca="1"/>
        <v>0</v>
      </c>
      <c r="J96">
        <f ca="1"/>
        <v>0</v>
      </c>
      <c r="K96">
        <f ca="1"/>
        <v>1</v>
      </c>
      <c r="L96">
        <f ca="1"/>
        <v>0.98759600000000003</v>
      </c>
      <c r="M96">
        <f ca="1"/>
        <v>0.18953900000000001</v>
      </c>
      <c r="N96">
        <f ca="1"/>
        <v>0</v>
      </c>
      <c r="O96">
        <f ca="1"/>
        <v>0</v>
      </c>
      <c r="P96">
        <f ca="1"/>
        <v>0.999807</v>
      </c>
      <c r="Q96">
        <f ca="1"/>
        <v>0.99693200000000004</v>
      </c>
      <c r="R96">
        <f ca="1"/>
        <v>0.31823099999999999</v>
      </c>
      <c r="S96">
        <f ca="1"/>
        <v>0</v>
      </c>
      <c r="T96">
        <f ca="1"/>
        <v>0</v>
      </c>
      <c r="U96">
        <f ca="1"/>
        <v>1</v>
      </c>
      <c r="V96">
        <f ca="1"/>
        <v>0.99549200000000004</v>
      </c>
    </row>
    <row r="97" spans="1:22" x14ac:dyDescent="0.3">
      <c r="A97" t="str">
        <f ca="1"/>
        <v>96</v>
      </c>
      <c r="B97" t="str">
        <f ca="1"/>
        <v>Gasabo_HS7_15</v>
      </c>
      <c r="C97">
        <f ca="1"/>
        <v>1.501298</v>
      </c>
      <c r="D97">
        <f ca="1"/>
        <v>0.56923500000000005</v>
      </c>
      <c r="E97">
        <f ca="1"/>
        <v>7.2051000000000004E-2</v>
      </c>
      <c r="F97">
        <f ca="1"/>
        <v>0.28520299999999998</v>
      </c>
      <c r="G97">
        <f ca="1"/>
        <v>0.95907600000000004</v>
      </c>
      <c r="H97">
        <f ca="1"/>
        <v>0.37502799999999997</v>
      </c>
      <c r="I97">
        <f ca="1"/>
        <v>0</v>
      </c>
      <c r="J97">
        <f ca="1"/>
        <v>0</v>
      </c>
      <c r="K97">
        <f ca="1"/>
        <v>0.99852600000000002</v>
      </c>
      <c r="L97">
        <f ca="1"/>
        <v>0.600217</v>
      </c>
      <c r="M97">
        <f ca="1"/>
        <v>0.339588</v>
      </c>
      <c r="N97">
        <f ca="1"/>
        <v>0</v>
      </c>
      <c r="O97">
        <f ca="1"/>
        <v>0</v>
      </c>
      <c r="P97">
        <f ca="1"/>
        <v>0.97724299999999997</v>
      </c>
      <c r="Q97">
        <f ca="1"/>
        <v>0.978742</v>
      </c>
      <c r="R97">
        <f ca="1"/>
        <v>0.51614499999999996</v>
      </c>
      <c r="S97">
        <f ca="1"/>
        <v>0</v>
      </c>
      <c r="T97">
        <f ca="1"/>
        <v>0</v>
      </c>
      <c r="U97">
        <f ca="1"/>
        <v>0.99389499999999997</v>
      </c>
      <c r="V97">
        <f ca="1"/>
        <v>0.861066</v>
      </c>
    </row>
    <row r="98" spans="1:22" x14ac:dyDescent="0.3">
      <c r="A98" t="str">
        <f ca="1"/>
        <v>97</v>
      </c>
      <c r="B98" t="str">
        <f ca="1"/>
        <v>Gasabo_HS8_15</v>
      </c>
      <c r="C98">
        <f ca="1"/>
        <v>2.009442</v>
      </c>
      <c r="D98">
        <f ca="1"/>
        <v>0.63841000000000003</v>
      </c>
      <c r="E98">
        <f ca="1"/>
        <v>1.2799E-2</v>
      </c>
      <c r="F98">
        <f ca="1"/>
        <v>0.46091199999999999</v>
      </c>
      <c r="G98">
        <f ca="1"/>
        <v>0.99579499999999999</v>
      </c>
      <c r="H98">
        <f ca="1"/>
        <v>0.48250100000000001</v>
      </c>
      <c r="I98">
        <f ca="1"/>
        <v>0</v>
      </c>
      <c r="J98">
        <f ca="1"/>
        <v>0</v>
      </c>
      <c r="K98">
        <f ca="1"/>
        <v>0.998506</v>
      </c>
      <c r="L98">
        <f ca="1"/>
        <v>0.95706100000000005</v>
      </c>
      <c r="M98">
        <f ca="1"/>
        <v>0.35025699999999999</v>
      </c>
      <c r="N98">
        <f ca="1"/>
        <v>0</v>
      </c>
      <c r="O98">
        <f ca="1"/>
        <v>0</v>
      </c>
      <c r="P98">
        <f ca="1"/>
        <v>0.99760300000000002</v>
      </c>
      <c r="Q98">
        <f ca="1"/>
        <v>0.99689399999999995</v>
      </c>
      <c r="R98">
        <f ca="1"/>
        <v>0.58798099999999998</v>
      </c>
      <c r="S98">
        <f ca="1"/>
        <v>0</v>
      </c>
      <c r="T98">
        <f ca="1"/>
        <v>0</v>
      </c>
      <c r="U98">
        <f ca="1"/>
        <v>0.99852700000000005</v>
      </c>
      <c r="V98">
        <f ca="1"/>
        <v>0.98703300000000005</v>
      </c>
    </row>
    <row r="99" spans="1:22" x14ac:dyDescent="0.3">
      <c r="A99" t="str">
        <f ca="1"/>
        <v>98</v>
      </c>
      <c r="B99" t="str">
        <f ca="1"/>
        <v>Gasabo_HS9_15</v>
      </c>
      <c r="C99">
        <f ca="1"/>
        <v>0.38794600000000001</v>
      </c>
      <c r="D99">
        <f ca="1"/>
        <v>0</v>
      </c>
      <c r="E99">
        <f ca="1"/>
        <v>0</v>
      </c>
      <c r="F99">
        <f ca="1"/>
        <v>0.32154100000000002</v>
      </c>
      <c r="G99">
        <f ca="1"/>
        <v>0</v>
      </c>
      <c r="H99">
        <f ca="1"/>
        <v>0.47273999999999999</v>
      </c>
      <c r="I99">
        <f ca="1"/>
        <v>0</v>
      </c>
      <c r="J99">
        <f ca="1"/>
        <v>0</v>
      </c>
      <c r="K99">
        <f ca="1"/>
        <v>0</v>
      </c>
      <c r="L99">
        <f ca="1"/>
        <v>0</v>
      </c>
      <c r="M99">
        <f ca="1"/>
        <v>0.37907200000000002</v>
      </c>
      <c r="N99">
        <f ca="1"/>
        <v>0</v>
      </c>
      <c r="O99">
        <f ca="1"/>
        <v>0</v>
      </c>
      <c r="P99">
        <f ca="1"/>
        <v>0.96468600000000004</v>
      </c>
      <c r="Q99">
        <f ca="1"/>
        <v>4.5009E-2</v>
      </c>
      <c r="R99">
        <f ca="1"/>
        <v>0.42178199999999999</v>
      </c>
      <c r="S99">
        <f ca="1"/>
        <v>0</v>
      </c>
      <c r="T99">
        <f ca="1"/>
        <v>0</v>
      </c>
      <c r="U99">
        <f ca="1"/>
        <v>0.96621900000000005</v>
      </c>
      <c r="V99">
        <f ca="1"/>
        <v>4.7200000000000002E-3</v>
      </c>
    </row>
    <row r="100" spans="1:22" x14ac:dyDescent="0.3">
      <c r="A100" t="str">
        <f ca="1"/>
        <v>99</v>
      </c>
      <c r="B100" t="str">
        <f ca="1"/>
        <v>Gasogi_15</v>
      </c>
      <c r="C100">
        <f ca="1"/>
        <v>0.93944700000000003</v>
      </c>
      <c r="D100">
        <f ca="1"/>
        <v>0</v>
      </c>
      <c r="E100">
        <f ca="1"/>
        <v>0</v>
      </c>
      <c r="F100">
        <f ca="1"/>
        <v>0.199984</v>
      </c>
      <c r="G100">
        <f ca="1"/>
        <v>0.58964099999999997</v>
      </c>
      <c r="H100">
        <f ca="1"/>
        <v>0.32743699999999998</v>
      </c>
      <c r="I100">
        <f ca="1"/>
        <v>0</v>
      </c>
      <c r="J100">
        <f ca="1"/>
        <v>0</v>
      </c>
      <c r="K100">
        <f ca="1"/>
        <v>0.99926999999999999</v>
      </c>
      <c r="L100">
        <f ca="1"/>
        <v>0.16264200000000001</v>
      </c>
      <c r="M100">
        <f ca="1"/>
        <v>0.33469300000000002</v>
      </c>
      <c r="N100">
        <f ca="1"/>
        <v>0</v>
      </c>
      <c r="O100">
        <f ca="1"/>
        <v>0</v>
      </c>
      <c r="P100">
        <f ca="1"/>
        <v>0.99720799999999998</v>
      </c>
      <c r="Q100">
        <f ca="1"/>
        <v>0.92994200000000005</v>
      </c>
      <c r="R100">
        <f ca="1"/>
        <v>0.47356599999999999</v>
      </c>
      <c r="S100">
        <f ca="1"/>
        <v>0</v>
      </c>
      <c r="T100">
        <f ca="1"/>
        <v>0</v>
      </c>
      <c r="U100">
        <f ca="1"/>
        <v>0.99702100000000005</v>
      </c>
      <c r="V100">
        <f ca="1"/>
        <v>0.62762099999999998</v>
      </c>
    </row>
    <row r="101" spans="1:22" x14ac:dyDescent="0.3">
      <c r="A101" t="str">
        <f ca="1"/>
        <v>100</v>
      </c>
      <c r="B101" t="str">
        <f ca="1"/>
        <v>Gatsibo_HS0_15</v>
      </c>
      <c r="C101">
        <f ca="1"/>
        <v>1.3807370000000001</v>
      </c>
      <c r="D101">
        <f ca="1"/>
        <v>0</v>
      </c>
      <c r="E101">
        <f ca="1"/>
        <v>0</v>
      </c>
      <c r="F101">
        <f ca="1"/>
        <v>0.64144800000000002</v>
      </c>
      <c r="G101">
        <f ca="1"/>
        <v>0.68735100000000005</v>
      </c>
      <c r="H101">
        <f ca="1"/>
        <v>0.85013399999999995</v>
      </c>
      <c r="I101">
        <f ca="1"/>
        <v>0</v>
      </c>
      <c r="J101">
        <f ca="1"/>
        <v>0</v>
      </c>
      <c r="K101">
        <f ca="1"/>
        <v>0.92953399999999997</v>
      </c>
      <c r="L101">
        <f ca="1"/>
        <v>3.4422000000000001E-2</v>
      </c>
      <c r="M101">
        <f ca="1"/>
        <v>0.86267700000000003</v>
      </c>
      <c r="N101">
        <f ca="1"/>
        <v>0</v>
      </c>
      <c r="O101">
        <f ca="1"/>
        <v>0</v>
      </c>
      <c r="P101">
        <f ca="1"/>
        <v>0.98774899999999999</v>
      </c>
      <c r="Q101">
        <f ca="1"/>
        <v>0.79980600000000002</v>
      </c>
      <c r="R101">
        <f ca="1"/>
        <v>1.052189</v>
      </c>
      <c r="S101">
        <f ca="1"/>
        <v>0</v>
      </c>
      <c r="T101">
        <f ca="1"/>
        <v>0</v>
      </c>
      <c r="U101">
        <f ca="1"/>
        <v>0.98984300000000003</v>
      </c>
      <c r="V101">
        <f ca="1"/>
        <v>0.12667300000000001</v>
      </c>
    </row>
    <row r="102" spans="1:22" x14ac:dyDescent="0.3">
      <c r="A102" t="str">
        <f ca="1"/>
        <v>101</v>
      </c>
      <c r="B102" t="str">
        <f ca="1"/>
        <v>Gatsibo_HS10_15</v>
      </c>
      <c r="C102">
        <f ca="1"/>
        <v>0.39705400000000002</v>
      </c>
      <c r="D102">
        <f ca="1"/>
        <v>0</v>
      </c>
      <c r="E102">
        <f ca="1"/>
        <v>0</v>
      </c>
      <c r="F102">
        <f ca="1"/>
        <v>0.12861800000000001</v>
      </c>
      <c r="G102">
        <f ca="1"/>
        <v>0</v>
      </c>
      <c r="H102">
        <f ca="1"/>
        <v>0.104009</v>
      </c>
      <c r="I102">
        <f ca="1"/>
        <v>0</v>
      </c>
      <c r="J102">
        <f ca="1"/>
        <v>0</v>
      </c>
      <c r="K102">
        <f ca="1"/>
        <v>0.99393600000000004</v>
      </c>
      <c r="L102">
        <f ca="1"/>
        <v>1.0762000000000001E-2</v>
      </c>
      <c r="M102">
        <f ca="1"/>
        <v>0.145458</v>
      </c>
      <c r="N102">
        <f ca="1"/>
        <v>0</v>
      </c>
      <c r="O102">
        <f ca="1"/>
        <v>0</v>
      </c>
      <c r="P102">
        <f ca="1"/>
        <v>0.99777499999999997</v>
      </c>
      <c r="Q102">
        <f ca="1"/>
        <v>0.26767000000000002</v>
      </c>
      <c r="R102">
        <f ca="1"/>
        <v>0.169875</v>
      </c>
      <c r="S102">
        <f ca="1"/>
        <v>0</v>
      </c>
      <c r="T102">
        <f ca="1"/>
        <v>0</v>
      </c>
      <c r="U102">
        <f ca="1"/>
        <v>0.99726899999999996</v>
      </c>
      <c r="V102">
        <f ca="1"/>
        <v>0.11022800000000001</v>
      </c>
    </row>
    <row r="103" spans="1:22" x14ac:dyDescent="0.3">
      <c r="A103" t="str">
        <f ca="1"/>
        <v>102</v>
      </c>
      <c r="B103" t="str">
        <f ca="1"/>
        <v>Gatsibo_HS11_15</v>
      </c>
      <c r="C103">
        <f ca="1"/>
        <v>0.367981</v>
      </c>
      <c r="D103">
        <f ca="1"/>
        <v>0</v>
      </c>
      <c r="E103">
        <f ca="1"/>
        <v>0</v>
      </c>
      <c r="F103">
        <f ca="1"/>
        <v>0.313525</v>
      </c>
      <c r="G103">
        <f ca="1"/>
        <v>0</v>
      </c>
      <c r="H103">
        <f ca="1"/>
        <v>0.39878599999999997</v>
      </c>
      <c r="I103">
        <f ca="1"/>
        <v>0</v>
      </c>
      <c r="J103">
        <f ca="1"/>
        <v>0</v>
      </c>
      <c r="K103">
        <f ca="1"/>
        <v>0</v>
      </c>
      <c r="L103">
        <f ca="1"/>
        <v>0</v>
      </c>
      <c r="M103">
        <f ca="1"/>
        <v>0.43263600000000002</v>
      </c>
      <c r="N103">
        <f ca="1"/>
        <v>0.42313499999999998</v>
      </c>
      <c r="O103">
        <f ca="1"/>
        <v>0.5</v>
      </c>
      <c r="P103">
        <f ca="1"/>
        <v>0</v>
      </c>
      <c r="Q103">
        <f ca="1"/>
        <v>0</v>
      </c>
      <c r="R103">
        <f ca="1"/>
        <v>0.43263600000000002</v>
      </c>
      <c r="S103">
        <f ca="1"/>
        <v>0.42313499999999998</v>
      </c>
      <c r="T103">
        <f ca="1"/>
        <v>0.5</v>
      </c>
      <c r="U103">
        <f ca="1"/>
        <v>0</v>
      </c>
      <c r="V103">
        <f ca="1"/>
        <v>0</v>
      </c>
    </row>
    <row r="104" spans="1:22" x14ac:dyDescent="0.3">
      <c r="A104" t="str">
        <f ca="1"/>
        <v>103</v>
      </c>
      <c r="B104" t="str">
        <f ca="1"/>
        <v>Gatsibo_HS12_15</v>
      </c>
      <c r="C104">
        <f ca="1"/>
        <v>0.37031900000000001</v>
      </c>
      <c r="D104">
        <f ca="1"/>
        <v>0</v>
      </c>
      <c r="E104">
        <f ca="1"/>
        <v>0</v>
      </c>
      <c r="F104">
        <f ca="1"/>
        <v>0.19348000000000001</v>
      </c>
      <c r="G104">
        <f ca="1"/>
        <v>0</v>
      </c>
      <c r="H104">
        <f ca="1"/>
        <v>0.42439300000000002</v>
      </c>
      <c r="I104">
        <f ca="1"/>
        <v>0</v>
      </c>
      <c r="J104">
        <f ca="1"/>
        <v>0</v>
      </c>
      <c r="K104">
        <f ca="1"/>
        <v>0</v>
      </c>
      <c r="L104">
        <f ca="1"/>
        <v>0</v>
      </c>
      <c r="M104">
        <f ca="1"/>
        <v>0.23525499999999999</v>
      </c>
      <c r="N104">
        <f ca="1"/>
        <v>0</v>
      </c>
      <c r="O104">
        <f ca="1"/>
        <v>0</v>
      </c>
      <c r="P104">
        <f ca="1"/>
        <v>0.99155300000000002</v>
      </c>
      <c r="Q104">
        <f ca="1"/>
        <v>0</v>
      </c>
      <c r="R104">
        <f ca="1"/>
        <v>0.25512899999999999</v>
      </c>
      <c r="S104">
        <f ca="1"/>
        <v>0</v>
      </c>
      <c r="T104">
        <f ca="1"/>
        <v>0</v>
      </c>
      <c r="U104">
        <f ca="1"/>
        <v>0.99155300000000002</v>
      </c>
      <c r="V104">
        <f ca="1"/>
        <v>0</v>
      </c>
    </row>
    <row r="105" spans="1:22" x14ac:dyDescent="0.3">
      <c r="A105" t="str">
        <f ca="1"/>
        <v>104</v>
      </c>
      <c r="B105" t="str">
        <f ca="1"/>
        <v>Gatsibo_HS13_15</v>
      </c>
      <c r="C105">
        <f ca="1"/>
        <v>0.38846999999999998</v>
      </c>
      <c r="D105">
        <f ca="1"/>
        <v>0</v>
      </c>
      <c r="E105">
        <f ca="1"/>
        <v>0</v>
      </c>
      <c r="F105">
        <f ca="1"/>
        <v>0.35043200000000002</v>
      </c>
      <c r="G105">
        <f ca="1"/>
        <v>0</v>
      </c>
      <c r="H105">
        <f ca="1"/>
        <v>0.463507</v>
      </c>
      <c r="I105">
        <f ca="1"/>
        <v>0</v>
      </c>
      <c r="J105">
        <f ca="1"/>
        <v>0</v>
      </c>
      <c r="K105">
        <f ca="1"/>
        <v>0</v>
      </c>
      <c r="L105">
        <f ca="1"/>
        <v>0</v>
      </c>
      <c r="M105">
        <f ca="1"/>
        <v>0.30257800000000001</v>
      </c>
      <c r="N105">
        <f ca="1"/>
        <v>0</v>
      </c>
      <c r="O105">
        <f ca="1"/>
        <v>0</v>
      </c>
      <c r="P105">
        <f ca="1"/>
        <v>0.99097100000000005</v>
      </c>
      <c r="Q105">
        <f ca="1"/>
        <v>0</v>
      </c>
      <c r="R105">
        <f ca="1"/>
        <v>0.334594</v>
      </c>
      <c r="S105">
        <f ca="1"/>
        <v>0</v>
      </c>
      <c r="T105">
        <f ca="1"/>
        <v>0</v>
      </c>
      <c r="U105">
        <f ca="1"/>
        <v>0.99097100000000005</v>
      </c>
      <c r="V105">
        <f ca="1"/>
        <v>0</v>
      </c>
    </row>
    <row r="106" spans="1:22" x14ac:dyDescent="0.3">
      <c r="A106" t="str">
        <f ca="1"/>
        <v>105</v>
      </c>
      <c r="B106" t="str">
        <f ca="1"/>
        <v>Gatsibo_HS14_15</v>
      </c>
      <c r="C106">
        <f ca="1"/>
        <v>0.15473200000000001</v>
      </c>
      <c r="D106">
        <f ca="1"/>
        <v>0</v>
      </c>
      <c r="E106">
        <f ca="1"/>
        <v>0</v>
      </c>
      <c r="F106">
        <f ca="1"/>
        <v>0</v>
      </c>
      <c r="G106">
        <f ca="1"/>
        <v>0</v>
      </c>
      <c r="H106">
        <f ca="1"/>
        <v>0.16361700000000001</v>
      </c>
      <c r="I106">
        <f ca="1"/>
        <v>0</v>
      </c>
      <c r="J106">
        <f ca="1"/>
        <v>0</v>
      </c>
      <c r="K106">
        <f ca="1"/>
        <v>0</v>
      </c>
      <c r="L106">
        <f ca="1"/>
        <v>0</v>
      </c>
      <c r="M106">
        <f ca="1"/>
        <v>4.7511999999999999E-2</v>
      </c>
      <c r="N106">
        <f ca="1"/>
        <v>0</v>
      </c>
      <c r="O106">
        <f ca="1"/>
        <v>0</v>
      </c>
      <c r="P106">
        <f ca="1"/>
        <v>0.99890100000000004</v>
      </c>
      <c r="Q106">
        <f ca="1"/>
        <v>0</v>
      </c>
      <c r="R106">
        <f ca="1"/>
        <v>5.6045999999999999E-2</v>
      </c>
      <c r="S106">
        <f ca="1"/>
        <v>0</v>
      </c>
      <c r="T106">
        <f ca="1"/>
        <v>0</v>
      </c>
      <c r="U106">
        <f ca="1"/>
        <v>0.99890100000000004</v>
      </c>
      <c r="V106">
        <f ca="1"/>
        <v>0</v>
      </c>
    </row>
    <row r="107" spans="1:22" x14ac:dyDescent="0.3">
      <c r="A107" t="str">
        <f ca="1"/>
        <v>106</v>
      </c>
      <c r="B107" t="str">
        <f ca="1"/>
        <v>Gatsibo_HS15_15</v>
      </c>
      <c r="C107">
        <f ca="1"/>
        <v>0.65743399999999996</v>
      </c>
      <c r="D107">
        <f ca="1"/>
        <v>0</v>
      </c>
      <c r="E107">
        <f ca="1"/>
        <v>0</v>
      </c>
      <c r="F107">
        <f ca="1"/>
        <v>0.209394</v>
      </c>
      <c r="G107">
        <f ca="1"/>
        <v>0.24637700000000001</v>
      </c>
      <c r="H107">
        <f ca="1"/>
        <v>0.29865700000000001</v>
      </c>
      <c r="I107">
        <f ca="1"/>
        <v>0</v>
      </c>
      <c r="J107">
        <f ca="1"/>
        <v>0</v>
      </c>
      <c r="K107">
        <f ca="1"/>
        <v>0.99235200000000001</v>
      </c>
      <c r="L107">
        <f ca="1"/>
        <v>3.8892999999999997E-2</v>
      </c>
      <c r="M107">
        <f ca="1"/>
        <v>0.41382400000000003</v>
      </c>
      <c r="N107">
        <f ca="1"/>
        <v>0</v>
      </c>
      <c r="O107">
        <f ca="1"/>
        <v>0</v>
      </c>
      <c r="P107">
        <f ca="1"/>
        <v>0.99621800000000005</v>
      </c>
      <c r="Q107">
        <f ca="1"/>
        <v>0.77498100000000003</v>
      </c>
      <c r="R107">
        <f ca="1"/>
        <v>0.68279400000000001</v>
      </c>
      <c r="S107">
        <f ca="1"/>
        <v>0.43709599999999998</v>
      </c>
      <c r="T107">
        <f ca="1"/>
        <v>0.5</v>
      </c>
      <c r="U107">
        <f ca="1"/>
        <v>0.57879700000000001</v>
      </c>
      <c r="V107">
        <f ca="1"/>
        <v>9.5257999999999995E-2</v>
      </c>
    </row>
    <row r="108" spans="1:22" x14ac:dyDescent="0.3">
      <c r="A108" t="str">
        <f ca="1"/>
        <v>107</v>
      </c>
      <c r="B108" t="str">
        <f ca="1"/>
        <v>Gatsibo_HS16_15</v>
      </c>
      <c r="C108">
        <f ca="1"/>
        <v>0.60333199999999998</v>
      </c>
      <c r="D108">
        <f ca="1"/>
        <v>0</v>
      </c>
      <c r="E108">
        <f ca="1"/>
        <v>0</v>
      </c>
      <c r="F108">
        <f ca="1"/>
        <v>8.2595000000000002E-2</v>
      </c>
      <c r="G108">
        <f ca="1"/>
        <v>0</v>
      </c>
      <c r="H108">
        <f ca="1"/>
        <v>0.93465900000000002</v>
      </c>
      <c r="I108">
        <f ca="1"/>
        <v>0</v>
      </c>
      <c r="J108">
        <f ca="1"/>
        <v>0</v>
      </c>
      <c r="K108">
        <f ca="1"/>
        <v>0</v>
      </c>
      <c r="L108">
        <f ca="1"/>
        <v>0</v>
      </c>
      <c r="M108">
        <f ca="1"/>
        <v>0.41239700000000001</v>
      </c>
      <c r="N108">
        <f ca="1"/>
        <v>0</v>
      </c>
      <c r="O108">
        <f ca="1"/>
        <v>0</v>
      </c>
      <c r="P108">
        <f ca="1"/>
        <v>0.98960700000000001</v>
      </c>
      <c r="Q108">
        <f ca="1"/>
        <v>0.72897299999999998</v>
      </c>
      <c r="R108">
        <f ca="1"/>
        <v>0.47397899999999998</v>
      </c>
      <c r="S108">
        <f ca="1"/>
        <v>0</v>
      </c>
      <c r="T108">
        <f ca="1"/>
        <v>0</v>
      </c>
      <c r="U108">
        <f ca="1"/>
        <v>0.99082199999999998</v>
      </c>
      <c r="V108">
        <f ca="1"/>
        <v>0.16522200000000001</v>
      </c>
    </row>
    <row r="109" spans="1:22" x14ac:dyDescent="0.3">
      <c r="A109" t="str">
        <f ca="1"/>
        <v>108</v>
      </c>
      <c r="B109" t="str">
        <f ca="1"/>
        <v>Gatsibo_HS17_15</v>
      </c>
      <c r="C109">
        <f ca="1"/>
        <v>0.76255399999999995</v>
      </c>
      <c r="D109">
        <f ca="1"/>
        <v>0</v>
      </c>
      <c r="E109">
        <f ca="1"/>
        <v>0</v>
      </c>
      <c r="F109">
        <f ca="1"/>
        <v>0.144901</v>
      </c>
      <c r="G109">
        <f ca="1"/>
        <v>0</v>
      </c>
      <c r="H109">
        <f ca="1"/>
        <v>1.064565</v>
      </c>
      <c r="I109">
        <f ca="1"/>
        <v>0</v>
      </c>
      <c r="J109">
        <f ca="1"/>
        <v>0</v>
      </c>
      <c r="K109">
        <f ca="1"/>
        <v>0</v>
      </c>
      <c r="L109">
        <f ca="1"/>
        <v>0</v>
      </c>
      <c r="M109">
        <f ca="1"/>
        <v>0.83951699999999996</v>
      </c>
      <c r="N109">
        <f ca="1"/>
        <v>0.42538100000000001</v>
      </c>
      <c r="O109">
        <f ca="1"/>
        <v>0.49</v>
      </c>
      <c r="P109">
        <f ca="1"/>
        <v>0.69227300000000003</v>
      </c>
      <c r="Q109">
        <f ca="1"/>
        <v>0.21887000000000001</v>
      </c>
      <c r="R109">
        <f ca="1"/>
        <v>0.96029299999999995</v>
      </c>
      <c r="S109">
        <f ca="1"/>
        <v>0.40775099999999997</v>
      </c>
      <c r="T109">
        <f ca="1"/>
        <v>0.48</v>
      </c>
      <c r="U109">
        <f ca="1"/>
        <v>0.68365500000000001</v>
      </c>
      <c r="V109">
        <f ca="1"/>
        <v>2.7066E-2</v>
      </c>
    </row>
    <row r="110" spans="1:22" x14ac:dyDescent="0.3">
      <c r="A110" t="str">
        <f ca="1"/>
        <v>109</v>
      </c>
      <c r="B110" t="str">
        <f ca="1"/>
        <v>Gatsibo_HS18_15</v>
      </c>
      <c r="C110">
        <f ca="1"/>
        <v>0.61158500000000005</v>
      </c>
      <c r="D110">
        <f ca="1"/>
        <v>0</v>
      </c>
      <c r="E110">
        <f ca="1"/>
        <v>0</v>
      </c>
      <c r="F110">
        <f ca="1"/>
        <v>0.249997</v>
      </c>
      <c r="G110">
        <f ca="1"/>
        <v>1.4226000000000001E-2</v>
      </c>
      <c r="H110">
        <f ca="1"/>
        <v>1.272392</v>
      </c>
      <c r="I110">
        <f ca="1"/>
        <v>0</v>
      </c>
      <c r="J110">
        <f ca="1"/>
        <v>0</v>
      </c>
      <c r="K110">
        <f ca="1"/>
        <v>0</v>
      </c>
      <c r="L110">
        <f ca="1"/>
        <v>0</v>
      </c>
      <c r="M110">
        <f ca="1"/>
        <v>0.56310000000000004</v>
      </c>
      <c r="N110">
        <f ca="1"/>
        <v>0</v>
      </c>
      <c r="O110">
        <f ca="1"/>
        <v>0</v>
      </c>
      <c r="P110">
        <f ca="1"/>
        <v>0.96251200000000003</v>
      </c>
      <c r="Q110">
        <f ca="1"/>
        <v>0.69897600000000004</v>
      </c>
      <c r="R110">
        <f ca="1"/>
        <v>0.67442000000000002</v>
      </c>
      <c r="S110">
        <f ca="1"/>
        <v>0</v>
      </c>
      <c r="T110">
        <f ca="1"/>
        <v>0</v>
      </c>
      <c r="U110">
        <f ca="1"/>
        <v>0.96769400000000005</v>
      </c>
      <c r="V110">
        <f ca="1"/>
        <v>0.19195100000000001</v>
      </c>
    </row>
    <row r="111" spans="1:22" x14ac:dyDescent="0.3">
      <c r="A111" t="str">
        <f ca="1"/>
        <v>110</v>
      </c>
      <c r="B111" t="str">
        <f ca="1"/>
        <v>Gatsibo_HS19_15</v>
      </c>
      <c r="C111">
        <f ca="1"/>
        <v>0.76278800000000002</v>
      </c>
      <c r="D111">
        <f ca="1"/>
        <v>0</v>
      </c>
      <c r="E111">
        <f ca="1"/>
        <v>0</v>
      </c>
      <c r="F111">
        <f ca="1"/>
        <v>0.20100299999999999</v>
      </c>
      <c r="G111">
        <f ca="1"/>
        <v>0.28985499999999997</v>
      </c>
      <c r="H111">
        <f ca="1"/>
        <v>0.35304200000000002</v>
      </c>
      <c r="I111">
        <f ca="1"/>
        <v>0</v>
      </c>
      <c r="J111">
        <f ca="1"/>
        <v>0</v>
      </c>
      <c r="K111">
        <f ca="1"/>
        <v>0.99651400000000001</v>
      </c>
      <c r="L111">
        <f ca="1"/>
        <v>3.3217000000000003E-2</v>
      </c>
      <c r="M111">
        <f ca="1"/>
        <v>0.54940199999999995</v>
      </c>
      <c r="N111">
        <f ca="1"/>
        <v>0</v>
      </c>
      <c r="O111">
        <f ca="1"/>
        <v>0</v>
      </c>
      <c r="P111">
        <f ca="1"/>
        <v>0.98999700000000002</v>
      </c>
      <c r="Q111">
        <f ca="1"/>
        <v>0.73576799999999998</v>
      </c>
      <c r="R111">
        <f ca="1"/>
        <v>0.66328200000000004</v>
      </c>
      <c r="S111">
        <f ca="1"/>
        <v>0</v>
      </c>
      <c r="T111">
        <f ca="1"/>
        <v>0</v>
      </c>
      <c r="U111">
        <f ca="1"/>
        <v>0.99420299999999995</v>
      </c>
      <c r="V111">
        <f ca="1"/>
        <v>0.22591800000000001</v>
      </c>
    </row>
    <row r="112" spans="1:22" x14ac:dyDescent="0.3">
      <c r="A112" t="str">
        <f ca="1"/>
        <v>111</v>
      </c>
      <c r="B112" t="str">
        <f ca="1"/>
        <v>Gatsibo_HS1_15</v>
      </c>
      <c r="C112">
        <f ca="1"/>
        <v>1.0221</v>
      </c>
      <c r="D112">
        <f ca="1"/>
        <v>0</v>
      </c>
      <c r="E112">
        <f ca="1"/>
        <v>0</v>
      </c>
      <c r="F112">
        <f ca="1"/>
        <v>0.43931700000000001</v>
      </c>
      <c r="G112">
        <f ca="1"/>
        <v>5.4965E-2</v>
      </c>
      <c r="H112">
        <f ca="1"/>
        <v>0.40810000000000002</v>
      </c>
      <c r="I112">
        <f ca="1"/>
        <v>0</v>
      </c>
      <c r="J112">
        <f ca="1"/>
        <v>0</v>
      </c>
      <c r="K112">
        <f ca="1"/>
        <v>0.99673999999999996</v>
      </c>
      <c r="L112">
        <f ca="1"/>
        <v>8.5959999999999995E-2</v>
      </c>
      <c r="M112">
        <f ca="1"/>
        <v>0.65291299999999997</v>
      </c>
      <c r="N112">
        <f ca="1"/>
        <v>0</v>
      </c>
      <c r="O112">
        <f ca="1"/>
        <v>0</v>
      </c>
      <c r="P112">
        <f ca="1"/>
        <v>0.98677499999999996</v>
      </c>
      <c r="Q112">
        <f ca="1"/>
        <v>0.62697800000000004</v>
      </c>
      <c r="R112">
        <f ca="1"/>
        <v>0.73515299999999995</v>
      </c>
      <c r="S112">
        <f ca="1"/>
        <v>0</v>
      </c>
      <c r="T112">
        <f ca="1"/>
        <v>0</v>
      </c>
      <c r="U112">
        <f ca="1"/>
        <v>0.997309</v>
      </c>
      <c r="V112">
        <f ca="1"/>
        <v>0.26167400000000002</v>
      </c>
    </row>
    <row r="113" spans="1:22" x14ac:dyDescent="0.3">
      <c r="A113" t="str">
        <f ca="1"/>
        <v>112</v>
      </c>
      <c r="B113" t="str">
        <f ca="1"/>
        <v>Gatsibo_HS20_15</v>
      </c>
      <c r="C113">
        <f ca="1"/>
        <v>1.295425</v>
      </c>
      <c r="D113">
        <f ca="1"/>
        <v>0</v>
      </c>
      <c r="E113">
        <f ca="1"/>
        <v>0</v>
      </c>
      <c r="F113">
        <f ca="1"/>
        <v>0.366753</v>
      </c>
      <c r="G113">
        <f ca="1"/>
        <v>0.99644299999999997</v>
      </c>
      <c r="H113">
        <f ca="1"/>
        <v>0.38850400000000002</v>
      </c>
      <c r="I113">
        <f ca="1"/>
        <v>0</v>
      </c>
      <c r="J113">
        <f ca="1"/>
        <v>0</v>
      </c>
      <c r="K113">
        <f ca="1"/>
        <v>0.998668</v>
      </c>
      <c r="L113">
        <f ca="1"/>
        <v>0.16514400000000001</v>
      </c>
      <c r="M113">
        <f ca="1"/>
        <v>0.52230299999999996</v>
      </c>
      <c r="N113">
        <f ca="1"/>
        <v>0</v>
      </c>
      <c r="O113">
        <f ca="1"/>
        <v>0</v>
      </c>
      <c r="P113">
        <f ca="1"/>
        <v>0.99096899999999999</v>
      </c>
      <c r="Q113">
        <f ca="1"/>
        <v>0.69867800000000002</v>
      </c>
      <c r="R113">
        <f ca="1"/>
        <v>0.68002099999999999</v>
      </c>
      <c r="S113">
        <f ca="1"/>
        <v>0</v>
      </c>
      <c r="T113">
        <f ca="1"/>
        <v>0</v>
      </c>
      <c r="U113">
        <f ca="1"/>
        <v>0.99075599999999997</v>
      </c>
      <c r="V113">
        <f ca="1"/>
        <v>0.419738</v>
      </c>
    </row>
    <row r="114" spans="1:22" x14ac:dyDescent="0.3">
      <c r="A114" t="str">
        <f ca="1"/>
        <v>113</v>
      </c>
      <c r="B114" t="str">
        <f ca="1"/>
        <v>Gatsibo_HS21_15</v>
      </c>
      <c r="C114">
        <f ca="1"/>
        <v>2.6526000000000001E-2</v>
      </c>
      <c r="D114">
        <f ca="1"/>
        <v>0</v>
      </c>
      <c r="E114">
        <f ca="1"/>
        <v>0</v>
      </c>
      <c r="F114">
        <f ca="1"/>
        <v>0</v>
      </c>
      <c r="G114">
        <f ca="1"/>
        <v>0</v>
      </c>
      <c r="H114">
        <f ca="1"/>
        <v>2.6526000000000001E-2</v>
      </c>
      <c r="I114">
        <f ca="1"/>
        <v>0</v>
      </c>
      <c r="J114">
        <f ca="1"/>
        <v>0</v>
      </c>
      <c r="K114">
        <f ca="1"/>
        <v>0</v>
      </c>
      <c r="L114">
        <f ca="1"/>
        <v>0</v>
      </c>
      <c r="M114">
        <f ca="1"/>
        <v>0.19505900000000001</v>
      </c>
      <c r="N114">
        <f ca="1"/>
        <v>0</v>
      </c>
      <c r="O114">
        <f ca="1"/>
        <v>0</v>
      </c>
      <c r="P114">
        <f ca="1"/>
        <v>0</v>
      </c>
      <c r="Q114">
        <f ca="1"/>
        <v>0</v>
      </c>
      <c r="R114">
        <f ca="1"/>
        <v>0.19505900000000001</v>
      </c>
      <c r="S114">
        <f ca="1"/>
        <v>0</v>
      </c>
      <c r="T114">
        <f ca="1"/>
        <v>0</v>
      </c>
      <c r="U114">
        <f ca="1"/>
        <v>0</v>
      </c>
      <c r="V114">
        <f ca="1"/>
        <v>0</v>
      </c>
    </row>
    <row r="115" spans="1:22" x14ac:dyDescent="0.3">
      <c r="A115" t="str">
        <f ca="1"/>
        <v>114</v>
      </c>
      <c r="B115" t="str">
        <f ca="1"/>
        <v>Gatsibo_HS22_15</v>
      </c>
      <c r="C115">
        <f ca="1"/>
        <v>9.5910000000000006E-3</v>
      </c>
      <c r="D115">
        <f ca="1"/>
        <v>0</v>
      </c>
      <c r="E115">
        <f ca="1"/>
        <v>0</v>
      </c>
      <c r="F115">
        <f ca="1"/>
        <v>0</v>
      </c>
      <c r="G115">
        <f ca="1"/>
        <v>0</v>
      </c>
      <c r="H115">
        <f ca="1"/>
        <v>1.2441000000000001E-2</v>
      </c>
      <c r="I115">
        <f ca="1"/>
        <v>0</v>
      </c>
      <c r="J115">
        <f ca="1"/>
        <v>0</v>
      </c>
      <c r="K115">
        <f ca="1"/>
        <v>0</v>
      </c>
      <c r="L115">
        <f ca="1"/>
        <v>0</v>
      </c>
      <c r="M115">
        <f ca="1"/>
        <v>4.3727000000000002E-2</v>
      </c>
      <c r="N115">
        <f ca="1"/>
        <v>0</v>
      </c>
      <c r="O115">
        <f ca="1"/>
        <v>0</v>
      </c>
      <c r="P115">
        <f ca="1"/>
        <v>0.54671599999999998</v>
      </c>
      <c r="Q115">
        <f ca="1"/>
        <v>0</v>
      </c>
      <c r="R115">
        <f ca="1"/>
        <v>4.6463999999999998E-2</v>
      </c>
      <c r="S115">
        <f ca="1"/>
        <v>0</v>
      </c>
      <c r="T115">
        <f ca="1"/>
        <v>0</v>
      </c>
      <c r="U115">
        <f ca="1"/>
        <v>0.54671599999999998</v>
      </c>
      <c r="V115">
        <f ca="1"/>
        <v>0</v>
      </c>
    </row>
    <row r="116" spans="1:22" x14ac:dyDescent="0.3">
      <c r="A116" t="str">
        <f ca="1"/>
        <v>115</v>
      </c>
      <c r="B116" t="str">
        <f ca="1"/>
        <v>Gatsibo_HS23_15</v>
      </c>
      <c r="C116">
        <f ca="1"/>
        <v>6.783E-3</v>
      </c>
      <c r="D116">
        <f ca="1"/>
        <v>0</v>
      </c>
      <c r="E116">
        <f ca="1"/>
        <v>0</v>
      </c>
      <c r="F116">
        <f ca="1"/>
        <v>0</v>
      </c>
      <c r="G116">
        <f ca="1"/>
        <v>0</v>
      </c>
      <c r="H116">
        <f ca="1"/>
        <v>6.783E-3</v>
      </c>
      <c r="I116">
        <f ca="1"/>
        <v>0</v>
      </c>
      <c r="J116">
        <f ca="1"/>
        <v>0</v>
      </c>
      <c r="K116">
        <f ca="1"/>
        <v>0</v>
      </c>
      <c r="L116">
        <f ca="1"/>
        <v>0</v>
      </c>
      <c r="M116">
        <f ca="1"/>
        <v>5.0304000000000001E-2</v>
      </c>
      <c r="N116">
        <f ca="1"/>
        <v>0</v>
      </c>
      <c r="O116">
        <f ca="1"/>
        <v>0</v>
      </c>
      <c r="P116">
        <f ca="1"/>
        <v>0</v>
      </c>
      <c r="Q116">
        <f ca="1"/>
        <v>0</v>
      </c>
      <c r="R116">
        <f ca="1"/>
        <v>5.0304000000000001E-2</v>
      </c>
      <c r="S116">
        <f ca="1"/>
        <v>0</v>
      </c>
      <c r="T116">
        <f ca="1"/>
        <v>0</v>
      </c>
      <c r="U116">
        <f ca="1"/>
        <v>0</v>
      </c>
      <c r="V116">
        <f ca="1"/>
        <v>0</v>
      </c>
    </row>
    <row r="117" spans="1:22" x14ac:dyDescent="0.3">
      <c r="A117" t="str">
        <f ca="1"/>
        <v>116</v>
      </c>
      <c r="B117" t="str">
        <f ca="1"/>
        <v>Gatsibo_HS2_15</v>
      </c>
      <c r="C117">
        <f ca="1"/>
        <v>2.0296000000000002E-2</v>
      </c>
      <c r="D117">
        <f ca="1"/>
        <v>0</v>
      </c>
      <c r="E117">
        <f ca="1"/>
        <v>0</v>
      </c>
      <c r="F117">
        <f ca="1"/>
        <v>0</v>
      </c>
      <c r="G117">
        <f ca="1"/>
        <v>0</v>
      </c>
      <c r="H117">
        <f ca="1"/>
        <v>2.7116999999999999E-2</v>
      </c>
      <c r="I117">
        <f ca="1"/>
        <v>0</v>
      </c>
      <c r="J117">
        <f ca="1"/>
        <v>0</v>
      </c>
      <c r="K117">
        <f ca="1"/>
        <v>0</v>
      </c>
      <c r="L117">
        <f ca="1"/>
        <v>0</v>
      </c>
      <c r="M117">
        <f ca="1"/>
        <v>2.7671999999999999E-2</v>
      </c>
      <c r="N117">
        <f ca="1"/>
        <v>0</v>
      </c>
      <c r="O117">
        <f ca="1"/>
        <v>0</v>
      </c>
      <c r="P117">
        <f ca="1"/>
        <v>1</v>
      </c>
      <c r="Q117">
        <f ca="1"/>
        <v>0</v>
      </c>
      <c r="R117">
        <f ca="1"/>
        <v>3.4222000000000002E-2</v>
      </c>
      <c r="S117">
        <f ca="1"/>
        <v>0</v>
      </c>
      <c r="T117">
        <f ca="1"/>
        <v>0</v>
      </c>
      <c r="U117">
        <f ca="1"/>
        <v>1</v>
      </c>
      <c r="V117">
        <f ca="1"/>
        <v>0</v>
      </c>
    </row>
    <row r="118" spans="1:22" x14ac:dyDescent="0.3">
      <c r="A118" t="str">
        <f ca="1"/>
        <v>117</v>
      </c>
      <c r="B118" t="str">
        <f ca="1"/>
        <v>Gatsibo_HS3_15</v>
      </c>
      <c r="C118">
        <f ca="1"/>
        <v>0.72927299999999995</v>
      </c>
      <c r="D118">
        <f ca="1"/>
        <v>0</v>
      </c>
      <c r="E118">
        <f ca="1"/>
        <v>0</v>
      </c>
      <c r="F118">
        <f ca="1"/>
        <v>0.103634</v>
      </c>
      <c r="G118">
        <f ca="1"/>
        <v>0</v>
      </c>
      <c r="H118">
        <f ca="1"/>
        <v>0.74146100000000004</v>
      </c>
      <c r="I118">
        <f ca="1"/>
        <v>0</v>
      </c>
      <c r="J118">
        <f ca="1"/>
        <v>0</v>
      </c>
      <c r="K118">
        <f ca="1"/>
        <v>0</v>
      </c>
      <c r="L118">
        <f ca="1"/>
        <v>0</v>
      </c>
      <c r="M118">
        <f ca="1"/>
        <v>0.31110700000000002</v>
      </c>
      <c r="N118">
        <f ca="1"/>
        <v>0</v>
      </c>
      <c r="O118">
        <f ca="1"/>
        <v>0</v>
      </c>
      <c r="P118">
        <f ca="1"/>
        <v>0.992699</v>
      </c>
      <c r="Q118">
        <f ca="1"/>
        <v>0</v>
      </c>
      <c r="R118">
        <f ca="1"/>
        <v>0.34664</v>
      </c>
      <c r="S118">
        <f ca="1"/>
        <v>0</v>
      </c>
      <c r="T118">
        <f ca="1"/>
        <v>0</v>
      </c>
      <c r="U118">
        <f ca="1"/>
        <v>0.992699</v>
      </c>
      <c r="V118">
        <f ca="1"/>
        <v>0</v>
      </c>
    </row>
    <row r="119" spans="1:22" x14ac:dyDescent="0.3">
      <c r="A119" t="str">
        <f ca="1"/>
        <v>118</v>
      </c>
      <c r="B119" t="str">
        <f ca="1"/>
        <v>Gatsibo_HS4_15</v>
      </c>
      <c r="C119">
        <f ca="1"/>
        <v>0.62357399999999996</v>
      </c>
      <c r="D119">
        <f ca="1"/>
        <v>0</v>
      </c>
      <c r="E119">
        <f ca="1"/>
        <v>0</v>
      </c>
      <c r="F119">
        <f ca="1"/>
        <v>9.6143999999999993E-2</v>
      </c>
      <c r="G119">
        <f ca="1"/>
        <v>0</v>
      </c>
      <c r="H119">
        <f ca="1"/>
        <v>0.67342100000000005</v>
      </c>
      <c r="I119">
        <f ca="1"/>
        <v>0</v>
      </c>
      <c r="J119">
        <f ca="1"/>
        <v>0</v>
      </c>
      <c r="K119">
        <f ca="1"/>
        <v>0</v>
      </c>
      <c r="L119">
        <f ca="1"/>
        <v>0</v>
      </c>
      <c r="M119">
        <f ca="1"/>
        <v>0.57262900000000005</v>
      </c>
      <c r="N119">
        <f ca="1"/>
        <v>0</v>
      </c>
      <c r="O119">
        <f ca="1"/>
        <v>0</v>
      </c>
      <c r="P119">
        <f ca="1"/>
        <v>0.95671700000000004</v>
      </c>
      <c r="Q119">
        <f ca="1"/>
        <v>0</v>
      </c>
      <c r="R119">
        <f ca="1"/>
        <v>0.64011899999999999</v>
      </c>
      <c r="S119">
        <f ca="1"/>
        <v>0</v>
      </c>
      <c r="T119">
        <f ca="1"/>
        <v>0</v>
      </c>
      <c r="U119">
        <f ca="1"/>
        <v>0.95671700000000004</v>
      </c>
      <c r="V119">
        <f ca="1"/>
        <v>0</v>
      </c>
    </row>
    <row r="120" spans="1:22" x14ac:dyDescent="0.3">
      <c r="A120" t="str">
        <f ca="1"/>
        <v>119</v>
      </c>
      <c r="B120" t="str">
        <f ca="1"/>
        <v>Gatsibo_HS5_15</v>
      </c>
      <c r="C120">
        <f ca="1"/>
        <v>1.309598</v>
      </c>
      <c r="D120">
        <f ca="1"/>
        <v>0</v>
      </c>
      <c r="E120">
        <f ca="1"/>
        <v>0</v>
      </c>
      <c r="F120">
        <f ca="1"/>
        <v>0.139625</v>
      </c>
      <c r="G120">
        <f ca="1"/>
        <v>0</v>
      </c>
      <c r="H120">
        <f ca="1"/>
        <v>1.3656999999999999</v>
      </c>
      <c r="I120">
        <f ca="1"/>
        <v>0</v>
      </c>
      <c r="J120">
        <f ca="1"/>
        <v>0</v>
      </c>
      <c r="K120">
        <f ca="1"/>
        <v>0</v>
      </c>
      <c r="L120">
        <f ca="1"/>
        <v>0</v>
      </c>
      <c r="M120">
        <f ca="1"/>
        <v>1.057094</v>
      </c>
      <c r="N120">
        <f ca="1"/>
        <v>0.44163599999999997</v>
      </c>
      <c r="O120">
        <f ca="1"/>
        <v>0.59262400000000004</v>
      </c>
      <c r="P120">
        <f ca="1"/>
        <v>0</v>
      </c>
      <c r="Q120">
        <f ca="1"/>
        <v>0</v>
      </c>
      <c r="R120">
        <f ca="1"/>
        <v>1.057094</v>
      </c>
      <c r="S120">
        <f ca="1"/>
        <v>0.44163599999999997</v>
      </c>
      <c r="T120">
        <f ca="1"/>
        <v>0.59262400000000004</v>
      </c>
      <c r="U120">
        <f ca="1"/>
        <v>0</v>
      </c>
      <c r="V120">
        <f ca="1"/>
        <v>0</v>
      </c>
    </row>
    <row r="121" spans="1:22" x14ac:dyDescent="0.3">
      <c r="A121" t="str">
        <f ca="1"/>
        <v>120</v>
      </c>
      <c r="B121" t="str">
        <f ca="1"/>
        <v>Gatsibo_HS6_15</v>
      </c>
      <c r="C121">
        <f ca="1"/>
        <v>0.66622499999999996</v>
      </c>
      <c r="D121">
        <f ca="1"/>
        <v>0</v>
      </c>
      <c r="E121">
        <f ca="1"/>
        <v>0</v>
      </c>
      <c r="F121">
        <f ca="1"/>
        <v>0.38119999999999998</v>
      </c>
      <c r="G121">
        <f ca="1"/>
        <v>0</v>
      </c>
      <c r="H121">
        <f ca="1"/>
        <v>0.89052399999999998</v>
      </c>
      <c r="I121">
        <f ca="1"/>
        <v>0</v>
      </c>
      <c r="J121">
        <f ca="1"/>
        <v>0</v>
      </c>
      <c r="K121">
        <f ca="1"/>
        <v>0</v>
      </c>
      <c r="L121">
        <f ca="1"/>
        <v>0</v>
      </c>
      <c r="M121">
        <f ca="1"/>
        <v>0.46790399999999999</v>
      </c>
      <c r="N121">
        <f ca="1"/>
        <v>0</v>
      </c>
      <c r="O121">
        <f ca="1"/>
        <v>0</v>
      </c>
      <c r="P121">
        <f ca="1"/>
        <v>0.99151199999999995</v>
      </c>
      <c r="Q121">
        <f ca="1"/>
        <v>0</v>
      </c>
      <c r="R121">
        <f ca="1"/>
        <v>0.53812300000000002</v>
      </c>
      <c r="S121">
        <f ca="1"/>
        <v>0</v>
      </c>
      <c r="T121">
        <f ca="1"/>
        <v>0</v>
      </c>
      <c r="U121">
        <f ca="1"/>
        <v>0.99151199999999995</v>
      </c>
      <c r="V121">
        <f ca="1"/>
        <v>0</v>
      </c>
    </row>
    <row r="122" spans="1:22" x14ac:dyDescent="0.3">
      <c r="A122" t="str">
        <f ca="1"/>
        <v>121</v>
      </c>
      <c r="B122" t="str">
        <f ca="1"/>
        <v>Gatsibo_HS7_15</v>
      </c>
      <c r="C122">
        <f ca="1"/>
        <v>1.1256470000000001</v>
      </c>
      <c r="D122">
        <f ca="1"/>
        <v>0</v>
      </c>
      <c r="E122">
        <f ca="1"/>
        <v>0</v>
      </c>
      <c r="F122">
        <f ca="1"/>
        <v>0.27566800000000002</v>
      </c>
      <c r="G122">
        <f ca="1"/>
        <v>0</v>
      </c>
      <c r="H122">
        <f ca="1"/>
        <v>1.4339580000000001</v>
      </c>
      <c r="I122">
        <f ca="1"/>
        <v>0</v>
      </c>
      <c r="J122">
        <f ca="1"/>
        <v>0</v>
      </c>
      <c r="K122">
        <f ca="1"/>
        <v>0</v>
      </c>
      <c r="L122">
        <f ca="1"/>
        <v>0</v>
      </c>
      <c r="M122">
        <f ca="1"/>
        <v>0.68114799999999998</v>
      </c>
      <c r="N122">
        <f ca="1"/>
        <v>0</v>
      </c>
      <c r="O122">
        <f ca="1"/>
        <v>0</v>
      </c>
      <c r="P122">
        <f ca="1"/>
        <v>0.98972599999999999</v>
      </c>
      <c r="Q122">
        <f ca="1"/>
        <v>2.9904E-2</v>
      </c>
      <c r="R122">
        <f ca="1"/>
        <v>0.79234599999999999</v>
      </c>
      <c r="S122">
        <f ca="1"/>
        <v>0</v>
      </c>
      <c r="T122">
        <f ca="1"/>
        <v>0</v>
      </c>
      <c r="U122">
        <f ca="1"/>
        <v>0.98982099999999995</v>
      </c>
      <c r="V122">
        <f ca="1"/>
        <v>8.5210000000000008E-3</v>
      </c>
    </row>
    <row r="123" spans="1:22" x14ac:dyDescent="0.3">
      <c r="A123" t="str">
        <f ca="1"/>
        <v>122</v>
      </c>
      <c r="B123" t="str">
        <f ca="1"/>
        <v>Gatsibo_HS8_15</v>
      </c>
      <c r="C123">
        <f ca="1"/>
        <v>0.85213700000000003</v>
      </c>
      <c r="D123">
        <f ca="1"/>
        <v>0</v>
      </c>
      <c r="E123">
        <f ca="1"/>
        <v>0</v>
      </c>
      <c r="F123">
        <f ca="1"/>
        <v>0.38481300000000002</v>
      </c>
      <c r="G123">
        <f ca="1"/>
        <v>2.2901000000000001E-2</v>
      </c>
      <c r="H123">
        <f ca="1"/>
        <v>1.0213190000000001</v>
      </c>
      <c r="I123">
        <f ca="1"/>
        <v>0.60208799999999996</v>
      </c>
      <c r="J123">
        <f ca="1"/>
        <v>0.35</v>
      </c>
      <c r="K123">
        <f ca="1"/>
        <v>0</v>
      </c>
      <c r="L123">
        <f ca="1"/>
        <v>0</v>
      </c>
      <c r="M123">
        <f ca="1"/>
        <v>0.33484799999999998</v>
      </c>
      <c r="N123">
        <f ca="1"/>
        <v>0</v>
      </c>
      <c r="O123">
        <f ca="1"/>
        <v>0</v>
      </c>
      <c r="P123">
        <f ca="1"/>
        <v>0.97797299999999998</v>
      </c>
      <c r="Q123">
        <f ca="1"/>
        <v>9.2118000000000005E-2</v>
      </c>
      <c r="R123">
        <f ca="1"/>
        <v>0.65137100000000003</v>
      </c>
      <c r="S123">
        <f ca="1"/>
        <v>0.40415800000000002</v>
      </c>
      <c r="T123">
        <f ca="1"/>
        <v>0.62</v>
      </c>
      <c r="U123">
        <f ca="1"/>
        <v>0.21503</v>
      </c>
      <c r="V123">
        <f ca="1"/>
        <v>0</v>
      </c>
    </row>
    <row r="124" spans="1:22" x14ac:dyDescent="0.3">
      <c r="A124" t="str">
        <f ca="1"/>
        <v>123</v>
      </c>
      <c r="B124" t="str">
        <f ca="1"/>
        <v>Gatsibo_HS9_15</v>
      </c>
      <c r="C124">
        <f ca="1"/>
        <v>1.1987190000000001</v>
      </c>
      <c r="D124">
        <f ca="1"/>
        <v>0</v>
      </c>
      <c r="E124">
        <f ca="1"/>
        <v>0</v>
      </c>
      <c r="F124">
        <f ca="1"/>
        <v>0.139075</v>
      </c>
      <c r="G124">
        <f ca="1"/>
        <v>0</v>
      </c>
      <c r="H124">
        <f ca="1"/>
        <v>1.339607</v>
      </c>
      <c r="I124">
        <f ca="1"/>
        <v>0</v>
      </c>
      <c r="J124">
        <f ca="1"/>
        <v>0</v>
      </c>
      <c r="K124">
        <f ca="1"/>
        <v>0</v>
      </c>
      <c r="L124">
        <f ca="1"/>
        <v>0</v>
      </c>
      <c r="M124">
        <f ca="1"/>
        <v>0.60119699999999998</v>
      </c>
      <c r="N124">
        <f ca="1"/>
        <v>0</v>
      </c>
      <c r="O124">
        <f ca="1"/>
        <v>0</v>
      </c>
      <c r="P124">
        <f ca="1"/>
        <v>0.98660999999999999</v>
      </c>
      <c r="Q124">
        <f ca="1"/>
        <v>0</v>
      </c>
      <c r="R124">
        <f ca="1"/>
        <v>0.67504200000000003</v>
      </c>
      <c r="S124">
        <f ca="1"/>
        <v>0</v>
      </c>
      <c r="T124">
        <f ca="1"/>
        <v>0</v>
      </c>
      <c r="U124">
        <f ca="1"/>
        <v>0.98660999999999999</v>
      </c>
      <c r="V124">
        <f ca="1"/>
        <v>0</v>
      </c>
    </row>
    <row r="125" spans="1:22" x14ac:dyDescent="0.3">
      <c r="A125" t="str">
        <f ca="1"/>
        <v>124</v>
      </c>
      <c r="B125" t="str">
        <f ca="1"/>
        <v>Gicumbi_HS0_15</v>
      </c>
      <c r="C125">
        <f ca="1"/>
        <v>0.61874899999999999</v>
      </c>
      <c r="D125">
        <f ca="1"/>
        <v>0</v>
      </c>
      <c r="E125">
        <f ca="1"/>
        <v>0</v>
      </c>
      <c r="F125">
        <f ca="1"/>
        <v>4.8988999999999998E-2</v>
      </c>
      <c r="G125">
        <f ca="1"/>
        <v>0</v>
      </c>
      <c r="H125">
        <f ca="1"/>
        <v>0.69961499999999999</v>
      </c>
      <c r="I125">
        <f ca="1"/>
        <v>0</v>
      </c>
      <c r="J125">
        <f ca="1"/>
        <v>0</v>
      </c>
      <c r="K125">
        <f ca="1"/>
        <v>0</v>
      </c>
      <c r="L125">
        <f ca="1"/>
        <v>0</v>
      </c>
      <c r="M125">
        <f ca="1"/>
        <v>0.41199599999999997</v>
      </c>
      <c r="N125">
        <f ca="1"/>
        <v>0</v>
      </c>
      <c r="O125">
        <f ca="1"/>
        <v>0</v>
      </c>
      <c r="P125">
        <f ca="1"/>
        <v>0.98361900000000002</v>
      </c>
      <c r="Q125">
        <f ca="1"/>
        <v>0</v>
      </c>
      <c r="R125">
        <f ca="1"/>
        <v>0.48299900000000001</v>
      </c>
      <c r="S125">
        <f ca="1"/>
        <v>0</v>
      </c>
      <c r="T125">
        <f ca="1"/>
        <v>0</v>
      </c>
      <c r="U125">
        <f ca="1"/>
        <v>0.98361900000000002</v>
      </c>
      <c r="V125">
        <f ca="1"/>
        <v>0</v>
      </c>
    </row>
    <row r="126" spans="1:22" x14ac:dyDescent="0.3">
      <c r="A126" t="str">
        <f ca="1"/>
        <v>125</v>
      </c>
      <c r="B126" t="str">
        <f ca="1"/>
        <v>Gicumbi_HS10_15</v>
      </c>
      <c r="C126">
        <f ca="1"/>
        <v>0.534779</v>
      </c>
      <c r="D126">
        <f ca="1"/>
        <v>0</v>
      </c>
      <c r="E126">
        <f ca="1"/>
        <v>0</v>
      </c>
      <c r="F126">
        <f ca="1"/>
        <v>0.28771400000000003</v>
      </c>
      <c r="G126">
        <f ca="1"/>
        <v>0</v>
      </c>
      <c r="H126">
        <f ca="1"/>
        <v>0.565218</v>
      </c>
      <c r="I126">
        <f ca="1"/>
        <v>0</v>
      </c>
      <c r="J126">
        <f ca="1"/>
        <v>0</v>
      </c>
      <c r="K126">
        <f ca="1"/>
        <v>0</v>
      </c>
      <c r="L126">
        <f ca="1"/>
        <v>0</v>
      </c>
      <c r="M126">
        <f ca="1"/>
        <v>0.63708600000000004</v>
      </c>
      <c r="N126">
        <f ca="1"/>
        <v>0.51473999999999998</v>
      </c>
      <c r="O126">
        <f ca="1"/>
        <v>0.5</v>
      </c>
      <c r="P126">
        <f ca="1"/>
        <v>0</v>
      </c>
      <c r="Q126">
        <f ca="1"/>
        <v>0</v>
      </c>
      <c r="R126">
        <f ca="1"/>
        <v>0.63708600000000004</v>
      </c>
      <c r="S126">
        <f ca="1"/>
        <v>0.51473999999999998</v>
      </c>
      <c r="T126">
        <f ca="1"/>
        <v>0.5</v>
      </c>
      <c r="U126">
        <f ca="1"/>
        <v>0</v>
      </c>
      <c r="V126">
        <f ca="1"/>
        <v>0</v>
      </c>
    </row>
    <row r="127" spans="1:22" x14ac:dyDescent="0.3">
      <c r="A127" t="str">
        <f ca="1"/>
        <v>126</v>
      </c>
      <c r="B127" t="str">
        <f ca="1"/>
        <v>Gicumbi_HS11_15</v>
      </c>
      <c r="C127">
        <f ca="1"/>
        <v>0.21982699999999999</v>
      </c>
      <c r="D127">
        <f ca="1"/>
        <v>0</v>
      </c>
      <c r="E127">
        <f ca="1"/>
        <v>0</v>
      </c>
      <c r="F127">
        <f ca="1"/>
        <v>0.21100099999999999</v>
      </c>
      <c r="G127">
        <f ca="1"/>
        <v>0</v>
      </c>
      <c r="H127">
        <f ca="1"/>
        <v>0.21470900000000001</v>
      </c>
      <c r="I127">
        <f ca="1"/>
        <v>0</v>
      </c>
      <c r="J127">
        <f ca="1"/>
        <v>0</v>
      </c>
      <c r="K127">
        <f ca="1"/>
        <v>0</v>
      </c>
      <c r="L127">
        <f ca="1"/>
        <v>0</v>
      </c>
      <c r="M127">
        <f ca="1"/>
        <v>0.296761</v>
      </c>
      <c r="N127">
        <f ca="1"/>
        <v>0.51810599999999996</v>
      </c>
      <c r="O127">
        <f ca="1"/>
        <v>0.49</v>
      </c>
      <c r="P127">
        <f ca="1"/>
        <v>0</v>
      </c>
      <c r="Q127">
        <f ca="1"/>
        <v>0</v>
      </c>
      <c r="R127">
        <f ca="1"/>
        <v>0.296761</v>
      </c>
      <c r="S127">
        <f ca="1"/>
        <v>0.51810599999999996</v>
      </c>
      <c r="T127">
        <f ca="1"/>
        <v>0.49</v>
      </c>
      <c r="U127">
        <f ca="1"/>
        <v>0</v>
      </c>
      <c r="V127">
        <f ca="1"/>
        <v>0</v>
      </c>
    </row>
    <row r="128" spans="1:22" x14ac:dyDescent="0.3">
      <c r="A128" t="str">
        <f ca="1"/>
        <v>127</v>
      </c>
      <c r="B128" t="str">
        <f ca="1"/>
        <v>Gicumbi_HS12_15</v>
      </c>
      <c r="C128">
        <f ca="1"/>
        <v>6.9829000000000002E-2</v>
      </c>
      <c r="D128">
        <f ca="1"/>
        <v>0</v>
      </c>
      <c r="E128">
        <f ca="1"/>
        <v>0</v>
      </c>
      <c r="F128">
        <f ca="1"/>
        <v>0.53593500000000005</v>
      </c>
      <c r="G128">
        <f ca="1"/>
        <v>0</v>
      </c>
      <c r="H128">
        <f ca="1"/>
        <v>8.8650999999999994E-2</v>
      </c>
      <c r="I128">
        <f ca="1"/>
        <v>0</v>
      </c>
      <c r="J128">
        <f ca="1"/>
        <v>0</v>
      </c>
      <c r="K128">
        <f ca="1"/>
        <v>0</v>
      </c>
      <c r="L128">
        <f ca="1"/>
        <v>0</v>
      </c>
      <c r="M128">
        <f ca="1"/>
        <v>0.110108</v>
      </c>
      <c r="N128">
        <f ca="1"/>
        <v>0.49793599999999999</v>
      </c>
      <c r="O128">
        <f ca="1"/>
        <v>0.51</v>
      </c>
      <c r="P128">
        <f ca="1"/>
        <v>0</v>
      </c>
      <c r="Q128">
        <f ca="1"/>
        <v>0</v>
      </c>
      <c r="R128">
        <f ca="1"/>
        <v>0.110108</v>
      </c>
      <c r="S128">
        <f ca="1"/>
        <v>0.49793599999999999</v>
      </c>
      <c r="T128">
        <f ca="1"/>
        <v>0.51</v>
      </c>
      <c r="U128">
        <f ca="1"/>
        <v>0</v>
      </c>
      <c r="V128">
        <f ca="1"/>
        <v>0</v>
      </c>
    </row>
    <row r="129" spans="1:22" x14ac:dyDescent="0.3">
      <c r="A129" t="str">
        <f ca="1"/>
        <v>128</v>
      </c>
      <c r="B129" t="str">
        <f ca="1"/>
        <v>Gicumbi_HS13_15</v>
      </c>
      <c r="C129">
        <f ca="1"/>
        <v>5.7126000000000003E-2</v>
      </c>
      <c r="D129">
        <f ca="1"/>
        <v>0</v>
      </c>
      <c r="E129">
        <f ca="1"/>
        <v>0</v>
      </c>
      <c r="F129">
        <f ca="1"/>
        <v>0</v>
      </c>
      <c r="G129">
        <f ca="1"/>
        <v>0</v>
      </c>
      <c r="H129">
        <f ca="1"/>
        <v>5.7126000000000003E-2</v>
      </c>
      <c r="I129">
        <f ca="1"/>
        <v>0</v>
      </c>
      <c r="J129">
        <f ca="1"/>
        <v>0</v>
      </c>
      <c r="K129">
        <f ca="1"/>
        <v>0</v>
      </c>
      <c r="L129">
        <f ca="1"/>
        <v>0</v>
      </c>
      <c r="M129">
        <f ca="1"/>
        <v>0.10541499999999999</v>
      </c>
      <c r="N129">
        <f ca="1"/>
        <v>0.62224100000000004</v>
      </c>
      <c r="O129">
        <f ca="1"/>
        <v>0.5</v>
      </c>
      <c r="P129">
        <f ca="1"/>
        <v>0</v>
      </c>
      <c r="Q129">
        <f ca="1"/>
        <v>0</v>
      </c>
      <c r="R129">
        <f ca="1"/>
        <v>0.10541499999999999</v>
      </c>
      <c r="S129">
        <f ca="1"/>
        <v>0.62224100000000004</v>
      </c>
      <c r="T129">
        <f ca="1"/>
        <v>0.5</v>
      </c>
      <c r="U129">
        <f ca="1"/>
        <v>0</v>
      </c>
      <c r="V129">
        <f ca="1"/>
        <v>0</v>
      </c>
    </row>
    <row r="130" spans="1:22" x14ac:dyDescent="0.3">
      <c r="A130" t="str">
        <f ca="1"/>
        <v>129</v>
      </c>
      <c r="B130" t="str">
        <f ca="1"/>
        <v>Gicumbi_HS14_15</v>
      </c>
      <c r="C130">
        <f ca="1"/>
        <v>0.432334</v>
      </c>
      <c r="D130">
        <f ca="1"/>
        <v>0.33224500000000001</v>
      </c>
      <c r="E130">
        <f ca="1"/>
        <v>0</v>
      </c>
      <c r="F130">
        <f ca="1"/>
        <v>0.40075</v>
      </c>
      <c r="G130">
        <f ca="1"/>
        <v>1.3158E-2</v>
      </c>
      <c r="H130">
        <f ca="1"/>
        <v>0.58283499999999999</v>
      </c>
      <c r="I130">
        <f ca="1"/>
        <v>0</v>
      </c>
      <c r="J130">
        <f ca="1"/>
        <v>0</v>
      </c>
      <c r="K130">
        <f ca="1"/>
        <v>0</v>
      </c>
      <c r="L130">
        <f ca="1"/>
        <v>0</v>
      </c>
      <c r="M130">
        <f ca="1"/>
        <v>0.481711</v>
      </c>
      <c r="N130">
        <f ca="1"/>
        <v>0.50706300000000004</v>
      </c>
      <c r="O130">
        <f ca="1"/>
        <v>0.51</v>
      </c>
      <c r="P130">
        <f ca="1"/>
        <v>0</v>
      </c>
      <c r="Q130">
        <f ca="1"/>
        <v>0</v>
      </c>
      <c r="R130">
        <f ca="1"/>
        <v>0.49111199999999999</v>
      </c>
      <c r="S130">
        <f ca="1"/>
        <v>0.49825599999999998</v>
      </c>
      <c r="T130">
        <f ca="1"/>
        <v>0.5</v>
      </c>
      <c r="U130">
        <f ca="1"/>
        <v>0</v>
      </c>
      <c r="V130">
        <f ca="1"/>
        <v>0</v>
      </c>
    </row>
    <row r="131" spans="1:22" x14ac:dyDescent="0.3">
      <c r="A131" t="str">
        <f ca="1"/>
        <v>130</v>
      </c>
      <c r="B131" t="str">
        <f ca="1"/>
        <v>Gicumbi_HS15_15</v>
      </c>
      <c r="C131">
        <f ca="1"/>
        <v>0.42236499999999999</v>
      </c>
      <c r="D131">
        <f ca="1"/>
        <v>0</v>
      </c>
      <c r="E131">
        <f ca="1"/>
        <v>0</v>
      </c>
      <c r="F131">
        <f ca="1"/>
        <v>0.39459499999999997</v>
      </c>
      <c r="G131">
        <f ca="1"/>
        <v>0</v>
      </c>
      <c r="H131">
        <f ca="1"/>
        <v>0.45524100000000001</v>
      </c>
      <c r="I131">
        <f ca="1"/>
        <v>0</v>
      </c>
      <c r="J131">
        <f ca="1"/>
        <v>0</v>
      </c>
      <c r="K131">
        <f ca="1"/>
        <v>0</v>
      </c>
      <c r="L131">
        <f ca="1"/>
        <v>0</v>
      </c>
      <c r="M131">
        <f ca="1"/>
        <v>0.44594899999999998</v>
      </c>
      <c r="N131">
        <f ca="1"/>
        <v>0.55973899999999999</v>
      </c>
      <c r="O131">
        <f ca="1"/>
        <v>0.5</v>
      </c>
      <c r="P131">
        <f ca="1"/>
        <v>0</v>
      </c>
      <c r="Q131">
        <f ca="1"/>
        <v>0</v>
      </c>
      <c r="R131">
        <f ca="1"/>
        <v>0.44594899999999998</v>
      </c>
      <c r="S131">
        <f ca="1"/>
        <v>0.55973899999999999</v>
      </c>
      <c r="T131">
        <f ca="1"/>
        <v>0.5</v>
      </c>
      <c r="U131">
        <f ca="1"/>
        <v>0</v>
      </c>
      <c r="V131">
        <f ca="1"/>
        <v>0</v>
      </c>
    </row>
    <row r="132" spans="1:22" x14ac:dyDescent="0.3">
      <c r="A132" t="str">
        <f ca="1"/>
        <v>131</v>
      </c>
      <c r="B132" t="str">
        <f ca="1"/>
        <v>Gicumbi_HS16_15</v>
      </c>
      <c r="C132">
        <f ca="1"/>
        <v>0.71177000000000001</v>
      </c>
      <c r="D132">
        <f ca="1"/>
        <v>0</v>
      </c>
      <c r="E132">
        <f ca="1"/>
        <v>0</v>
      </c>
      <c r="F132">
        <f ca="1"/>
        <v>0.43186099999999999</v>
      </c>
      <c r="G132">
        <f ca="1"/>
        <v>0</v>
      </c>
      <c r="H132">
        <f ca="1"/>
        <v>0.82717399999999996</v>
      </c>
      <c r="I132">
        <f ca="1"/>
        <v>0</v>
      </c>
      <c r="J132">
        <f ca="1"/>
        <v>0</v>
      </c>
      <c r="K132">
        <f ca="1"/>
        <v>0</v>
      </c>
      <c r="L132">
        <f ca="1"/>
        <v>0</v>
      </c>
      <c r="M132">
        <f ca="1"/>
        <v>0.74563599999999997</v>
      </c>
      <c r="N132">
        <f ca="1"/>
        <v>0.60819800000000002</v>
      </c>
      <c r="O132">
        <f ca="1"/>
        <v>0.49</v>
      </c>
      <c r="P132">
        <f ca="1"/>
        <v>0.57295099999999999</v>
      </c>
      <c r="Q132">
        <f ca="1"/>
        <v>0</v>
      </c>
      <c r="R132">
        <f ca="1"/>
        <v>0.798821</v>
      </c>
      <c r="S132">
        <f ca="1"/>
        <v>0.60819800000000002</v>
      </c>
      <c r="T132">
        <f ca="1"/>
        <v>0.49</v>
      </c>
      <c r="U132">
        <f ca="1"/>
        <v>0.57295099999999999</v>
      </c>
      <c r="V132">
        <f ca="1"/>
        <v>0</v>
      </c>
    </row>
    <row r="133" spans="1:22" x14ac:dyDescent="0.3">
      <c r="A133" t="str">
        <f ca="1"/>
        <v>132</v>
      </c>
      <c r="B133" t="str">
        <f ca="1"/>
        <v>Gicumbi_HS17_15</v>
      </c>
      <c r="C133">
        <f ca="1"/>
        <v>0.23952799999999999</v>
      </c>
      <c r="D133">
        <f ca="1"/>
        <v>0</v>
      </c>
      <c r="E133">
        <f ca="1"/>
        <v>0</v>
      </c>
      <c r="F133">
        <f ca="1"/>
        <v>0.50794499999999998</v>
      </c>
      <c r="G133">
        <f ca="1"/>
        <v>0</v>
      </c>
      <c r="H133">
        <f ca="1"/>
        <v>0.27048299999999997</v>
      </c>
      <c r="I133">
        <f ca="1"/>
        <v>0</v>
      </c>
      <c r="J133">
        <f ca="1"/>
        <v>0</v>
      </c>
      <c r="K133">
        <f ca="1"/>
        <v>0</v>
      </c>
      <c r="L133">
        <f ca="1"/>
        <v>0</v>
      </c>
      <c r="M133">
        <f ca="1"/>
        <v>0.35328999999999999</v>
      </c>
      <c r="N133">
        <f ca="1"/>
        <v>0.57129200000000002</v>
      </c>
      <c r="O133">
        <f ca="1"/>
        <v>0.5</v>
      </c>
      <c r="P133">
        <f ca="1"/>
        <v>0</v>
      </c>
      <c r="Q133">
        <f ca="1"/>
        <v>0</v>
      </c>
      <c r="R133">
        <f ca="1"/>
        <v>0.35328999999999999</v>
      </c>
      <c r="S133">
        <f ca="1"/>
        <v>0.57129200000000002</v>
      </c>
      <c r="T133">
        <f ca="1"/>
        <v>0.5</v>
      </c>
      <c r="U133">
        <f ca="1"/>
        <v>0</v>
      </c>
      <c r="V133">
        <f ca="1"/>
        <v>0</v>
      </c>
    </row>
    <row r="134" spans="1:22" x14ac:dyDescent="0.3">
      <c r="A134" t="str">
        <f ca="1"/>
        <v>133</v>
      </c>
      <c r="B134" t="str">
        <f ca="1"/>
        <v>Gicumbi_HS18_15</v>
      </c>
      <c r="C134">
        <f ca="1"/>
        <v>0.46776299999999998</v>
      </c>
      <c r="D134">
        <f ca="1"/>
        <v>0</v>
      </c>
      <c r="E134">
        <f ca="1"/>
        <v>0</v>
      </c>
      <c r="F134">
        <f ca="1"/>
        <v>0.439446</v>
      </c>
      <c r="G134">
        <f ca="1"/>
        <v>0</v>
      </c>
      <c r="H134">
        <f ca="1"/>
        <v>0.56827499999999997</v>
      </c>
      <c r="I134">
        <f ca="1"/>
        <v>0</v>
      </c>
      <c r="J134">
        <f ca="1"/>
        <v>0</v>
      </c>
      <c r="K134">
        <f ca="1"/>
        <v>0</v>
      </c>
      <c r="L134">
        <f ca="1"/>
        <v>0</v>
      </c>
      <c r="M134">
        <f ca="1"/>
        <v>0.44125599999999998</v>
      </c>
      <c r="N134">
        <f ca="1"/>
        <v>0</v>
      </c>
      <c r="O134">
        <f ca="1"/>
        <v>0</v>
      </c>
      <c r="P134">
        <f ca="1"/>
        <v>0.98021599999999998</v>
      </c>
      <c r="Q134">
        <f ca="1"/>
        <v>0</v>
      </c>
      <c r="R134">
        <f ca="1"/>
        <v>0.49329800000000001</v>
      </c>
      <c r="S134">
        <f ca="1"/>
        <v>0</v>
      </c>
      <c r="T134">
        <f ca="1"/>
        <v>0</v>
      </c>
      <c r="U134">
        <f ca="1"/>
        <v>0.98021599999999998</v>
      </c>
      <c r="V134">
        <f ca="1"/>
        <v>0</v>
      </c>
    </row>
    <row r="135" spans="1:22" x14ac:dyDescent="0.3">
      <c r="A135" t="str">
        <f ca="1"/>
        <v>134</v>
      </c>
      <c r="B135" t="str">
        <f ca="1"/>
        <v>Gicumbi_HS19_15</v>
      </c>
      <c r="C135">
        <f ca="1"/>
        <v>0.45183699999999999</v>
      </c>
      <c r="D135">
        <f ca="1"/>
        <v>0</v>
      </c>
      <c r="E135">
        <f ca="1"/>
        <v>0</v>
      </c>
      <c r="F135">
        <f ca="1"/>
        <v>0.29763499999999998</v>
      </c>
      <c r="G135">
        <f ca="1"/>
        <v>0</v>
      </c>
      <c r="H135">
        <f ca="1"/>
        <v>0.51420500000000002</v>
      </c>
      <c r="I135">
        <f ca="1"/>
        <v>0</v>
      </c>
      <c r="J135">
        <f ca="1"/>
        <v>0</v>
      </c>
      <c r="K135">
        <f ca="1"/>
        <v>0</v>
      </c>
      <c r="L135">
        <f ca="1"/>
        <v>0</v>
      </c>
      <c r="M135">
        <f ca="1"/>
        <v>0.359346</v>
      </c>
      <c r="N135">
        <f ca="1"/>
        <v>0</v>
      </c>
      <c r="O135">
        <f ca="1"/>
        <v>0</v>
      </c>
      <c r="P135">
        <f ca="1"/>
        <v>0.99001300000000003</v>
      </c>
      <c r="Q135">
        <f ca="1"/>
        <v>0</v>
      </c>
      <c r="R135">
        <f ca="1"/>
        <v>0.41722700000000001</v>
      </c>
      <c r="S135">
        <f ca="1"/>
        <v>0</v>
      </c>
      <c r="T135">
        <f ca="1"/>
        <v>0</v>
      </c>
      <c r="U135">
        <f ca="1"/>
        <v>0.99001300000000003</v>
      </c>
      <c r="V135">
        <f ca="1"/>
        <v>0</v>
      </c>
    </row>
    <row r="136" spans="1:22" x14ac:dyDescent="0.3">
      <c r="A136" t="str">
        <f ca="1"/>
        <v>135</v>
      </c>
      <c r="B136" t="str">
        <f ca="1"/>
        <v>Gicumbi_HS1_15</v>
      </c>
      <c r="C136">
        <f ca="1"/>
        <v>0.95300799999999997</v>
      </c>
      <c r="D136">
        <f ca="1"/>
        <v>0.33813700000000002</v>
      </c>
      <c r="E136">
        <f ca="1"/>
        <v>0.01</v>
      </c>
      <c r="F136">
        <f ca="1"/>
        <v>0.56614500000000001</v>
      </c>
      <c r="G136">
        <f ca="1"/>
        <v>0</v>
      </c>
      <c r="H136">
        <f ca="1"/>
        <v>1.4184950000000001</v>
      </c>
      <c r="I136">
        <f ca="1"/>
        <v>0</v>
      </c>
      <c r="J136">
        <f ca="1"/>
        <v>0</v>
      </c>
      <c r="K136">
        <f ca="1"/>
        <v>0</v>
      </c>
      <c r="L136">
        <f ca="1"/>
        <v>0</v>
      </c>
      <c r="M136">
        <f ca="1"/>
        <v>0.87361800000000001</v>
      </c>
      <c r="N136">
        <f ca="1"/>
        <v>0</v>
      </c>
      <c r="O136">
        <f ca="1"/>
        <v>0</v>
      </c>
      <c r="P136">
        <f ca="1"/>
        <v>0.98457799999999995</v>
      </c>
      <c r="Q136">
        <f ca="1"/>
        <v>0</v>
      </c>
      <c r="R136">
        <f ca="1"/>
        <v>1.0462579999999999</v>
      </c>
      <c r="S136">
        <f ca="1"/>
        <v>0</v>
      </c>
      <c r="T136">
        <f ca="1"/>
        <v>0</v>
      </c>
      <c r="U136">
        <f ca="1"/>
        <v>0.98457799999999995</v>
      </c>
      <c r="V136">
        <f ca="1"/>
        <v>0</v>
      </c>
    </row>
    <row r="137" spans="1:22" x14ac:dyDescent="0.3">
      <c r="A137" t="str">
        <f ca="1"/>
        <v>136</v>
      </c>
      <c r="B137" t="str">
        <f ca="1"/>
        <v>Gicumbi_HS20_15</v>
      </c>
      <c r="C137">
        <f ca="1"/>
        <v>0.118175</v>
      </c>
      <c r="D137">
        <f ca="1"/>
        <v>0</v>
      </c>
      <c r="E137">
        <f ca="1"/>
        <v>0</v>
      </c>
      <c r="F137">
        <f ca="1"/>
        <v>0.29931999999999997</v>
      </c>
      <c r="G137">
        <f ca="1"/>
        <v>0</v>
      </c>
      <c r="H137">
        <f ca="1"/>
        <v>0.122116</v>
      </c>
      <c r="I137">
        <f ca="1"/>
        <v>0</v>
      </c>
      <c r="J137">
        <f ca="1"/>
        <v>0</v>
      </c>
      <c r="K137">
        <f ca="1"/>
        <v>0</v>
      </c>
      <c r="L137">
        <f ca="1"/>
        <v>0</v>
      </c>
      <c r="M137">
        <f ca="1"/>
        <v>0.202181</v>
      </c>
      <c r="N137">
        <f ca="1"/>
        <v>0.601047</v>
      </c>
      <c r="O137">
        <f ca="1"/>
        <v>0.5</v>
      </c>
      <c r="P137">
        <f ca="1"/>
        <v>0</v>
      </c>
      <c r="Q137">
        <f ca="1"/>
        <v>0</v>
      </c>
      <c r="R137">
        <f ca="1"/>
        <v>0.202181</v>
      </c>
      <c r="S137">
        <f ca="1"/>
        <v>0.601047</v>
      </c>
      <c r="T137">
        <f ca="1"/>
        <v>0.5</v>
      </c>
      <c r="U137">
        <f ca="1"/>
        <v>0</v>
      </c>
      <c r="V137">
        <f ca="1"/>
        <v>0</v>
      </c>
    </row>
    <row r="138" spans="1:22" x14ac:dyDescent="0.3">
      <c r="A138" t="str">
        <f ca="1"/>
        <v>137</v>
      </c>
      <c r="B138" t="str">
        <f ca="1"/>
        <v>Gicumbi_HS21_15</v>
      </c>
      <c r="C138">
        <f ca="1"/>
        <v>0.123582</v>
      </c>
      <c r="D138">
        <f ca="1"/>
        <v>0</v>
      </c>
      <c r="E138">
        <f ca="1"/>
        <v>0</v>
      </c>
      <c r="F138">
        <f ca="1"/>
        <v>0.64105800000000002</v>
      </c>
      <c r="G138">
        <f ca="1"/>
        <v>0</v>
      </c>
      <c r="H138">
        <f ca="1"/>
        <v>0.15520500000000001</v>
      </c>
      <c r="I138">
        <f ca="1"/>
        <v>0</v>
      </c>
      <c r="J138">
        <f ca="1"/>
        <v>0</v>
      </c>
      <c r="K138">
        <f ca="1"/>
        <v>0</v>
      </c>
      <c r="L138">
        <f ca="1"/>
        <v>0</v>
      </c>
      <c r="M138">
        <f ca="1"/>
        <v>0.99802100000000005</v>
      </c>
      <c r="N138">
        <f ca="1"/>
        <v>0</v>
      </c>
      <c r="O138">
        <f ca="1"/>
        <v>0</v>
      </c>
      <c r="P138">
        <f ca="1"/>
        <v>0</v>
      </c>
      <c r="Q138">
        <f ca="1"/>
        <v>0</v>
      </c>
      <c r="R138">
        <f ca="1"/>
        <v>0.99802100000000005</v>
      </c>
      <c r="S138">
        <f ca="1"/>
        <v>0</v>
      </c>
      <c r="T138">
        <f ca="1"/>
        <v>0</v>
      </c>
      <c r="U138">
        <f ca="1"/>
        <v>0</v>
      </c>
      <c r="V138">
        <f ca="1"/>
        <v>0</v>
      </c>
    </row>
    <row r="139" spans="1:22" x14ac:dyDescent="0.3">
      <c r="A139" t="str">
        <f ca="1"/>
        <v>138</v>
      </c>
      <c r="B139" t="str">
        <f ca="1"/>
        <v>Gicumbi_HS22_15</v>
      </c>
      <c r="C139">
        <f ca="1"/>
        <v>0.33418300000000001</v>
      </c>
      <c r="D139">
        <f ca="1"/>
        <v>0</v>
      </c>
      <c r="E139">
        <f ca="1"/>
        <v>0</v>
      </c>
      <c r="F139">
        <f ca="1"/>
        <v>0.43108299999999999</v>
      </c>
      <c r="G139">
        <f ca="1"/>
        <v>0</v>
      </c>
      <c r="H139">
        <f ca="1"/>
        <v>0.34090500000000001</v>
      </c>
      <c r="I139">
        <f ca="1"/>
        <v>1.754135</v>
      </c>
      <c r="J139">
        <f ca="1"/>
        <v>0.03</v>
      </c>
      <c r="K139">
        <f ca="1"/>
        <v>0</v>
      </c>
      <c r="L139">
        <f ca="1"/>
        <v>0</v>
      </c>
      <c r="M139">
        <f ca="1"/>
        <v>0.47218599999999999</v>
      </c>
      <c r="N139">
        <f ca="1"/>
        <v>0.48425200000000002</v>
      </c>
      <c r="O139">
        <f ca="1"/>
        <v>0.505992</v>
      </c>
      <c r="P139">
        <f ca="1"/>
        <v>0</v>
      </c>
      <c r="Q139">
        <f ca="1"/>
        <v>0</v>
      </c>
      <c r="R139">
        <f ca="1"/>
        <v>0.47218599999999999</v>
      </c>
      <c r="S139">
        <f ca="1"/>
        <v>0.48425200000000002</v>
      </c>
      <c r="T139">
        <f ca="1"/>
        <v>0.505992</v>
      </c>
      <c r="U139">
        <f ca="1"/>
        <v>0</v>
      </c>
      <c r="V139">
        <f ca="1"/>
        <v>0</v>
      </c>
    </row>
    <row r="140" spans="1:22" x14ac:dyDescent="0.3">
      <c r="A140" t="str">
        <f ca="1"/>
        <v>139</v>
      </c>
      <c r="B140" t="str">
        <f ca="1"/>
        <v>Gicumbi_HS2_15</v>
      </c>
      <c r="C140">
        <f ca="1"/>
        <v>0.73601899999999998</v>
      </c>
      <c r="D140">
        <f ca="1"/>
        <v>0</v>
      </c>
      <c r="E140">
        <f ca="1"/>
        <v>0</v>
      </c>
      <c r="F140">
        <f ca="1"/>
        <v>0.407974</v>
      </c>
      <c r="G140">
        <f ca="1"/>
        <v>0</v>
      </c>
      <c r="H140">
        <f ca="1"/>
        <v>1.0081560000000001</v>
      </c>
      <c r="I140">
        <f ca="1"/>
        <v>0</v>
      </c>
      <c r="J140">
        <f ca="1"/>
        <v>0</v>
      </c>
      <c r="K140">
        <f ca="1"/>
        <v>0</v>
      </c>
      <c r="L140">
        <f ca="1"/>
        <v>0</v>
      </c>
      <c r="M140">
        <f ca="1"/>
        <v>0.44567699999999999</v>
      </c>
      <c r="N140">
        <f ca="1"/>
        <v>0</v>
      </c>
      <c r="O140">
        <f ca="1"/>
        <v>0</v>
      </c>
      <c r="P140">
        <f ca="1"/>
        <v>0.99949900000000003</v>
      </c>
      <c r="Q140">
        <f ca="1"/>
        <v>0</v>
      </c>
      <c r="R140">
        <f ca="1"/>
        <v>0.53656300000000001</v>
      </c>
      <c r="S140">
        <f ca="1"/>
        <v>0</v>
      </c>
      <c r="T140">
        <f ca="1"/>
        <v>0</v>
      </c>
      <c r="U140">
        <f ca="1"/>
        <v>0.99949900000000003</v>
      </c>
      <c r="V140">
        <f ca="1"/>
        <v>0</v>
      </c>
    </row>
    <row r="141" spans="1:22" x14ac:dyDescent="0.3">
      <c r="A141" t="str">
        <f ca="1"/>
        <v>140</v>
      </c>
      <c r="B141" t="str">
        <f ca="1"/>
        <v>Gicumbi_HS3_15</v>
      </c>
      <c r="C141">
        <f ca="1"/>
        <v>0.67323599999999995</v>
      </c>
      <c r="D141">
        <f ca="1"/>
        <v>0.90975300000000003</v>
      </c>
      <c r="E141">
        <f ca="1"/>
        <v>0</v>
      </c>
      <c r="F141">
        <f ca="1"/>
        <v>0.22029199999999999</v>
      </c>
      <c r="G141">
        <f ca="1"/>
        <v>0</v>
      </c>
      <c r="H141">
        <f ca="1"/>
        <v>0.78124099999999996</v>
      </c>
      <c r="I141">
        <f ca="1"/>
        <v>0</v>
      </c>
      <c r="J141">
        <f ca="1"/>
        <v>0</v>
      </c>
      <c r="K141">
        <f ca="1"/>
        <v>0</v>
      </c>
      <c r="L141">
        <f ca="1"/>
        <v>0</v>
      </c>
      <c r="M141">
        <f ca="1"/>
        <v>0.44626500000000002</v>
      </c>
      <c r="N141">
        <f ca="1"/>
        <v>0</v>
      </c>
      <c r="O141">
        <f ca="1"/>
        <v>0</v>
      </c>
      <c r="P141">
        <f ca="1"/>
        <v>0.96775999999999995</v>
      </c>
      <c r="Q141">
        <f ca="1"/>
        <v>0</v>
      </c>
      <c r="R141">
        <f ca="1"/>
        <v>0.505579</v>
      </c>
      <c r="S141">
        <f ca="1"/>
        <v>0</v>
      </c>
      <c r="T141">
        <f ca="1"/>
        <v>0</v>
      </c>
      <c r="U141">
        <f ca="1"/>
        <v>0.96775999999999995</v>
      </c>
      <c r="V141">
        <f ca="1"/>
        <v>0</v>
      </c>
    </row>
    <row r="142" spans="1:22" x14ac:dyDescent="0.3">
      <c r="A142" t="str">
        <f ca="1"/>
        <v>141</v>
      </c>
      <c r="B142" t="str">
        <f ca="1"/>
        <v>Gicumbi_HS4_15</v>
      </c>
      <c r="C142">
        <f ca="1"/>
        <v>0.51054200000000005</v>
      </c>
      <c r="D142">
        <f ca="1"/>
        <v>0</v>
      </c>
      <c r="E142">
        <f ca="1"/>
        <v>0</v>
      </c>
      <c r="F142">
        <f ca="1"/>
        <v>0.37997199999999998</v>
      </c>
      <c r="G142">
        <f ca="1"/>
        <v>0</v>
      </c>
      <c r="H142">
        <f ca="1"/>
        <v>0.67205099999999995</v>
      </c>
      <c r="I142">
        <f ca="1"/>
        <v>0</v>
      </c>
      <c r="J142">
        <f ca="1"/>
        <v>0</v>
      </c>
      <c r="K142">
        <f ca="1"/>
        <v>0</v>
      </c>
      <c r="L142">
        <f ca="1"/>
        <v>0</v>
      </c>
      <c r="M142">
        <f ca="1"/>
        <v>0.25643100000000002</v>
      </c>
      <c r="N142">
        <f ca="1"/>
        <v>0</v>
      </c>
      <c r="O142">
        <f ca="1"/>
        <v>0</v>
      </c>
      <c r="P142">
        <f ca="1"/>
        <v>0.97950400000000004</v>
      </c>
      <c r="Q142">
        <f ca="1"/>
        <v>0</v>
      </c>
      <c r="R142">
        <f ca="1"/>
        <v>0.27557700000000002</v>
      </c>
      <c r="S142">
        <f ca="1"/>
        <v>0</v>
      </c>
      <c r="T142">
        <f ca="1"/>
        <v>0</v>
      </c>
      <c r="U142">
        <f ca="1"/>
        <v>0.97950400000000004</v>
      </c>
      <c r="V142">
        <f ca="1"/>
        <v>0</v>
      </c>
    </row>
    <row r="143" spans="1:22" x14ac:dyDescent="0.3">
      <c r="A143" t="str">
        <f ca="1"/>
        <v>142</v>
      </c>
      <c r="B143" t="str">
        <f ca="1"/>
        <v>Gicumbi_HS5_15</v>
      </c>
      <c r="C143">
        <f ca="1"/>
        <v>0.31701400000000002</v>
      </c>
      <c r="D143">
        <f ca="1"/>
        <v>0</v>
      </c>
      <c r="E143">
        <f ca="1"/>
        <v>0</v>
      </c>
      <c r="F143">
        <f ca="1"/>
        <v>0.598051</v>
      </c>
      <c r="G143">
        <f ca="1"/>
        <v>0</v>
      </c>
      <c r="H143">
        <f ca="1"/>
        <v>0.45926099999999997</v>
      </c>
      <c r="I143">
        <f ca="1"/>
        <v>0</v>
      </c>
      <c r="J143">
        <f ca="1"/>
        <v>0</v>
      </c>
      <c r="K143">
        <f ca="1"/>
        <v>0</v>
      </c>
      <c r="L143">
        <f ca="1"/>
        <v>0</v>
      </c>
      <c r="M143">
        <f ca="1"/>
        <v>0.38406099999999999</v>
      </c>
      <c r="N143">
        <f ca="1"/>
        <v>0.53319099999999997</v>
      </c>
      <c r="O143">
        <f ca="1"/>
        <v>0.55000000000000004</v>
      </c>
      <c r="P143">
        <f ca="1"/>
        <v>0</v>
      </c>
      <c r="Q143">
        <f ca="1"/>
        <v>0</v>
      </c>
      <c r="R143">
        <f ca="1"/>
        <v>0.38406099999999999</v>
      </c>
      <c r="S143">
        <f ca="1"/>
        <v>0.53319099999999997</v>
      </c>
      <c r="T143">
        <f ca="1"/>
        <v>0.55000000000000004</v>
      </c>
      <c r="U143">
        <f ca="1"/>
        <v>0</v>
      </c>
      <c r="V143">
        <f ca="1"/>
        <v>0</v>
      </c>
    </row>
    <row r="144" spans="1:22" x14ac:dyDescent="0.3">
      <c r="A144" t="str">
        <f ca="1"/>
        <v>143</v>
      </c>
      <c r="B144" t="str">
        <f ca="1"/>
        <v>Gicumbi_HS6_15</v>
      </c>
      <c r="C144">
        <f ca="1"/>
        <v>0.57883200000000001</v>
      </c>
      <c r="D144">
        <f ca="1"/>
        <v>0</v>
      </c>
      <c r="E144">
        <f ca="1"/>
        <v>0</v>
      </c>
      <c r="F144">
        <f ca="1"/>
        <v>0.18168799999999999</v>
      </c>
      <c r="G144">
        <f ca="1"/>
        <v>0</v>
      </c>
      <c r="H144">
        <f ca="1"/>
        <v>0.67667600000000006</v>
      </c>
      <c r="I144">
        <f ca="1"/>
        <v>0</v>
      </c>
      <c r="J144">
        <f ca="1"/>
        <v>0</v>
      </c>
      <c r="K144">
        <f ca="1"/>
        <v>0</v>
      </c>
      <c r="L144">
        <f ca="1"/>
        <v>0</v>
      </c>
      <c r="M144">
        <f ca="1"/>
        <v>0.32760299999999998</v>
      </c>
      <c r="N144">
        <f ca="1"/>
        <v>0</v>
      </c>
      <c r="O144">
        <f ca="1"/>
        <v>0</v>
      </c>
      <c r="P144">
        <f ca="1"/>
        <v>0.99403900000000001</v>
      </c>
      <c r="Q144">
        <f ca="1"/>
        <v>0</v>
      </c>
      <c r="R144">
        <f ca="1"/>
        <v>0.38452500000000001</v>
      </c>
      <c r="S144">
        <f ca="1"/>
        <v>0</v>
      </c>
      <c r="T144">
        <f ca="1"/>
        <v>0</v>
      </c>
      <c r="U144">
        <f ca="1"/>
        <v>0.99403900000000001</v>
      </c>
      <c r="V144">
        <f ca="1"/>
        <v>0</v>
      </c>
    </row>
    <row r="145" spans="1:22" x14ac:dyDescent="0.3">
      <c r="A145" t="str">
        <f ca="1"/>
        <v>144</v>
      </c>
      <c r="B145" t="str">
        <f ca="1"/>
        <v>Gicumbi_HS7_15</v>
      </c>
      <c r="C145">
        <f ca="1"/>
        <v>0.53768700000000003</v>
      </c>
      <c r="D145">
        <f ca="1"/>
        <v>0</v>
      </c>
      <c r="E145">
        <f ca="1"/>
        <v>0</v>
      </c>
      <c r="F145">
        <f ca="1"/>
        <v>0.47017799999999998</v>
      </c>
      <c r="G145">
        <f ca="1"/>
        <v>0</v>
      </c>
      <c r="H145">
        <f ca="1"/>
        <v>0.62085599999999996</v>
      </c>
      <c r="I145">
        <f ca="1"/>
        <v>0</v>
      </c>
      <c r="J145">
        <f ca="1"/>
        <v>0</v>
      </c>
      <c r="K145">
        <f ca="1"/>
        <v>0.32020799999999999</v>
      </c>
      <c r="L145">
        <f ca="1"/>
        <v>0</v>
      </c>
      <c r="M145">
        <f ca="1"/>
        <v>0.42809399999999997</v>
      </c>
      <c r="N145">
        <f ca="1"/>
        <v>0</v>
      </c>
      <c r="O145">
        <f ca="1"/>
        <v>0</v>
      </c>
      <c r="P145">
        <f ca="1"/>
        <v>0.97749200000000003</v>
      </c>
      <c r="Q145">
        <f ca="1"/>
        <v>0</v>
      </c>
      <c r="R145">
        <f ca="1"/>
        <v>0.48153299999999999</v>
      </c>
      <c r="S145">
        <f ca="1"/>
        <v>0</v>
      </c>
      <c r="T145">
        <f ca="1"/>
        <v>0</v>
      </c>
      <c r="U145">
        <f ca="1"/>
        <v>0.97749200000000003</v>
      </c>
      <c r="V145">
        <f ca="1"/>
        <v>0</v>
      </c>
    </row>
    <row r="146" spans="1:22" x14ac:dyDescent="0.3">
      <c r="A146" t="str">
        <f ca="1"/>
        <v>145</v>
      </c>
      <c r="B146" t="str">
        <f ca="1"/>
        <v>Gicumbi_HS8_15</v>
      </c>
      <c r="C146">
        <f ca="1"/>
        <v>0.55626500000000001</v>
      </c>
      <c r="D146">
        <f ca="1"/>
        <v>0.332928</v>
      </c>
      <c r="E146">
        <f ca="1"/>
        <v>0</v>
      </c>
      <c r="F146">
        <f ca="1"/>
        <v>0.39694099999999999</v>
      </c>
      <c r="G146">
        <f ca="1"/>
        <v>0</v>
      </c>
      <c r="H146">
        <f ca="1"/>
        <v>0.68983799999999995</v>
      </c>
      <c r="I146">
        <f ca="1"/>
        <v>0</v>
      </c>
      <c r="J146">
        <f ca="1"/>
        <v>0</v>
      </c>
      <c r="K146">
        <f ca="1"/>
        <v>0</v>
      </c>
      <c r="L146">
        <f ca="1"/>
        <v>0</v>
      </c>
      <c r="M146">
        <f ca="1"/>
        <v>0.39708500000000002</v>
      </c>
      <c r="N146">
        <f ca="1"/>
        <v>0</v>
      </c>
      <c r="O146">
        <f ca="1"/>
        <v>0</v>
      </c>
      <c r="P146">
        <f ca="1"/>
        <v>0.99506399999999995</v>
      </c>
      <c r="Q146">
        <f ca="1"/>
        <v>0</v>
      </c>
      <c r="R146">
        <f ca="1"/>
        <v>0.44041999999999998</v>
      </c>
      <c r="S146">
        <f ca="1"/>
        <v>0</v>
      </c>
      <c r="T146">
        <f ca="1"/>
        <v>0</v>
      </c>
      <c r="U146">
        <f ca="1"/>
        <v>0.99506399999999995</v>
      </c>
      <c r="V146">
        <f ca="1"/>
        <v>0</v>
      </c>
    </row>
    <row r="147" spans="1:22" x14ac:dyDescent="0.3">
      <c r="A147" t="str">
        <f ca="1"/>
        <v>146</v>
      </c>
      <c r="B147" t="str">
        <f ca="1"/>
        <v>Gicumbi_HS9_15</v>
      </c>
      <c r="C147">
        <f ca="1"/>
        <v>0.48120000000000002</v>
      </c>
      <c r="D147">
        <f ca="1"/>
        <v>0</v>
      </c>
      <c r="E147">
        <f ca="1"/>
        <v>0</v>
      </c>
      <c r="F147">
        <f ca="1"/>
        <v>0.287578</v>
      </c>
      <c r="G147">
        <f ca="1"/>
        <v>0</v>
      </c>
      <c r="H147">
        <f ca="1"/>
        <v>0.60256500000000002</v>
      </c>
      <c r="I147">
        <f ca="1"/>
        <v>0</v>
      </c>
      <c r="J147">
        <f ca="1"/>
        <v>0</v>
      </c>
      <c r="K147">
        <f ca="1"/>
        <v>0</v>
      </c>
      <c r="L147">
        <f ca="1"/>
        <v>0</v>
      </c>
      <c r="M147">
        <f ca="1"/>
        <v>0.41568300000000002</v>
      </c>
      <c r="N147">
        <f ca="1"/>
        <v>0</v>
      </c>
      <c r="O147">
        <f ca="1"/>
        <v>0</v>
      </c>
      <c r="P147">
        <f ca="1"/>
        <v>0.988205</v>
      </c>
      <c r="Q147">
        <f ca="1"/>
        <v>0</v>
      </c>
      <c r="R147">
        <f ca="1"/>
        <v>0.48360300000000001</v>
      </c>
      <c r="S147">
        <f ca="1"/>
        <v>0</v>
      </c>
      <c r="T147">
        <f ca="1"/>
        <v>0</v>
      </c>
      <c r="U147">
        <f ca="1"/>
        <v>0.988205</v>
      </c>
      <c r="V147">
        <f ca="1"/>
        <v>0</v>
      </c>
    </row>
    <row r="148" spans="1:22" x14ac:dyDescent="0.3">
      <c r="A148" t="str">
        <f ca="1"/>
        <v>147</v>
      </c>
      <c r="B148" t="str">
        <f ca="1"/>
        <v>Gicumbi_SS_15</v>
      </c>
      <c r="C148">
        <f ca="1"/>
        <v>1.4951220000000001</v>
      </c>
      <c r="D148">
        <f ca="1"/>
        <v>0.432315</v>
      </c>
      <c r="E148">
        <f ca="1"/>
        <v>5.4590000000000003E-3</v>
      </c>
      <c r="F148">
        <f ca="1"/>
        <v>0.74965800000000005</v>
      </c>
      <c r="G148">
        <f ca="1"/>
        <v>0.308753</v>
      </c>
      <c r="H148">
        <f ca="1"/>
        <v>0.58238900000000005</v>
      </c>
      <c r="I148">
        <f ca="1"/>
        <v>0</v>
      </c>
      <c r="J148">
        <f ca="1"/>
        <v>0</v>
      </c>
      <c r="K148">
        <f ca="1"/>
        <v>0.99543300000000001</v>
      </c>
      <c r="L148">
        <f ca="1"/>
        <v>0.10798199999999999</v>
      </c>
      <c r="M148">
        <f ca="1"/>
        <v>0.89115699999999998</v>
      </c>
      <c r="N148">
        <f ca="1"/>
        <v>0</v>
      </c>
      <c r="O148">
        <f ca="1"/>
        <v>0</v>
      </c>
      <c r="P148">
        <f ca="1"/>
        <v>0.98784300000000003</v>
      </c>
      <c r="Q148">
        <f ca="1"/>
        <v>0.30769200000000002</v>
      </c>
      <c r="R148">
        <f ca="1"/>
        <v>1.121623</v>
      </c>
      <c r="S148">
        <f ca="1"/>
        <v>0</v>
      </c>
      <c r="T148">
        <f ca="1"/>
        <v>0</v>
      </c>
      <c r="U148">
        <f ca="1"/>
        <v>0.98749200000000004</v>
      </c>
      <c r="V148">
        <f ca="1"/>
        <v>0.160577</v>
      </c>
    </row>
    <row r="149" spans="1:22" x14ac:dyDescent="0.3">
      <c r="A149" t="str">
        <f ca="1"/>
        <v>148</v>
      </c>
      <c r="B149" t="str">
        <f ca="1"/>
        <v>Gifurwe_15</v>
      </c>
      <c r="C149">
        <f ca="1"/>
        <v>0.40355999999999997</v>
      </c>
      <c r="D149">
        <f ca="1"/>
        <v>0</v>
      </c>
      <c r="E149">
        <f ca="1"/>
        <v>0</v>
      </c>
      <c r="F149">
        <f ca="1"/>
        <v>0.48660599999999998</v>
      </c>
      <c r="G149">
        <f ca="1"/>
        <v>0</v>
      </c>
      <c r="H149">
        <f ca="1"/>
        <v>0.65129000000000004</v>
      </c>
      <c r="I149">
        <f ca="1"/>
        <v>0</v>
      </c>
      <c r="J149">
        <f ca="1"/>
        <v>0</v>
      </c>
      <c r="K149">
        <f ca="1"/>
        <v>0</v>
      </c>
      <c r="L149">
        <f ca="1"/>
        <v>0</v>
      </c>
      <c r="M149">
        <f ca="1"/>
        <v>0.41071000000000002</v>
      </c>
      <c r="N149">
        <f ca="1"/>
        <v>0</v>
      </c>
      <c r="O149">
        <f ca="1"/>
        <v>0</v>
      </c>
      <c r="P149">
        <f ca="1"/>
        <v>0.99457899999999999</v>
      </c>
      <c r="Q149">
        <f ca="1"/>
        <v>0.23508699999999999</v>
      </c>
      <c r="R149">
        <f ca="1"/>
        <v>0.50857399999999997</v>
      </c>
      <c r="S149">
        <f ca="1"/>
        <v>0</v>
      </c>
      <c r="T149">
        <f ca="1"/>
        <v>0</v>
      </c>
      <c r="U149">
        <f ca="1"/>
        <v>0.98840799999999995</v>
      </c>
      <c r="V149">
        <f ca="1"/>
        <v>3.6035999999999999E-2</v>
      </c>
    </row>
    <row r="150" spans="1:22" x14ac:dyDescent="0.3">
      <c r="A150" t="str">
        <f ca="1"/>
        <v>149</v>
      </c>
      <c r="B150" t="str">
        <f ca="1"/>
        <v>Gikondo_15</v>
      </c>
      <c r="C150">
        <f ca="1"/>
        <v>0.45938099999999998</v>
      </c>
      <c r="D150">
        <f ca="1"/>
        <v>0.48791400000000001</v>
      </c>
      <c r="E150">
        <f ca="1"/>
        <v>2.0771000000000001E-2</v>
      </c>
      <c r="F150">
        <f ca="1"/>
        <v>0.71715799999999996</v>
      </c>
      <c r="G150">
        <f ca="1"/>
        <v>1</v>
      </c>
      <c r="H150">
        <f ca="1"/>
        <v>0.14405499999999999</v>
      </c>
      <c r="I150">
        <f ca="1"/>
        <v>0</v>
      </c>
      <c r="J150">
        <f ca="1"/>
        <v>0</v>
      </c>
      <c r="K150">
        <f ca="1"/>
        <v>1</v>
      </c>
      <c r="L150">
        <f ca="1"/>
        <v>1</v>
      </c>
      <c r="M150">
        <f ca="1"/>
        <v>0.11312800000000001</v>
      </c>
      <c r="N150">
        <f ca="1"/>
        <v>0</v>
      </c>
      <c r="O150">
        <f ca="1"/>
        <v>0</v>
      </c>
      <c r="P150">
        <f ca="1"/>
        <v>1</v>
      </c>
      <c r="Q150">
        <f ca="1"/>
        <v>1</v>
      </c>
      <c r="R150">
        <f ca="1"/>
        <v>0.188445</v>
      </c>
      <c r="S150">
        <f ca="1"/>
        <v>0</v>
      </c>
      <c r="T150">
        <f ca="1"/>
        <v>0</v>
      </c>
      <c r="U150">
        <f ca="1"/>
        <v>1</v>
      </c>
      <c r="V150">
        <f ca="1"/>
        <v>1</v>
      </c>
    </row>
    <row r="151" spans="1:22" x14ac:dyDescent="0.3">
      <c r="A151" t="str">
        <f ca="1"/>
        <v>150</v>
      </c>
      <c r="B151" t="str">
        <f ca="1"/>
        <v>Gisagara_15</v>
      </c>
      <c r="C151">
        <f ca="1"/>
        <v>0.82728599999999997</v>
      </c>
      <c r="D151">
        <f ca="1"/>
        <v>0</v>
      </c>
      <c r="E151">
        <f ca="1"/>
        <v>0</v>
      </c>
      <c r="F151">
        <f ca="1"/>
        <v>0.33322400000000002</v>
      </c>
      <c r="G151">
        <f ca="1"/>
        <v>0</v>
      </c>
      <c r="H151">
        <f ca="1"/>
        <v>1.093386</v>
      </c>
      <c r="I151">
        <f ca="1"/>
        <v>0</v>
      </c>
      <c r="J151">
        <f ca="1"/>
        <v>0</v>
      </c>
      <c r="K151">
        <f ca="1"/>
        <v>0</v>
      </c>
      <c r="L151">
        <f ca="1"/>
        <v>0</v>
      </c>
      <c r="M151">
        <f ca="1"/>
        <v>0.67953699999999995</v>
      </c>
      <c r="N151">
        <f ca="1"/>
        <v>0</v>
      </c>
      <c r="O151">
        <f ca="1"/>
        <v>0</v>
      </c>
      <c r="P151">
        <f ca="1"/>
        <v>0.992676</v>
      </c>
      <c r="Q151">
        <f ca="1"/>
        <v>0</v>
      </c>
      <c r="R151">
        <f ca="1"/>
        <v>0.81887500000000002</v>
      </c>
      <c r="S151">
        <f ca="1"/>
        <v>0</v>
      </c>
      <c r="T151">
        <f ca="1"/>
        <v>0</v>
      </c>
      <c r="U151">
        <f ca="1"/>
        <v>0.992676</v>
      </c>
      <c r="V151">
        <f ca="1"/>
        <v>0</v>
      </c>
    </row>
    <row r="152" spans="1:22" x14ac:dyDescent="0.3">
      <c r="A152" t="str">
        <f ca="1"/>
        <v>151</v>
      </c>
      <c r="B152" t="str">
        <f ca="1"/>
        <v>Gisagara_HS0_15</v>
      </c>
      <c r="C152">
        <f ca="1"/>
        <v>1.0101500000000001</v>
      </c>
      <c r="D152">
        <f ca="1"/>
        <v>0</v>
      </c>
      <c r="E152">
        <f ca="1"/>
        <v>0</v>
      </c>
      <c r="F152">
        <f ca="1"/>
        <v>0.32961499999999999</v>
      </c>
      <c r="G152">
        <f ca="1"/>
        <v>0</v>
      </c>
      <c r="H152">
        <f ca="1"/>
        <v>1.313229</v>
      </c>
      <c r="I152">
        <f ca="1"/>
        <v>0</v>
      </c>
      <c r="J152">
        <f ca="1"/>
        <v>0</v>
      </c>
      <c r="K152">
        <f ca="1"/>
        <v>0</v>
      </c>
      <c r="L152">
        <f ca="1"/>
        <v>0</v>
      </c>
      <c r="M152">
        <f ca="1"/>
        <v>0.98456100000000002</v>
      </c>
      <c r="N152">
        <f ca="1"/>
        <v>0.41854000000000002</v>
      </c>
      <c r="O152">
        <f ca="1"/>
        <v>0.54</v>
      </c>
      <c r="P152">
        <f ca="1"/>
        <v>0.632942</v>
      </c>
      <c r="Q152">
        <f ca="1"/>
        <v>0</v>
      </c>
      <c r="R152">
        <f ca="1"/>
        <v>1.1468320000000001</v>
      </c>
      <c r="S152">
        <f ca="1"/>
        <v>0.41854000000000002</v>
      </c>
      <c r="T152">
        <f ca="1"/>
        <v>0.54</v>
      </c>
      <c r="U152">
        <f ca="1"/>
        <v>0.632942</v>
      </c>
      <c r="V152">
        <f ca="1"/>
        <v>0</v>
      </c>
    </row>
    <row r="153" spans="1:22" x14ac:dyDescent="0.3">
      <c r="A153" t="str">
        <f ca="1"/>
        <v>152</v>
      </c>
      <c r="B153" t="str">
        <f ca="1"/>
        <v>Gisagara_HS10_15</v>
      </c>
      <c r="C153">
        <f ca="1"/>
        <v>0.77068499999999995</v>
      </c>
      <c r="D153">
        <f ca="1"/>
        <v>0</v>
      </c>
      <c r="E153">
        <f ca="1"/>
        <v>0</v>
      </c>
      <c r="F153">
        <f ca="1"/>
        <v>6.1739999999999998E-3</v>
      </c>
      <c r="G153">
        <f ca="1"/>
        <v>0</v>
      </c>
      <c r="H153">
        <f ca="1"/>
        <v>0.76315100000000002</v>
      </c>
      <c r="I153">
        <f ca="1"/>
        <v>0</v>
      </c>
      <c r="J153">
        <f ca="1"/>
        <v>0</v>
      </c>
      <c r="K153">
        <f ca="1"/>
        <v>0</v>
      </c>
      <c r="L153">
        <f ca="1"/>
        <v>0</v>
      </c>
      <c r="M153">
        <f ca="1"/>
        <v>0.77394300000000005</v>
      </c>
      <c r="N153">
        <f ca="1"/>
        <v>0.43715700000000002</v>
      </c>
      <c r="O153">
        <f ca="1"/>
        <v>0.53641899999999998</v>
      </c>
      <c r="P153">
        <f ca="1"/>
        <v>0</v>
      </c>
      <c r="Q153">
        <f ca="1"/>
        <v>0</v>
      </c>
      <c r="R153">
        <f ca="1"/>
        <v>0.77394300000000005</v>
      </c>
      <c r="S153">
        <f ca="1"/>
        <v>0.43715700000000002</v>
      </c>
      <c r="T153">
        <f ca="1"/>
        <v>0.53641899999999998</v>
      </c>
      <c r="U153">
        <f ca="1"/>
        <v>0</v>
      </c>
      <c r="V153">
        <f ca="1"/>
        <v>0</v>
      </c>
    </row>
    <row r="154" spans="1:22" x14ac:dyDescent="0.3">
      <c r="A154" t="str">
        <f ca="1"/>
        <v>153</v>
      </c>
      <c r="B154" t="str">
        <f ca="1"/>
        <v>Gisagara_HS11_15</v>
      </c>
      <c r="C154">
        <f ca="1"/>
        <v>0.209456</v>
      </c>
      <c r="D154">
        <f ca="1"/>
        <v>0</v>
      </c>
      <c r="E154">
        <f ca="1"/>
        <v>0</v>
      </c>
      <c r="F154">
        <f ca="1"/>
        <v>0.294408</v>
      </c>
      <c r="G154">
        <f ca="1"/>
        <v>0</v>
      </c>
      <c r="H154">
        <f ca="1"/>
        <v>0.21401999999999999</v>
      </c>
      <c r="I154">
        <f ca="1"/>
        <v>0</v>
      </c>
      <c r="J154">
        <f ca="1"/>
        <v>0</v>
      </c>
      <c r="K154">
        <f ca="1"/>
        <v>0</v>
      </c>
      <c r="L154">
        <f ca="1"/>
        <v>0</v>
      </c>
      <c r="M154">
        <f ca="1"/>
        <v>0.28954600000000003</v>
      </c>
      <c r="N154">
        <f ca="1"/>
        <v>0.41964800000000002</v>
      </c>
      <c r="O154">
        <f ca="1"/>
        <v>0.49</v>
      </c>
      <c r="P154">
        <f ca="1"/>
        <v>0</v>
      </c>
      <c r="Q154">
        <f ca="1"/>
        <v>0</v>
      </c>
      <c r="R154">
        <f ca="1"/>
        <v>0.28954600000000003</v>
      </c>
      <c r="S154">
        <f ca="1"/>
        <v>0.41964800000000002</v>
      </c>
      <c r="T154">
        <f ca="1"/>
        <v>0.49</v>
      </c>
      <c r="U154">
        <f ca="1"/>
        <v>0</v>
      </c>
      <c r="V154">
        <f ca="1"/>
        <v>0</v>
      </c>
    </row>
    <row r="155" spans="1:22" x14ac:dyDescent="0.3">
      <c r="A155" t="str">
        <f ca="1"/>
        <v>154</v>
      </c>
      <c r="B155" t="str">
        <f ca="1"/>
        <v>Gisagara_HS1_15</v>
      </c>
      <c r="C155">
        <f ca="1"/>
        <v>0.75612800000000002</v>
      </c>
      <c r="D155">
        <f ca="1"/>
        <v>0</v>
      </c>
      <c r="E155">
        <f ca="1"/>
        <v>0</v>
      </c>
      <c r="F155">
        <f ca="1"/>
        <v>3.7523000000000001E-2</v>
      </c>
      <c r="G155">
        <f ca="1"/>
        <v>0</v>
      </c>
      <c r="H155">
        <f ca="1"/>
        <v>0.76988800000000002</v>
      </c>
      <c r="I155">
        <f ca="1"/>
        <v>0</v>
      </c>
      <c r="J155">
        <f ca="1"/>
        <v>0</v>
      </c>
      <c r="K155">
        <f ca="1"/>
        <v>0</v>
      </c>
      <c r="L155">
        <f ca="1"/>
        <v>0</v>
      </c>
      <c r="M155">
        <f ca="1"/>
        <v>0.64222400000000002</v>
      </c>
      <c r="N155">
        <f ca="1"/>
        <v>0.45295099999999999</v>
      </c>
      <c r="O155">
        <f ca="1"/>
        <v>0.55000000000000004</v>
      </c>
      <c r="P155">
        <f ca="1"/>
        <v>0</v>
      </c>
      <c r="Q155">
        <f ca="1"/>
        <v>0</v>
      </c>
      <c r="R155">
        <f ca="1"/>
        <v>0.64324599999999998</v>
      </c>
      <c r="S155">
        <f ca="1"/>
        <v>0.45380300000000001</v>
      </c>
      <c r="T155">
        <f ca="1"/>
        <v>0.55000000000000004</v>
      </c>
      <c r="U155">
        <f ca="1"/>
        <v>0</v>
      </c>
      <c r="V155">
        <f ca="1"/>
        <v>0</v>
      </c>
    </row>
    <row r="156" spans="1:22" x14ac:dyDescent="0.3">
      <c r="A156" t="str">
        <f ca="1"/>
        <v>155</v>
      </c>
      <c r="B156" t="str">
        <f ca="1"/>
        <v>Gisagara_HS2_15</v>
      </c>
      <c r="C156">
        <f ca="1"/>
        <v>0.93506800000000001</v>
      </c>
      <c r="D156">
        <f ca="1"/>
        <v>0</v>
      </c>
      <c r="E156">
        <f ca="1"/>
        <v>0</v>
      </c>
      <c r="F156">
        <f ca="1"/>
        <v>0.14042199999999999</v>
      </c>
      <c r="G156">
        <f ca="1"/>
        <v>0.18181800000000001</v>
      </c>
      <c r="H156">
        <f ca="1"/>
        <v>1.4004509999999999</v>
      </c>
      <c r="I156">
        <f ca="1"/>
        <v>0</v>
      </c>
      <c r="J156">
        <f ca="1"/>
        <v>0</v>
      </c>
      <c r="K156">
        <f ca="1"/>
        <v>0</v>
      </c>
      <c r="L156">
        <f ca="1"/>
        <v>0</v>
      </c>
      <c r="M156">
        <f ca="1"/>
        <v>0.87500699999999998</v>
      </c>
      <c r="N156">
        <f ca="1"/>
        <v>0</v>
      </c>
      <c r="O156">
        <f ca="1"/>
        <v>0</v>
      </c>
      <c r="P156">
        <f ca="1"/>
        <v>0.98929800000000001</v>
      </c>
      <c r="Q156">
        <f ca="1"/>
        <v>0.27985700000000002</v>
      </c>
      <c r="R156">
        <f ca="1"/>
        <v>1.1041780000000001</v>
      </c>
      <c r="S156">
        <f ca="1"/>
        <v>0</v>
      </c>
      <c r="T156">
        <f ca="1"/>
        <v>0</v>
      </c>
      <c r="U156">
        <f ca="1"/>
        <v>0.98729999999999996</v>
      </c>
      <c r="V156">
        <f ca="1"/>
        <v>5.6510999999999999E-2</v>
      </c>
    </row>
    <row r="157" spans="1:22" x14ac:dyDescent="0.3">
      <c r="A157" t="str">
        <f ca="1"/>
        <v>156</v>
      </c>
      <c r="B157" t="str">
        <f ca="1"/>
        <v>Gisagara_HS3_15</v>
      </c>
      <c r="C157">
        <f ca="1"/>
        <v>0.500641</v>
      </c>
      <c r="D157">
        <f ca="1"/>
        <v>0</v>
      </c>
      <c r="E157">
        <f ca="1"/>
        <v>0</v>
      </c>
      <c r="F157">
        <f ca="1"/>
        <v>0.28292699999999998</v>
      </c>
      <c r="G157">
        <f ca="1"/>
        <v>0</v>
      </c>
      <c r="H157">
        <f ca="1"/>
        <v>0.59186099999999997</v>
      </c>
      <c r="I157">
        <f ca="1"/>
        <v>0</v>
      </c>
      <c r="J157">
        <f ca="1"/>
        <v>0</v>
      </c>
      <c r="K157">
        <f ca="1"/>
        <v>0</v>
      </c>
      <c r="L157">
        <f ca="1"/>
        <v>0</v>
      </c>
      <c r="M157">
        <f ca="1"/>
        <v>0.47147</v>
      </c>
      <c r="N157">
        <f ca="1"/>
        <v>0</v>
      </c>
      <c r="O157">
        <f ca="1"/>
        <v>0</v>
      </c>
      <c r="P157">
        <f ca="1"/>
        <v>0.99167899999999998</v>
      </c>
      <c r="Q157">
        <f ca="1"/>
        <v>0</v>
      </c>
      <c r="R157">
        <f ca="1"/>
        <v>0.53926499999999999</v>
      </c>
      <c r="S157">
        <f ca="1"/>
        <v>0</v>
      </c>
      <c r="T157">
        <f ca="1"/>
        <v>0</v>
      </c>
      <c r="U157">
        <f ca="1"/>
        <v>0.99167899999999998</v>
      </c>
      <c r="V157">
        <f ca="1"/>
        <v>0</v>
      </c>
    </row>
    <row r="158" spans="1:22" x14ac:dyDescent="0.3">
      <c r="A158" t="str">
        <f ca="1"/>
        <v>157</v>
      </c>
      <c r="B158" t="str">
        <f ca="1"/>
        <v>Gisagara_HS4_15</v>
      </c>
      <c r="C158">
        <f ca="1"/>
        <v>0.80841700000000005</v>
      </c>
      <c r="D158">
        <f ca="1"/>
        <v>0</v>
      </c>
      <c r="E158">
        <f ca="1"/>
        <v>0</v>
      </c>
      <c r="F158">
        <f ca="1"/>
        <v>0.25834000000000001</v>
      </c>
      <c r="G158">
        <f ca="1"/>
        <v>0</v>
      </c>
      <c r="H158">
        <f ca="1"/>
        <v>1.007735</v>
      </c>
      <c r="I158">
        <f ca="1"/>
        <v>0</v>
      </c>
      <c r="J158">
        <f ca="1"/>
        <v>0</v>
      </c>
      <c r="K158">
        <f ca="1"/>
        <v>0</v>
      </c>
      <c r="L158">
        <f ca="1"/>
        <v>0</v>
      </c>
      <c r="M158">
        <f ca="1"/>
        <v>0.77649699999999999</v>
      </c>
      <c r="N158">
        <f ca="1"/>
        <v>0</v>
      </c>
      <c r="O158">
        <f ca="1"/>
        <v>0</v>
      </c>
      <c r="P158">
        <f ca="1"/>
        <v>0.99267700000000003</v>
      </c>
      <c r="Q158">
        <f ca="1"/>
        <v>0</v>
      </c>
      <c r="R158">
        <f ca="1"/>
        <v>0.95119200000000004</v>
      </c>
      <c r="S158">
        <f ca="1"/>
        <v>0</v>
      </c>
      <c r="T158">
        <f ca="1"/>
        <v>0</v>
      </c>
      <c r="U158">
        <f ca="1"/>
        <v>0.99267700000000003</v>
      </c>
      <c r="V158">
        <f ca="1"/>
        <v>0</v>
      </c>
    </row>
    <row r="159" spans="1:22" x14ac:dyDescent="0.3">
      <c r="A159" t="str">
        <f ca="1"/>
        <v>158</v>
      </c>
      <c r="B159" t="str">
        <f ca="1"/>
        <v>Gisagara_HS5_15</v>
      </c>
      <c r="C159">
        <f ca="1"/>
        <v>0.73887499999999995</v>
      </c>
      <c r="D159">
        <f ca="1"/>
        <v>0</v>
      </c>
      <c r="E159">
        <f ca="1"/>
        <v>0</v>
      </c>
      <c r="F159">
        <f ca="1"/>
        <v>0.123602</v>
      </c>
      <c r="G159">
        <f ca="1"/>
        <v>0.06</v>
      </c>
      <c r="H159">
        <f ca="1"/>
        <v>0.37083899999999997</v>
      </c>
      <c r="I159">
        <f ca="1"/>
        <v>0</v>
      </c>
      <c r="J159">
        <f ca="1"/>
        <v>0</v>
      </c>
      <c r="K159">
        <f ca="1"/>
        <v>0.98754299999999995</v>
      </c>
      <c r="L159">
        <f ca="1"/>
        <v>2.1676999999999998E-2</v>
      </c>
      <c r="M159">
        <f ca="1"/>
        <v>0.55201299999999998</v>
      </c>
      <c r="N159">
        <f ca="1"/>
        <v>0</v>
      </c>
      <c r="O159">
        <f ca="1"/>
        <v>0</v>
      </c>
      <c r="P159">
        <f ca="1"/>
        <v>0.99068999999999996</v>
      </c>
      <c r="Q159">
        <f ca="1"/>
        <v>0.74415900000000001</v>
      </c>
      <c r="R159">
        <f ca="1"/>
        <v>0.68385099999999999</v>
      </c>
      <c r="S159">
        <f ca="1"/>
        <v>0</v>
      </c>
      <c r="T159">
        <f ca="1"/>
        <v>0</v>
      </c>
      <c r="U159">
        <f ca="1"/>
        <v>0.99148000000000003</v>
      </c>
      <c r="V159">
        <f ca="1"/>
        <v>0.21656900000000001</v>
      </c>
    </row>
    <row r="160" spans="1:22" x14ac:dyDescent="0.3">
      <c r="A160" t="str">
        <f ca="1"/>
        <v>159</v>
      </c>
      <c r="B160" t="str">
        <f ca="1"/>
        <v>Gisagara_HS6_15</v>
      </c>
      <c r="C160">
        <f ca="1"/>
        <v>0.50532900000000003</v>
      </c>
      <c r="D160">
        <f ca="1"/>
        <v>0</v>
      </c>
      <c r="E160">
        <f ca="1"/>
        <v>0</v>
      </c>
      <c r="F160">
        <f ca="1"/>
        <v>2.1014000000000001E-2</v>
      </c>
      <c r="G160">
        <f ca="1"/>
        <v>0</v>
      </c>
      <c r="H160">
        <f ca="1"/>
        <v>0.67895499999999998</v>
      </c>
      <c r="I160">
        <f ca="1"/>
        <v>0</v>
      </c>
      <c r="J160">
        <f ca="1"/>
        <v>0</v>
      </c>
      <c r="K160">
        <f ca="1"/>
        <v>0</v>
      </c>
      <c r="L160">
        <f ca="1"/>
        <v>0</v>
      </c>
      <c r="M160">
        <f ca="1"/>
        <v>0.42458299999999999</v>
      </c>
      <c r="N160">
        <f ca="1"/>
        <v>0</v>
      </c>
      <c r="O160">
        <f ca="1"/>
        <v>0</v>
      </c>
      <c r="P160">
        <f ca="1"/>
        <v>0.99459600000000004</v>
      </c>
      <c r="Q160">
        <f ca="1"/>
        <v>0.30072199999999999</v>
      </c>
      <c r="R160">
        <f ca="1"/>
        <v>0.51035299999999995</v>
      </c>
      <c r="S160">
        <f ca="1"/>
        <v>0</v>
      </c>
      <c r="T160">
        <f ca="1"/>
        <v>0</v>
      </c>
      <c r="U160">
        <f ca="1"/>
        <v>0.98942799999999997</v>
      </c>
      <c r="V160">
        <f ca="1"/>
        <v>3.4784000000000002E-2</v>
      </c>
    </row>
    <row r="161" spans="1:22" x14ac:dyDescent="0.3">
      <c r="A161" t="str">
        <f ca="1"/>
        <v>160</v>
      </c>
      <c r="B161" t="str">
        <f ca="1"/>
        <v>Gisagara_HS7_15</v>
      </c>
      <c r="C161">
        <f ca="1"/>
        <v>0.52336099999999997</v>
      </c>
      <c r="D161">
        <f ca="1"/>
        <v>0</v>
      </c>
      <c r="E161">
        <f ca="1"/>
        <v>0</v>
      </c>
      <c r="F161">
        <f ca="1"/>
        <v>0.28035300000000002</v>
      </c>
      <c r="G161">
        <f ca="1"/>
        <v>0</v>
      </c>
      <c r="H161">
        <f ca="1"/>
        <v>0.69816900000000004</v>
      </c>
      <c r="I161">
        <f ca="1"/>
        <v>0</v>
      </c>
      <c r="J161">
        <f ca="1"/>
        <v>0</v>
      </c>
      <c r="K161">
        <f ca="1"/>
        <v>0</v>
      </c>
      <c r="L161">
        <f ca="1"/>
        <v>0</v>
      </c>
      <c r="M161">
        <f ca="1"/>
        <v>0.58324200000000004</v>
      </c>
      <c r="N161">
        <f ca="1"/>
        <v>0</v>
      </c>
      <c r="O161">
        <f ca="1"/>
        <v>0</v>
      </c>
      <c r="P161">
        <f ca="1"/>
        <v>0.98980000000000001</v>
      </c>
      <c r="Q161">
        <f ca="1"/>
        <v>0</v>
      </c>
      <c r="R161">
        <f ca="1"/>
        <v>0.72630399999999995</v>
      </c>
      <c r="S161">
        <f ca="1"/>
        <v>0</v>
      </c>
      <c r="T161">
        <f ca="1"/>
        <v>0</v>
      </c>
      <c r="U161">
        <f ca="1"/>
        <v>0.98980000000000001</v>
      </c>
      <c r="V161">
        <f ca="1"/>
        <v>0</v>
      </c>
    </row>
    <row r="162" spans="1:22" x14ac:dyDescent="0.3">
      <c r="A162" t="str">
        <f ca="1"/>
        <v>161</v>
      </c>
      <c r="B162" t="str">
        <f ca="1"/>
        <v>Gisagara_HS8_15</v>
      </c>
      <c r="C162">
        <f ca="1"/>
        <v>0.76305699999999999</v>
      </c>
      <c r="D162">
        <f ca="1"/>
        <v>0</v>
      </c>
      <c r="E162">
        <f ca="1"/>
        <v>0</v>
      </c>
      <c r="F162">
        <f ca="1"/>
        <v>0.188693</v>
      </c>
      <c r="G162">
        <f ca="1"/>
        <v>0</v>
      </c>
      <c r="H162">
        <f ca="1"/>
        <v>0.90091900000000003</v>
      </c>
      <c r="I162">
        <f ca="1"/>
        <v>0</v>
      </c>
      <c r="J162">
        <f ca="1"/>
        <v>0</v>
      </c>
      <c r="K162">
        <f ca="1"/>
        <v>0</v>
      </c>
      <c r="L162">
        <f ca="1"/>
        <v>0</v>
      </c>
      <c r="M162">
        <f ca="1"/>
        <v>0.70081700000000002</v>
      </c>
      <c r="N162">
        <f ca="1"/>
        <v>0</v>
      </c>
      <c r="O162">
        <f ca="1"/>
        <v>0</v>
      </c>
      <c r="P162">
        <f ca="1"/>
        <v>0.99581500000000001</v>
      </c>
      <c r="Q162">
        <f ca="1"/>
        <v>0</v>
      </c>
      <c r="R162">
        <f ca="1"/>
        <v>0.84783399999999998</v>
      </c>
      <c r="S162">
        <f ca="1"/>
        <v>0</v>
      </c>
      <c r="T162">
        <f ca="1"/>
        <v>0</v>
      </c>
      <c r="U162">
        <f ca="1"/>
        <v>0.99581500000000001</v>
      </c>
      <c r="V162">
        <f ca="1"/>
        <v>0</v>
      </c>
    </row>
    <row r="163" spans="1:22" x14ac:dyDescent="0.3">
      <c r="A163" t="str">
        <f ca="1"/>
        <v>162</v>
      </c>
      <c r="B163" t="str">
        <f ca="1"/>
        <v>Gisagara_HS9_15</v>
      </c>
      <c r="C163">
        <f ca="1"/>
        <v>0.67637899999999995</v>
      </c>
      <c r="D163">
        <f ca="1"/>
        <v>0.41814499999999999</v>
      </c>
      <c r="E163">
        <f ca="1"/>
        <v>1.1533E-2</v>
      </c>
      <c r="F163">
        <f ca="1"/>
        <v>0.230299</v>
      </c>
      <c r="G163">
        <f ca="1"/>
        <v>0</v>
      </c>
      <c r="H163">
        <f ca="1"/>
        <v>0.84502699999999997</v>
      </c>
      <c r="I163">
        <f ca="1"/>
        <v>0</v>
      </c>
      <c r="J163">
        <f ca="1"/>
        <v>0</v>
      </c>
      <c r="K163">
        <f ca="1"/>
        <v>0</v>
      </c>
      <c r="L163">
        <f ca="1"/>
        <v>0</v>
      </c>
      <c r="M163">
        <f ca="1"/>
        <v>0.67236200000000002</v>
      </c>
      <c r="N163">
        <f ca="1"/>
        <v>0</v>
      </c>
      <c r="O163">
        <f ca="1"/>
        <v>0</v>
      </c>
      <c r="P163">
        <f ca="1"/>
        <v>0.98171299999999995</v>
      </c>
      <c r="Q163">
        <f ca="1"/>
        <v>0</v>
      </c>
      <c r="R163">
        <f ca="1"/>
        <v>0.78285400000000005</v>
      </c>
      <c r="S163">
        <f ca="1"/>
        <v>0</v>
      </c>
      <c r="T163">
        <f ca="1"/>
        <v>0</v>
      </c>
      <c r="U163">
        <f ca="1"/>
        <v>0.98171299999999995</v>
      </c>
      <c r="V163">
        <f ca="1"/>
        <v>0</v>
      </c>
    </row>
    <row r="164" spans="1:22" x14ac:dyDescent="0.3">
      <c r="A164" t="str">
        <f ca="1"/>
        <v>163</v>
      </c>
      <c r="B164" t="str">
        <f ca="1"/>
        <v>Gishoma_15</v>
      </c>
      <c r="C164">
        <f ca="1"/>
        <v>0.74312199999999995</v>
      </c>
      <c r="D164">
        <f ca="1"/>
        <v>0</v>
      </c>
      <c r="E164">
        <f ca="1"/>
        <v>0</v>
      </c>
      <c r="F164">
        <f ca="1"/>
        <v>0.45202799999999999</v>
      </c>
      <c r="G164">
        <f ca="1"/>
        <v>0</v>
      </c>
      <c r="H164">
        <f ca="1"/>
        <v>0.454152</v>
      </c>
      <c r="I164">
        <f ca="1"/>
        <v>0</v>
      </c>
      <c r="J164">
        <f ca="1"/>
        <v>0</v>
      </c>
      <c r="K164">
        <f ca="1"/>
        <v>0.99455700000000002</v>
      </c>
      <c r="L164">
        <f ca="1"/>
        <v>2.4705000000000001E-2</v>
      </c>
      <c r="M164">
        <f ca="1"/>
        <v>0.69784500000000005</v>
      </c>
      <c r="N164">
        <f ca="1"/>
        <v>0</v>
      </c>
      <c r="O164">
        <f ca="1"/>
        <v>0</v>
      </c>
      <c r="P164">
        <f ca="1"/>
        <v>0.99649399999999999</v>
      </c>
      <c r="Q164">
        <f ca="1"/>
        <v>0.37459300000000001</v>
      </c>
      <c r="R164">
        <f ca="1"/>
        <v>0.921763</v>
      </c>
      <c r="S164">
        <f ca="1"/>
        <v>0</v>
      </c>
      <c r="T164">
        <f ca="1"/>
        <v>0</v>
      </c>
      <c r="U164">
        <f ca="1"/>
        <v>0.995533</v>
      </c>
      <c r="V164">
        <f ca="1"/>
        <v>0.13778599999999999</v>
      </c>
    </row>
    <row r="165" spans="1:22" x14ac:dyDescent="0.3">
      <c r="A165" t="str">
        <f ca="1"/>
        <v>164</v>
      </c>
      <c r="B165" t="str">
        <f ca="1"/>
        <v>Huye_15</v>
      </c>
      <c r="C165">
        <f ca="1"/>
        <v>1.0127889999999999</v>
      </c>
      <c r="D165">
        <f ca="1"/>
        <v>0.47373900000000002</v>
      </c>
      <c r="E165">
        <f ca="1"/>
        <v>0.15690699999999999</v>
      </c>
      <c r="F165">
        <f ca="1"/>
        <v>0.28292800000000001</v>
      </c>
      <c r="G165">
        <f ca="1"/>
        <v>0</v>
      </c>
      <c r="H165">
        <f ca="1"/>
        <v>0.83143500000000004</v>
      </c>
      <c r="I165">
        <f ca="1"/>
        <v>0</v>
      </c>
      <c r="J165">
        <f ca="1"/>
        <v>0</v>
      </c>
      <c r="K165">
        <f ca="1"/>
        <v>0.52221499999999998</v>
      </c>
      <c r="L165">
        <f ca="1"/>
        <v>0</v>
      </c>
      <c r="M165">
        <f ca="1"/>
        <v>0.75502800000000003</v>
      </c>
      <c r="N165">
        <f ca="1"/>
        <v>0.423989</v>
      </c>
      <c r="O165">
        <f ca="1"/>
        <v>0.55000000000000004</v>
      </c>
      <c r="P165">
        <f ca="1"/>
        <v>0.338366</v>
      </c>
      <c r="Q165">
        <f ca="1"/>
        <v>0</v>
      </c>
      <c r="R165">
        <f ca="1"/>
        <v>0.78493299999999999</v>
      </c>
      <c r="S165">
        <f ca="1"/>
        <v>0.423989</v>
      </c>
      <c r="T165">
        <f ca="1"/>
        <v>0.55000000000000004</v>
      </c>
      <c r="U165">
        <f ca="1"/>
        <v>0.338366</v>
      </c>
      <c r="V165">
        <f ca="1"/>
        <v>0</v>
      </c>
    </row>
    <row r="166" spans="1:22" x14ac:dyDescent="0.3">
      <c r="A166" t="str">
        <f ca="1"/>
        <v>165</v>
      </c>
      <c r="B166" t="str">
        <f ca="1"/>
        <v>Huye_HS0_15</v>
      </c>
      <c r="C166">
        <f ca="1"/>
        <v>1.129505</v>
      </c>
      <c r="D166">
        <f ca="1"/>
        <v>0.88710199999999995</v>
      </c>
      <c r="E166">
        <f ca="1"/>
        <v>1.883E-2</v>
      </c>
      <c r="F166">
        <f ca="1"/>
        <v>0.89501699999999995</v>
      </c>
      <c r="G166">
        <f ca="1"/>
        <v>0.95720099999999997</v>
      </c>
      <c r="H166">
        <f ca="1"/>
        <v>0.67262999999999995</v>
      </c>
      <c r="I166">
        <f ca="1"/>
        <v>0</v>
      </c>
      <c r="J166">
        <f ca="1"/>
        <v>0</v>
      </c>
      <c r="K166">
        <f ca="1"/>
        <v>0.99989700000000004</v>
      </c>
      <c r="L166">
        <f ca="1"/>
        <v>0.36890000000000001</v>
      </c>
      <c r="M166">
        <f ca="1"/>
        <v>0.85859300000000005</v>
      </c>
      <c r="N166">
        <f ca="1"/>
        <v>0</v>
      </c>
      <c r="O166">
        <f ca="1"/>
        <v>0</v>
      </c>
      <c r="P166">
        <f ca="1"/>
        <v>0.99897899999999995</v>
      </c>
      <c r="Q166">
        <f ca="1"/>
        <v>0.88896600000000003</v>
      </c>
      <c r="R166">
        <f ca="1"/>
        <v>1.2276849999999999</v>
      </c>
      <c r="S166">
        <f ca="1"/>
        <v>0</v>
      </c>
      <c r="T166">
        <f ca="1"/>
        <v>0</v>
      </c>
      <c r="U166">
        <f ca="1"/>
        <v>0.99966999999999995</v>
      </c>
      <c r="V166">
        <f ca="1"/>
        <v>0.56943999999999995</v>
      </c>
    </row>
    <row r="167" spans="1:22" x14ac:dyDescent="0.3">
      <c r="A167" t="str">
        <f ca="1"/>
        <v>166</v>
      </c>
      <c r="B167" t="str">
        <f ca="1"/>
        <v>Huye_HS11_15</v>
      </c>
      <c r="C167">
        <f ca="1"/>
        <v>0.17488300000000001</v>
      </c>
      <c r="D167">
        <f ca="1"/>
        <v>0</v>
      </c>
      <c r="E167">
        <f ca="1"/>
        <v>0</v>
      </c>
      <c r="F167">
        <f ca="1"/>
        <v>0.37509900000000002</v>
      </c>
      <c r="G167">
        <f ca="1"/>
        <v>0</v>
      </c>
      <c r="H167">
        <f ca="1"/>
        <v>0.19875200000000001</v>
      </c>
      <c r="I167">
        <f ca="1"/>
        <v>0</v>
      </c>
      <c r="J167">
        <f ca="1"/>
        <v>0</v>
      </c>
      <c r="K167">
        <f ca="1"/>
        <v>0</v>
      </c>
      <c r="L167">
        <f ca="1"/>
        <v>0</v>
      </c>
      <c r="M167">
        <f ca="1"/>
        <v>0.13808699999999999</v>
      </c>
      <c r="N167">
        <f ca="1"/>
        <v>0</v>
      </c>
      <c r="O167">
        <f ca="1"/>
        <v>0</v>
      </c>
      <c r="P167">
        <f ca="1"/>
        <v>0.99431199999999997</v>
      </c>
      <c r="Q167">
        <f ca="1"/>
        <v>0</v>
      </c>
      <c r="R167">
        <f ca="1"/>
        <v>0.142125</v>
      </c>
      <c r="S167">
        <f ca="1"/>
        <v>0</v>
      </c>
      <c r="T167">
        <f ca="1"/>
        <v>0</v>
      </c>
      <c r="U167">
        <f ca="1"/>
        <v>0.99431199999999997</v>
      </c>
      <c r="V167">
        <f ca="1"/>
        <v>0</v>
      </c>
    </row>
    <row r="168" spans="1:22" x14ac:dyDescent="0.3">
      <c r="A168" t="str">
        <f ca="1"/>
        <v>167</v>
      </c>
      <c r="B168" t="str">
        <f ca="1"/>
        <v>Huye_HS12_15</v>
      </c>
      <c r="C168">
        <f ca="1"/>
        <v>0.360485</v>
      </c>
      <c r="D168">
        <f ca="1"/>
        <v>0</v>
      </c>
      <c r="E168">
        <f ca="1"/>
        <v>0</v>
      </c>
      <c r="F168">
        <f ca="1"/>
        <v>0.20117699999999999</v>
      </c>
      <c r="G168">
        <f ca="1"/>
        <v>0</v>
      </c>
      <c r="H168">
        <f ca="1"/>
        <v>0.36816100000000002</v>
      </c>
      <c r="I168">
        <f ca="1"/>
        <v>0</v>
      </c>
      <c r="J168">
        <f ca="1"/>
        <v>0</v>
      </c>
      <c r="K168">
        <f ca="1"/>
        <v>0</v>
      </c>
      <c r="L168">
        <f ca="1"/>
        <v>0</v>
      </c>
      <c r="M168">
        <f ca="1"/>
        <v>0.45749899999999999</v>
      </c>
      <c r="N168">
        <f ca="1"/>
        <v>0.46594999999999998</v>
      </c>
      <c r="O168">
        <f ca="1"/>
        <v>0.48</v>
      </c>
      <c r="P168">
        <f ca="1"/>
        <v>0</v>
      </c>
      <c r="Q168">
        <f ca="1"/>
        <v>0</v>
      </c>
      <c r="R168">
        <f ca="1"/>
        <v>0.45749899999999999</v>
      </c>
      <c r="S168">
        <f ca="1"/>
        <v>0.46594999999999998</v>
      </c>
      <c r="T168">
        <f ca="1"/>
        <v>0.48</v>
      </c>
      <c r="U168">
        <f ca="1"/>
        <v>0</v>
      </c>
      <c r="V168">
        <f ca="1"/>
        <v>0</v>
      </c>
    </row>
    <row r="169" spans="1:22" x14ac:dyDescent="0.3">
      <c r="A169" t="str">
        <f ca="1"/>
        <v>168</v>
      </c>
      <c r="B169" t="str">
        <f ca="1"/>
        <v>Huye_HS13_15</v>
      </c>
      <c r="C169">
        <f ca="1"/>
        <v>1.8763719999999999</v>
      </c>
      <c r="D169">
        <f ca="1"/>
        <v>0.49589100000000003</v>
      </c>
      <c r="E169">
        <f ca="1"/>
        <v>2.307E-2</v>
      </c>
      <c r="F169">
        <f ca="1"/>
        <v>0.48875999999999997</v>
      </c>
      <c r="G169">
        <f ca="1"/>
        <v>0.99144500000000002</v>
      </c>
      <c r="H169">
        <f ca="1"/>
        <v>0.721858</v>
      </c>
      <c r="I169">
        <f ca="1"/>
        <v>0</v>
      </c>
      <c r="J169">
        <f ca="1"/>
        <v>0</v>
      </c>
      <c r="K169">
        <f ca="1"/>
        <v>0.99661500000000003</v>
      </c>
      <c r="L169">
        <f ca="1"/>
        <v>0.61896600000000002</v>
      </c>
      <c r="M169">
        <f ca="1"/>
        <v>0.80086100000000005</v>
      </c>
      <c r="N169">
        <f ca="1"/>
        <v>0</v>
      </c>
      <c r="O169">
        <f ca="1"/>
        <v>0</v>
      </c>
      <c r="P169">
        <f ca="1"/>
        <v>0.98304400000000003</v>
      </c>
      <c r="Q169">
        <f ca="1"/>
        <v>0.97918400000000005</v>
      </c>
      <c r="R169">
        <f ca="1"/>
        <v>1.1915230000000001</v>
      </c>
      <c r="S169">
        <f ca="1"/>
        <v>0</v>
      </c>
      <c r="T169">
        <f ca="1"/>
        <v>0</v>
      </c>
      <c r="U169">
        <f ca="1"/>
        <v>0.99253499999999995</v>
      </c>
      <c r="V169">
        <f ca="1"/>
        <v>0.86096200000000001</v>
      </c>
    </row>
    <row r="170" spans="1:22" x14ac:dyDescent="0.3">
      <c r="A170" t="str">
        <f ca="1"/>
        <v>169</v>
      </c>
      <c r="B170" t="str">
        <f ca="1"/>
        <v>Huye_HS14_15</v>
      </c>
      <c r="C170">
        <f ca="1"/>
        <v>0.93797699999999995</v>
      </c>
      <c r="D170">
        <f ca="1"/>
        <v>0.42482999999999999</v>
      </c>
      <c r="E170">
        <f ca="1"/>
        <v>0</v>
      </c>
      <c r="F170">
        <f ca="1"/>
        <v>0.26783099999999999</v>
      </c>
      <c r="G170">
        <f ca="1"/>
        <v>0.46781099999999998</v>
      </c>
      <c r="H170">
        <f ca="1"/>
        <v>0.283721</v>
      </c>
      <c r="I170">
        <f ca="1"/>
        <v>0</v>
      </c>
      <c r="J170">
        <f ca="1"/>
        <v>0</v>
      </c>
      <c r="K170">
        <f ca="1"/>
        <v>0.99754500000000002</v>
      </c>
      <c r="L170">
        <f ca="1"/>
        <v>7.2722999999999996E-2</v>
      </c>
      <c r="M170">
        <f ca="1"/>
        <v>0.42886999999999997</v>
      </c>
      <c r="N170">
        <f ca="1"/>
        <v>0</v>
      </c>
      <c r="O170">
        <f ca="1"/>
        <v>0</v>
      </c>
      <c r="P170">
        <f ca="1"/>
        <v>0.99466100000000002</v>
      </c>
      <c r="Q170">
        <f ca="1"/>
        <v>0.68888400000000005</v>
      </c>
      <c r="R170">
        <f ca="1"/>
        <v>0.510938</v>
      </c>
      <c r="S170">
        <f ca="1"/>
        <v>0</v>
      </c>
      <c r="T170">
        <f ca="1"/>
        <v>0</v>
      </c>
      <c r="U170">
        <f ca="1"/>
        <v>0.99678900000000004</v>
      </c>
      <c r="V170">
        <f ca="1"/>
        <v>0.17930299999999999</v>
      </c>
    </row>
    <row r="171" spans="1:22" x14ac:dyDescent="0.3">
      <c r="A171" t="str">
        <f ca="1"/>
        <v>170</v>
      </c>
      <c r="B171" t="str">
        <f ca="1"/>
        <v>Huye_HS15_15</v>
      </c>
      <c r="C171">
        <f ca="1"/>
        <v>0.35231899999999999</v>
      </c>
      <c r="D171">
        <f ca="1"/>
        <v>0</v>
      </c>
      <c r="E171">
        <f ca="1"/>
        <v>0</v>
      </c>
      <c r="F171">
        <f ca="1"/>
        <v>0.76858599999999999</v>
      </c>
      <c r="G171">
        <f ca="1"/>
        <v>0.66666700000000001</v>
      </c>
      <c r="H171">
        <f ca="1"/>
        <v>0.22730700000000001</v>
      </c>
      <c r="I171">
        <f ca="1"/>
        <v>0.60883900000000002</v>
      </c>
      <c r="J171">
        <f ca="1"/>
        <v>0.66</v>
      </c>
      <c r="K171">
        <f ca="1"/>
        <v>0</v>
      </c>
      <c r="L171">
        <f ca="1"/>
        <v>0</v>
      </c>
      <c r="M171">
        <f ca="1"/>
        <v>0.38959199999999999</v>
      </c>
      <c r="N171">
        <f ca="1"/>
        <v>0.47551900000000002</v>
      </c>
      <c r="O171">
        <f ca="1"/>
        <v>0.61</v>
      </c>
      <c r="P171">
        <f ca="1"/>
        <v>0</v>
      </c>
      <c r="Q171">
        <f ca="1"/>
        <v>0</v>
      </c>
      <c r="R171">
        <f ca="1"/>
        <v>0.48396800000000001</v>
      </c>
      <c r="S171">
        <f ca="1"/>
        <v>0.39066000000000001</v>
      </c>
      <c r="T171">
        <f ca="1"/>
        <v>0.56999999999999995</v>
      </c>
      <c r="U171">
        <f ca="1"/>
        <v>0</v>
      </c>
      <c r="V171">
        <f ca="1"/>
        <v>0</v>
      </c>
    </row>
    <row r="172" spans="1:22" x14ac:dyDescent="0.3">
      <c r="A172" t="str">
        <f ca="1"/>
        <v>171</v>
      </c>
      <c r="B172" t="str">
        <f ca="1"/>
        <v>Huye_HS1_15</v>
      </c>
      <c r="C172">
        <f ca="1"/>
        <v>0.118358</v>
      </c>
      <c r="D172">
        <f ca="1"/>
        <v>0.67160399999999998</v>
      </c>
      <c r="E172">
        <f ca="1"/>
        <v>8.6610000000000003E-3</v>
      </c>
      <c r="F172">
        <f ca="1"/>
        <v>0.388517</v>
      </c>
      <c r="G172">
        <f ca="1"/>
        <v>1</v>
      </c>
      <c r="H172">
        <f ca="1"/>
        <v>3.6872000000000002E-2</v>
      </c>
      <c r="I172">
        <f ca="1"/>
        <v>0</v>
      </c>
      <c r="J172">
        <f ca="1"/>
        <v>0</v>
      </c>
      <c r="K172">
        <f ca="1"/>
        <v>1</v>
      </c>
      <c r="L172">
        <f ca="1"/>
        <v>1</v>
      </c>
      <c r="M172">
        <f ca="1"/>
        <v>3.4743999999999997E-2</v>
      </c>
      <c r="N172">
        <f ca="1"/>
        <v>0</v>
      </c>
      <c r="O172">
        <f ca="1"/>
        <v>0</v>
      </c>
      <c r="P172">
        <f ca="1"/>
        <v>0.99942900000000001</v>
      </c>
      <c r="Q172">
        <f ca="1"/>
        <v>1</v>
      </c>
      <c r="R172">
        <f ca="1"/>
        <v>5.4792E-2</v>
      </c>
      <c r="S172">
        <f ca="1"/>
        <v>0</v>
      </c>
      <c r="T172">
        <f ca="1"/>
        <v>0</v>
      </c>
      <c r="U172">
        <f ca="1"/>
        <v>1</v>
      </c>
      <c r="V172">
        <f ca="1"/>
        <v>1</v>
      </c>
    </row>
    <row r="173" spans="1:22" x14ac:dyDescent="0.3">
      <c r="A173" t="str">
        <f ca="1"/>
        <v>172</v>
      </c>
      <c r="B173" t="str">
        <f ca="1"/>
        <v>Huye_HS2_15</v>
      </c>
      <c r="C173">
        <f ca="1"/>
        <v>1.3116540000000001</v>
      </c>
      <c r="D173">
        <f ca="1"/>
        <v>0</v>
      </c>
      <c r="E173">
        <f ca="1"/>
        <v>0</v>
      </c>
      <c r="F173">
        <f ca="1"/>
        <v>0.20802999999999999</v>
      </c>
      <c r="G173">
        <f ca="1"/>
        <v>0</v>
      </c>
      <c r="H173">
        <f ca="1"/>
        <v>1.570222</v>
      </c>
      <c r="I173">
        <f ca="1"/>
        <v>0</v>
      </c>
      <c r="J173">
        <f ca="1"/>
        <v>0</v>
      </c>
      <c r="K173">
        <f ca="1"/>
        <v>0</v>
      </c>
      <c r="L173">
        <f ca="1"/>
        <v>0</v>
      </c>
      <c r="M173">
        <f ca="1"/>
        <v>0.62804700000000002</v>
      </c>
      <c r="N173">
        <f ca="1"/>
        <v>0</v>
      </c>
      <c r="O173">
        <f ca="1"/>
        <v>0</v>
      </c>
      <c r="P173">
        <f ca="1"/>
        <v>0.99491700000000005</v>
      </c>
      <c r="Q173">
        <f ca="1"/>
        <v>0</v>
      </c>
      <c r="R173">
        <f ca="1"/>
        <v>0.73558699999999999</v>
      </c>
      <c r="S173">
        <f ca="1"/>
        <v>0</v>
      </c>
      <c r="T173">
        <f ca="1"/>
        <v>0</v>
      </c>
      <c r="U173">
        <f ca="1"/>
        <v>0.99491700000000005</v>
      </c>
      <c r="V173">
        <f ca="1"/>
        <v>0</v>
      </c>
    </row>
    <row r="174" spans="1:22" x14ac:dyDescent="0.3">
      <c r="A174" t="str">
        <f ca="1"/>
        <v>173</v>
      </c>
      <c r="B174" t="str">
        <f ca="1"/>
        <v>Huye_HS3_15</v>
      </c>
      <c r="C174">
        <f ca="1"/>
        <v>0.95558900000000002</v>
      </c>
      <c r="D174">
        <f ca="1"/>
        <v>0.39692899999999998</v>
      </c>
      <c r="E174">
        <f ca="1"/>
        <v>0.01</v>
      </c>
      <c r="F174">
        <f ca="1"/>
        <v>0.40153299999999997</v>
      </c>
      <c r="G174">
        <f ca="1"/>
        <v>0</v>
      </c>
      <c r="H174">
        <f ca="1"/>
        <v>1.2409790000000001</v>
      </c>
      <c r="I174">
        <f ca="1"/>
        <v>0</v>
      </c>
      <c r="J174">
        <f ca="1"/>
        <v>0</v>
      </c>
      <c r="K174">
        <f ca="1"/>
        <v>0</v>
      </c>
      <c r="L174">
        <f ca="1"/>
        <v>0</v>
      </c>
      <c r="M174">
        <f ca="1"/>
        <v>0.68681300000000001</v>
      </c>
      <c r="N174">
        <f ca="1"/>
        <v>0.49591499999999999</v>
      </c>
      <c r="O174">
        <f ca="1"/>
        <v>0.5</v>
      </c>
      <c r="P174">
        <f ca="1"/>
        <v>0.67231399999999997</v>
      </c>
      <c r="Q174">
        <f ca="1"/>
        <v>0</v>
      </c>
      <c r="R174">
        <f ca="1"/>
        <v>0.72821400000000003</v>
      </c>
      <c r="S174">
        <f ca="1"/>
        <v>0.49591499999999999</v>
      </c>
      <c r="T174">
        <f ca="1"/>
        <v>0.5</v>
      </c>
      <c r="U174">
        <f ca="1"/>
        <v>0.67231399999999997</v>
      </c>
      <c r="V174">
        <f ca="1"/>
        <v>0</v>
      </c>
    </row>
    <row r="175" spans="1:22" x14ac:dyDescent="0.3">
      <c r="A175" t="str">
        <f ca="1"/>
        <v>174</v>
      </c>
      <c r="B175" t="str">
        <f ca="1"/>
        <v>Huye_HS4_15</v>
      </c>
      <c r="C175">
        <f ca="1"/>
        <v>0.646069</v>
      </c>
      <c r="D175">
        <f ca="1"/>
        <v>0</v>
      </c>
      <c r="E175">
        <f ca="1"/>
        <v>0</v>
      </c>
      <c r="F175">
        <f ca="1"/>
        <v>0.35278100000000001</v>
      </c>
      <c r="G175">
        <f ca="1"/>
        <v>0</v>
      </c>
      <c r="H175">
        <f ca="1"/>
        <v>0.88306600000000002</v>
      </c>
      <c r="I175">
        <f ca="1"/>
        <v>0</v>
      </c>
      <c r="J175">
        <f ca="1"/>
        <v>0</v>
      </c>
      <c r="K175">
        <f ca="1"/>
        <v>0</v>
      </c>
      <c r="L175">
        <f ca="1"/>
        <v>0</v>
      </c>
      <c r="M175">
        <f ca="1"/>
        <v>0.453793</v>
      </c>
      <c r="N175">
        <f ca="1"/>
        <v>0</v>
      </c>
      <c r="O175">
        <f ca="1"/>
        <v>0</v>
      </c>
      <c r="P175">
        <f ca="1"/>
        <v>0.99249600000000004</v>
      </c>
      <c r="Q175">
        <f ca="1"/>
        <v>0</v>
      </c>
      <c r="R175">
        <f ca="1"/>
        <v>0.53684600000000005</v>
      </c>
      <c r="S175">
        <f ca="1"/>
        <v>0</v>
      </c>
      <c r="T175">
        <f ca="1"/>
        <v>0</v>
      </c>
      <c r="U175">
        <f ca="1"/>
        <v>0.99249600000000004</v>
      </c>
      <c r="V175">
        <f ca="1"/>
        <v>0</v>
      </c>
    </row>
    <row r="176" spans="1:22" x14ac:dyDescent="0.3">
      <c r="A176" t="str">
        <f ca="1"/>
        <v>175</v>
      </c>
      <c r="B176" t="str">
        <f ca="1"/>
        <v>Huye_HS5_15</v>
      </c>
      <c r="C176">
        <f ca="1"/>
        <v>0.45693400000000001</v>
      </c>
      <c r="D176">
        <f ca="1"/>
        <v>0.33735799999999999</v>
      </c>
      <c r="E176">
        <f ca="1"/>
        <v>6.8649999999999996E-3</v>
      </c>
      <c r="F176">
        <f ca="1"/>
        <v>0.35927900000000002</v>
      </c>
      <c r="G176">
        <f ca="1"/>
        <v>0</v>
      </c>
      <c r="H176">
        <f ca="1"/>
        <v>0.55050399999999999</v>
      </c>
      <c r="I176">
        <f ca="1"/>
        <v>0</v>
      </c>
      <c r="J176">
        <f ca="1"/>
        <v>0</v>
      </c>
      <c r="K176">
        <f ca="1"/>
        <v>0</v>
      </c>
      <c r="L176">
        <f ca="1"/>
        <v>0</v>
      </c>
      <c r="M176">
        <f ca="1"/>
        <v>0.34551900000000002</v>
      </c>
      <c r="N176">
        <f ca="1"/>
        <v>0</v>
      </c>
      <c r="O176">
        <f ca="1"/>
        <v>0</v>
      </c>
      <c r="P176">
        <f ca="1"/>
        <v>0.99896300000000005</v>
      </c>
      <c r="Q176">
        <f ca="1"/>
        <v>0</v>
      </c>
      <c r="R176">
        <f ca="1"/>
        <v>0.37787199999999999</v>
      </c>
      <c r="S176">
        <f ca="1"/>
        <v>0</v>
      </c>
      <c r="T176">
        <f ca="1"/>
        <v>0</v>
      </c>
      <c r="U176">
        <f ca="1"/>
        <v>0.99896300000000005</v>
      </c>
      <c r="V176">
        <f ca="1"/>
        <v>0</v>
      </c>
    </row>
    <row r="177" spans="1:22" x14ac:dyDescent="0.3">
      <c r="A177" t="str">
        <f ca="1"/>
        <v>176</v>
      </c>
      <c r="B177" t="str">
        <f ca="1"/>
        <v>Huye_HS6_15</v>
      </c>
      <c r="C177">
        <f ca="1"/>
        <v>0.59272499999999995</v>
      </c>
      <c r="D177">
        <f ca="1"/>
        <v>0.37190499999999999</v>
      </c>
      <c r="E177">
        <f ca="1"/>
        <v>0.01</v>
      </c>
      <c r="F177">
        <f ca="1"/>
        <v>0.16085199999999999</v>
      </c>
      <c r="G177">
        <f ca="1"/>
        <v>0</v>
      </c>
      <c r="H177">
        <f ca="1"/>
        <v>0.73365999999999998</v>
      </c>
      <c r="I177">
        <f ca="1"/>
        <v>0</v>
      </c>
      <c r="J177">
        <f ca="1"/>
        <v>0</v>
      </c>
      <c r="K177">
        <f ca="1"/>
        <v>0</v>
      </c>
      <c r="L177">
        <f ca="1"/>
        <v>0</v>
      </c>
      <c r="M177">
        <f ca="1"/>
        <v>0.42996899999999999</v>
      </c>
      <c r="N177">
        <f ca="1"/>
        <v>0</v>
      </c>
      <c r="O177">
        <f ca="1"/>
        <v>0</v>
      </c>
      <c r="P177">
        <f ca="1"/>
        <v>0.999058</v>
      </c>
      <c r="Q177">
        <f ca="1"/>
        <v>0</v>
      </c>
      <c r="R177">
        <f ca="1"/>
        <v>0.52399600000000002</v>
      </c>
      <c r="S177">
        <f ca="1"/>
        <v>0</v>
      </c>
      <c r="T177">
        <f ca="1"/>
        <v>0</v>
      </c>
      <c r="U177">
        <f ca="1"/>
        <v>0.999058</v>
      </c>
      <c r="V177">
        <f ca="1"/>
        <v>0</v>
      </c>
    </row>
    <row r="178" spans="1:22" x14ac:dyDescent="0.3">
      <c r="A178" t="str">
        <f ca="1"/>
        <v>177</v>
      </c>
      <c r="B178" t="str">
        <f ca="1"/>
        <v>Huye_HS7_15</v>
      </c>
      <c r="C178">
        <f ca="1"/>
        <v>1.2538260000000001</v>
      </c>
      <c r="D178">
        <f ca="1"/>
        <v>0.41482400000000003</v>
      </c>
      <c r="E178">
        <f ca="1"/>
        <v>0</v>
      </c>
      <c r="F178">
        <f ca="1"/>
        <v>0.22258900000000001</v>
      </c>
      <c r="G178">
        <f ca="1"/>
        <v>0.62978699999999999</v>
      </c>
      <c r="H178">
        <f ca="1"/>
        <v>0.44660899999999998</v>
      </c>
      <c r="I178">
        <f ca="1"/>
        <v>0</v>
      </c>
      <c r="J178">
        <f ca="1"/>
        <v>0</v>
      </c>
      <c r="K178">
        <f ca="1"/>
        <v>0.99811300000000003</v>
      </c>
      <c r="L178">
        <f ca="1"/>
        <v>0.226578</v>
      </c>
      <c r="M178">
        <f ca="1"/>
        <v>0.61057099999999997</v>
      </c>
      <c r="N178">
        <f ca="1"/>
        <v>0</v>
      </c>
      <c r="O178">
        <f ca="1"/>
        <v>0</v>
      </c>
      <c r="P178">
        <f ca="1"/>
        <v>0.99621499999999996</v>
      </c>
      <c r="Q178">
        <f ca="1"/>
        <v>0.87003900000000001</v>
      </c>
      <c r="R178">
        <f ca="1"/>
        <v>0.80741399999999997</v>
      </c>
      <c r="S178">
        <f ca="1"/>
        <v>0</v>
      </c>
      <c r="T178">
        <f ca="1"/>
        <v>0</v>
      </c>
      <c r="U178">
        <f ca="1"/>
        <v>0.99572499999999997</v>
      </c>
      <c r="V178">
        <f ca="1"/>
        <v>0.430398</v>
      </c>
    </row>
    <row r="179" spans="1:22" x14ac:dyDescent="0.3">
      <c r="A179" t="str">
        <f ca="1"/>
        <v>178</v>
      </c>
      <c r="B179" t="str">
        <f ca="1"/>
        <v>Huye_HS8_15</v>
      </c>
      <c r="C179">
        <f ca="1"/>
        <v>0.77734499999999995</v>
      </c>
      <c r="D179">
        <f ca="1"/>
        <v>0.82123000000000002</v>
      </c>
      <c r="E179">
        <f ca="1"/>
        <v>0</v>
      </c>
      <c r="F179">
        <f ca="1"/>
        <v>0.179395</v>
      </c>
      <c r="G179">
        <f ca="1"/>
        <v>0</v>
      </c>
      <c r="H179">
        <f ca="1"/>
        <v>1.187854</v>
      </c>
      <c r="I179">
        <f ca="1"/>
        <v>0</v>
      </c>
      <c r="J179">
        <f ca="1"/>
        <v>0</v>
      </c>
      <c r="K179">
        <f ca="1"/>
        <v>0</v>
      </c>
      <c r="L179">
        <f ca="1"/>
        <v>0</v>
      </c>
      <c r="M179">
        <f ca="1"/>
        <v>0.408725</v>
      </c>
      <c r="N179">
        <f ca="1"/>
        <v>0</v>
      </c>
      <c r="O179">
        <f ca="1"/>
        <v>0</v>
      </c>
      <c r="P179">
        <f ca="1"/>
        <v>0.99816700000000003</v>
      </c>
      <c r="Q179">
        <f ca="1"/>
        <v>0.31097200000000003</v>
      </c>
      <c r="R179">
        <f ca="1"/>
        <v>0.62741400000000003</v>
      </c>
      <c r="S179">
        <f ca="1"/>
        <v>0.38449499999999998</v>
      </c>
      <c r="T179">
        <f ca="1"/>
        <v>0.56000000000000005</v>
      </c>
      <c r="U179">
        <f ca="1"/>
        <v>0.62992800000000004</v>
      </c>
      <c r="V179">
        <f ca="1"/>
        <v>0</v>
      </c>
    </row>
    <row r="180" spans="1:22" x14ac:dyDescent="0.3">
      <c r="A180" t="str">
        <f ca="1"/>
        <v>179</v>
      </c>
      <c r="B180" t="str">
        <f ca="1"/>
        <v>Huye_HS9_15</v>
      </c>
      <c r="C180">
        <f ca="1"/>
        <v>0.76040300000000005</v>
      </c>
      <c r="D180">
        <f ca="1"/>
        <v>0.30590600000000001</v>
      </c>
      <c r="E180">
        <f ca="1"/>
        <v>0</v>
      </c>
      <c r="F180">
        <f ca="1"/>
        <v>0.23461000000000001</v>
      </c>
      <c r="G180">
        <f ca="1"/>
        <v>0.263158</v>
      </c>
      <c r="H180">
        <f ca="1"/>
        <v>1.2961020000000001</v>
      </c>
      <c r="I180">
        <f ca="1"/>
        <v>0</v>
      </c>
      <c r="J180">
        <f ca="1"/>
        <v>0</v>
      </c>
      <c r="K180">
        <f ca="1"/>
        <v>0</v>
      </c>
      <c r="L180">
        <f ca="1"/>
        <v>0</v>
      </c>
      <c r="M180">
        <f ca="1"/>
        <v>0.40790199999999999</v>
      </c>
      <c r="N180">
        <f ca="1"/>
        <v>0</v>
      </c>
      <c r="O180">
        <f ca="1"/>
        <v>0</v>
      </c>
      <c r="P180">
        <f ca="1"/>
        <v>0.99690599999999996</v>
      </c>
      <c r="Q180">
        <f ca="1"/>
        <v>0.45633600000000002</v>
      </c>
      <c r="R180">
        <f ca="1"/>
        <v>0.46033600000000002</v>
      </c>
      <c r="S180">
        <f ca="1"/>
        <v>0</v>
      </c>
      <c r="T180">
        <f ca="1"/>
        <v>0</v>
      </c>
      <c r="U180">
        <f ca="1"/>
        <v>0.99751500000000004</v>
      </c>
      <c r="V180">
        <f ca="1"/>
        <v>0.115795</v>
      </c>
    </row>
    <row r="181" spans="1:22" x14ac:dyDescent="0.3">
      <c r="A181" t="str">
        <f ca="1"/>
        <v>180</v>
      </c>
      <c r="B181" t="str">
        <f ca="1"/>
        <v>Jabana_I_15</v>
      </c>
      <c r="C181">
        <f ca="1"/>
        <v>1.001951</v>
      </c>
      <c r="D181">
        <f ca="1"/>
        <v>0.55035100000000003</v>
      </c>
      <c r="E181">
        <f ca="1"/>
        <v>3.1589999999999999E-3</v>
      </c>
      <c r="F181">
        <f ca="1"/>
        <v>0.37602000000000002</v>
      </c>
      <c r="G181">
        <f ca="1"/>
        <v>1</v>
      </c>
      <c r="H181">
        <f ca="1"/>
        <v>0.33780300000000002</v>
      </c>
      <c r="I181">
        <f ca="1"/>
        <v>0</v>
      </c>
      <c r="J181">
        <f ca="1"/>
        <v>0</v>
      </c>
      <c r="K181">
        <f ca="1"/>
        <v>0.999305</v>
      </c>
      <c r="L181">
        <f ca="1"/>
        <v>0.97181300000000004</v>
      </c>
      <c r="M181">
        <f ca="1"/>
        <v>0.27942899999999998</v>
      </c>
      <c r="N181">
        <f ca="1"/>
        <v>0</v>
      </c>
      <c r="O181">
        <f ca="1"/>
        <v>0</v>
      </c>
      <c r="P181">
        <f ca="1"/>
        <v>0.99658199999999997</v>
      </c>
      <c r="Q181">
        <f ca="1"/>
        <v>0.99934800000000001</v>
      </c>
      <c r="R181">
        <f ca="1"/>
        <v>0.45841999999999999</v>
      </c>
      <c r="S181">
        <f ca="1"/>
        <v>0</v>
      </c>
      <c r="T181">
        <f ca="1"/>
        <v>0</v>
      </c>
      <c r="U181">
        <f ca="1"/>
        <v>0.999865</v>
      </c>
      <c r="V181">
        <f ca="1"/>
        <v>0.99496300000000004</v>
      </c>
    </row>
    <row r="182" spans="1:22" x14ac:dyDescent="0.3">
      <c r="A182" t="str">
        <f ca="1"/>
        <v>181</v>
      </c>
      <c r="B182" t="str">
        <f ca="1"/>
        <v>Kabarondo_15</v>
      </c>
      <c r="C182">
        <f ca="1"/>
        <v>1.29443</v>
      </c>
      <c r="D182">
        <f ca="1"/>
        <v>0.40737000000000001</v>
      </c>
      <c r="E182">
        <f ca="1"/>
        <v>0</v>
      </c>
      <c r="F182">
        <f ca="1"/>
        <v>0.19266900000000001</v>
      </c>
      <c r="G182">
        <f ca="1"/>
        <v>0.76633200000000001</v>
      </c>
      <c r="H182">
        <f ca="1"/>
        <v>0.46185799999999999</v>
      </c>
      <c r="I182">
        <f ca="1"/>
        <v>0</v>
      </c>
      <c r="J182">
        <f ca="1"/>
        <v>0</v>
      </c>
      <c r="K182">
        <f ca="1"/>
        <v>0.98936599999999997</v>
      </c>
      <c r="L182">
        <f ca="1"/>
        <v>0.11268599999999999</v>
      </c>
      <c r="M182">
        <f ca="1"/>
        <v>0.55665699999999996</v>
      </c>
      <c r="N182">
        <f ca="1"/>
        <v>0</v>
      </c>
      <c r="O182">
        <f ca="1"/>
        <v>0</v>
      </c>
      <c r="P182">
        <f ca="1"/>
        <v>0.993923</v>
      </c>
      <c r="Q182">
        <f ca="1"/>
        <v>0.75873299999999999</v>
      </c>
      <c r="R182">
        <f ca="1"/>
        <v>0.75489300000000004</v>
      </c>
      <c r="S182">
        <f ca="1"/>
        <v>0</v>
      </c>
      <c r="T182">
        <f ca="1"/>
        <v>0</v>
      </c>
      <c r="U182">
        <f ca="1"/>
        <v>0.99414800000000003</v>
      </c>
      <c r="V182">
        <f ca="1"/>
        <v>0.45278299999999999</v>
      </c>
    </row>
    <row r="183" spans="1:22" x14ac:dyDescent="0.3">
      <c r="A183" t="str">
        <f ca="1"/>
        <v>182</v>
      </c>
      <c r="B183" t="str">
        <f ca="1"/>
        <v>Kamonyi_HS0_15</v>
      </c>
      <c r="C183">
        <f ca="1"/>
        <v>0.38082100000000002</v>
      </c>
      <c r="D183">
        <f ca="1"/>
        <v>0</v>
      </c>
      <c r="E183">
        <f ca="1"/>
        <v>0</v>
      </c>
      <c r="F183">
        <f ca="1"/>
        <v>0.15138799999999999</v>
      </c>
      <c r="G183">
        <f ca="1"/>
        <v>0</v>
      </c>
      <c r="H183">
        <f ca="1"/>
        <v>0.39426099999999997</v>
      </c>
      <c r="I183">
        <f ca="1"/>
        <v>0</v>
      </c>
      <c r="J183">
        <f ca="1"/>
        <v>0</v>
      </c>
      <c r="K183">
        <f ca="1"/>
        <v>0</v>
      </c>
      <c r="L183">
        <f ca="1"/>
        <v>0</v>
      </c>
      <c r="M183">
        <f ca="1"/>
        <v>0.36760199999999998</v>
      </c>
      <c r="N183">
        <f ca="1"/>
        <v>0.50756199999999996</v>
      </c>
      <c r="O183">
        <f ca="1"/>
        <v>0.55000000000000004</v>
      </c>
      <c r="P183">
        <f ca="1"/>
        <v>0</v>
      </c>
      <c r="Q183">
        <f ca="1"/>
        <v>0</v>
      </c>
      <c r="R183">
        <f ca="1"/>
        <v>0.36760199999999998</v>
      </c>
      <c r="S183">
        <f ca="1"/>
        <v>0.50756199999999996</v>
      </c>
      <c r="T183">
        <f ca="1"/>
        <v>0.55000000000000004</v>
      </c>
      <c r="U183">
        <f ca="1"/>
        <v>0</v>
      </c>
      <c r="V183">
        <f ca="1"/>
        <v>0</v>
      </c>
    </row>
    <row r="184" spans="1:22" x14ac:dyDescent="0.3">
      <c r="A184" t="str">
        <f ca="1"/>
        <v>183</v>
      </c>
      <c r="B184" t="str">
        <f ca="1"/>
        <v>Kamonyi_HS10_15</v>
      </c>
      <c r="C184">
        <f ca="1"/>
        <v>1.284314</v>
      </c>
      <c r="D184">
        <f ca="1"/>
        <v>0.44670599999999999</v>
      </c>
      <c r="E184">
        <f ca="1"/>
        <v>1.1232000000000001E-2</v>
      </c>
      <c r="F184">
        <f ca="1"/>
        <v>0.42020600000000002</v>
      </c>
      <c r="G184">
        <f ca="1"/>
        <v>0.95904</v>
      </c>
      <c r="H184">
        <f ca="1"/>
        <v>0.54192899999999999</v>
      </c>
      <c r="I184">
        <f ca="1"/>
        <v>0</v>
      </c>
      <c r="J184">
        <f ca="1"/>
        <v>0</v>
      </c>
      <c r="K184">
        <f ca="1"/>
        <v>0.99329500000000004</v>
      </c>
      <c r="L184">
        <f ca="1"/>
        <v>0.427172</v>
      </c>
      <c r="M184">
        <f ca="1"/>
        <v>0.58552199999999999</v>
      </c>
      <c r="N184">
        <f ca="1"/>
        <v>0</v>
      </c>
      <c r="O184">
        <f ca="1"/>
        <v>0</v>
      </c>
      <c r="P184">
        <f ca="1"/>
        <v>0.97240800000000005</v>
      </c>
      <c r="Q184">
        <f ca="1"/>
        <v>0.97175100000000003</v>
      </c>
      <c r="R184">
        <f ca="1"/>
        <v>0.88421499999999997</v>
      </c>
      <c r="S184">
        <f ca="1"/>
        <v>0</v>
      </c>
      <c r="T184">
        <f ca="1"/>
        <v>0</v>
      </c>
      <c r="U184">
        <f ca="1"/>
        <v>0.98153299999999999</v>
      </c>
      <c r="V184">
        <f ca="1"/>
        <v>0.78995400000000005</v>
      </c>
    </row>
    <row r="185" spans="1:22" x14ac:dyDescent="0.3">
      <c r="A185" t="str">
        <f ca="1"/>
        <v>184</v>
      </c>
      <c r="B185" t="str">
        <f ca="1"/>
        <v>Kamonyi_HS11_15</v>
      </c>
      <c r="C185">
        <f ca="1"/>
        <v>0.37488199999999999</v>
      </c>
      <c r="D185">
        <f ca="1"/>
        <v>0</v>
      </c>
      <c r="E185">
        <f ca="1"/>
        <v>0</v>
      </c>
      <c r="F185">
        <f ca="1"/>
        <v>0.64472200000000002</v>
      </c>
      <c r="G185">
        <f ca="1"/>
        <v>0</v>
      </c>
      <c r="H185">
        <f ca="1"/>
        <v>0.561589</v>
      </c>
      <c r="I185">
        <f ca="1"/>
        <v>0</v>
      </c>
      <c r="J185">
        <f ca="1"/>
        <v>0</v>
      </c>
      <c r="K185">
        <f ca="1"/>
        <v>0</v>
      </c>
      <c r="L185">
        <f ca="1"/>
        <v>0</v>
      </c>
      <c r="M185">
        <f ca="1"/>
        <v>0.39480399999999999</v>
      </c>
      <c r="N185">
        <f ca="1"/>
        <v>0</v>
      </c>
      <c r="O185">
        <f ca="1"/>
        <v>0</v>
      </c>
      <c r="P185">
        <f ca="1"/>
        <v>0.97073699999999996</v>
      </c>
      <c r="Q185">
        <f ca="1"/>
        <v>9.1800000000000007E-3</v>
      </c>
      <c r="R185">
        <f ca="1"/>
        <v>0.448291</v>
      </c>
      <c r="S185">
        <f ca="1"/>
        <v>0</v>
      </c>
      <c r="T185">
        <f ca="1"/>
        <v>0</v>
      </c>
      <c r="U185">
        <f ca="1"/>
        <v>0.97079300000000002</v>
      </c>
      <c r="V185">
        <f ca="1"/>
        <v>1.9009999999999999E-3</v>
      </c>
    </row>
    <row r="186" spans="1:22" x14ac:dyDescent="0.3">
      <c r="A186" t="str">
        <f ca="1"/>
        <v>185</v>
      </c>
      <c r="B186" t="str">
        <f ca="1"/>
        <v>Kamonyi_HS12_15</v>
      </c>
      <c r="C186">
        <f ca="1"/>
        <v>0.60711599999999999</v>
      </c>
      <c r="D186">
        <f ca="1"/>
        <v>0.97221800000000003</v>
      </c>
      <c r="E186">
        <f ca="1"/>
        <v>0</v>
      </c>
      <c r="F186">
        <f ca="1"/>
        <v>0.27498600000000001</v>
      </c>
      <c r="G186">
        <f ca="1"/>
        <v>0.272059</v>
      </c>
      <c r="H186">
        <f ca="1"/>
        <v>0.302116</v>
      </c>
      <c r="I186">
        <f ca="1"/>
        <v>0</v>
      </c>
      <c r="J186">
        <f ca="1"/>
        <v>0</v>
      </c>
      <c r="K186">
        <f ca="1"/>
        <v>0.98573900000000003</v>
      </c>
      <c r="L186">
        <f ca="1"/>
        <v>3.0009999999999998E-2</v>
      </c>
      <c r="M186">
        <f ca="1"/>
        <v>0.47203499999999998</v>
      </c>
      <c r="N186">
        <f ca="1"/>
        <v>0</v>
      </c>
      <c r="O186">
        <f ca="1"/>
        <v>0</v>
      </c>
      <c r="P186">
        <f ca="1"/>
        <v>0.98072400000000004</v>
      </c>
      <c r="Q186">
        <f ca="1"/>
        <v>0.70507200000000003</v>
      </c>
      <c r="R186">
        <f ca="1"/>
        <v>0.59112600000000004</v>
      </c>
      <c r="S186">
        <f ca="1"/>
        <v>0</v>
      </c>
      <c r="T186">
        <f ca="1"/>
        <v>0</v>
      </c>
      <c r="U186">
        <f ca="1"/>
        <v>0.98211300000000001</v>
      </c>
      <c r="V186">
        <f ca="1"/>
        <v>0.22394500000000001</v>
      </c>
    </row>
    <row r="187" spans="1:22" x14ac:dyDescent="0.3">
      <c r="A187" t="str">
        <f ca="1"/>
        <v>186</v>
      </c>
      <c r="B187" t="str">
        <f ca="1"/>
        <v>Kamonyi_HS13_15</v>
      </c>
      <c r="C187">
        <f ca="1"/>
        <v>0.191833</v>
      </c>
      <c r="D187">
        <f ca="1"/>
        <v>0</v>
      </c>
      <c r="E187">
        <f ca="1"/>
        <v>0</v>
      </c>
      <c r="F187">
        <f ca="1"/>
        <v>3.2078000000000002E-2</v>
      </c>
      <c r="G187">
        <f ca="1"/>
        <v>0</v>
      </c>
      <c r="H187">
        <f ca="1"/>
        <v>0.19414500000000001</v>
      </c>
      <c r="I187">
        <f ca="1"/>
        <v>0</v>
      </c>
      <c r="J187">
        <f ca="1"/>
        <v>0</v>
      </c>
      <c r="K187">
        <f ca="1"/>
        <v>0</v>
      </c>
      <c r="L187">
        <f ca="1"/>
        <v>0</v>
      </c>
      <c r="M187">
        <f ca="1"/>
        <v>0.10373</v>
      </c>
      <c r="N187">
        <f ca="1"/>
        <v>0.51343499999999997</v>
      </c>
      <c r="O187">
        <f ca="1"/>
        <v>0.57999999999999996</v>
      </c>
      <c r="P187">
        <f ca="1"/>
        <v>0</v>
      </c>
      <c r="Q187">
        <f ca="1"/>
        <v>0</v>
      </c>
      <c r="R187">
        <f ca="1"/>
        <v>0.10373</v>
      </c>
      <c r="S187">
        <f ca="1"/>
        <v>0.51343499999999997</v>
      </c>
      <c r="T187">
        <f ca="1"/>
        <v>0.57999999999999996</v>
      </c>
      <c r="U187">
        <f ca="1"/>
        <v>0</v>
      </c>
      <c r="V187">
        <f ca="1"/>
        <v>0</v>
      </c>
    </row>
    <row r="188" spans="1:22" x14ac:dyDescent="0.3">
      <c r="A188" t="str">
        <f ca="1"/>
        <v>187</v>
      </c>
      <c r="B188" t="str">
        <f ca="1"/>
        <v>Kamonyi_HS14_15</v>
      </c>
      <c r="C188">
        <f ca="1"/>
        <v>0.45713199999999998</v>
      </c>
      <c r="D188">
        <f ca="1"/>
        <v>0.25793899999999997</v>
      </c>
      <c r="E188">
        <f ca="1"/>
        <v>0</v>
      </c>
      <c r="F188">
        <f ca="1"/>
        <v>0.30190699999999998</v>
      </c>
      <c r="G188">
        <f ca="1"/>
        <v>0</v>
      </c>
      <c r="H188">
        <f ca="1"/>
        <v>0.54527599999999998</v>
      </c>
      <c r="I188">
        <f ca="1"/>
        <v>0</v>
      </c>
      <c r="J188">
        <f ca="1"/>
        <v>0</v>
      </c>
      <c r="K188">
        <f ca="1"/>
        <v>0</v>
      </c>
      <c r="L188">
        <f ca="1"/>
        <v>0</v>
      </c>
      <c r="M188">
        <f ca="1"/>
        <v>0.426311</v>
      </c>
      <c r="N188">
        <f ca="1"/>
        <v>0</v>
      </c>
      <c r="O188">
        <f ca="1"/>
        <v>0</v>
      </c>
      <c r="P188">
        <f ca="1"/>
        <v>0.99322299999999997</v>
      </c>
      <c r="Q188">
        <f ca="1"/>
        <v>0</v>
      </c>
      <c r="R188">
        <f ca="1"/>
        <v>0.496838</v>
      </c>
      <c r="S188">
        <f ca="1"/>
        <v>0</v>
      </c>
      <c r="T188">
        <f ca="1"/>
        <v>0</v>
      </c>
      <c r="U188">
        <f ca="1"/>
        <v>0.99322299999999997</v>
      </c>
      <c r="V188">
        <f ca="1"/>
        <v>0</v>
      </c>
    </row>
    <row r="189" spans="1:22" x14ac:dyDescent="0.3">
      <c r="A189" t="str">
        <f ca="1"/>
        <v>188</v>
      </c>
      <c r="B189" t="str">
        <f ca="1"/>
        <v>Kamonyi_HS15_15</v>
      </c>
      <c r="C189">
        <f ca="1"/>
        <v>0.281609</v>
      </c>
      <c r="D189">
        <f ca="1"/>
        <v>0.37979800000000002</v>
      </c>
      <c r="E189">
        <f ca="1"/>
        <v>0.01</v>
      </c>
      <c r="F189">
        <f ca="1"/>
        <v>0.36793599999999999</v>
      </c>
      <c r="G189">
        <f ca="1"/>
        <v>0</v>
      </c>
      <c r="H189">
        <f ca="1"/>
        <v>0.32340600000000003</v>
      </c>
      <c r="I189">
        <f ca="1"/>
        <v>0</v>
      </c>
      <c r="J189">
        <f ca="1"/>
        <v>0</v>
      </c>
      <c r="K189">
        <f ca="1"/>
        <v>0</v>
      </c>
      <c r="L189">
        <f ca="1"/>
        <v>0</v>
      </c>
      <c r="M189">
        <f ca="1"/>
        <v>0.43572300000000003</v>
      </c>
      <c r="N189">
        <f ca="1"/>
        <v>0.53037900000000004</v>
      </c>
      <c r="O189">
        <f ca="1"/>
        <v>0.49</v>
      </c>
      <c r="P189">
        <f ca="1"/>
        <v>0</v>
      </c>
      <c r="Q189">
        <f ca="1"/>
        <v>0</v>
      </c>
      <c r="R189">
        <f ca="1"/>
        <v>0.43572300000000003</v>
      </c>
      <c r="S189">
        <f ca="1"/>
        <v>0.53037900000000004</v>
      </c>
      <c r="T189">
        <f ca="1"/>
        <v>0.49</v>
      </c>
      <c r="U189">
        <f ca="1"/>
        <v>0</v>
      </c>
      <c r="V189">
        <f ca="1"/>
        <v>0</v>
      </c>
    </row>
    <row r="190" spans="1:22" x14ac:dyDescent="0.3">
      <c r="A190" t="str">
        <f ca="1"/>
        <v>189</v>
      </c>
      <c r="B190" t="str">
        <f ca="1"/>
        <v>Kamonyi_HS16_15</v>
      </c>
      <c r="C190">
        <f ca="1"/>
        <v>1.071429</v>
      </c>
      <c r="D190">
        <f ca="1"/>
        <v>0.42353099999999999</v>
      </c>
      <c r="E190">
        <f ca="1"/>
        <v>0</v>
      </c>
      <c r="F190">
        <f ca="1"/>
        <v>0.27217599999999997</v>
      </c>
      <c r="G190">
        <f ca="1"/>
        <v>0.80101999999999995</v>
      </c>
      <c r="H190">
        <f ca="1"/>
        <v>0.39457799999999998</v>
      </c>
      <c r="I190">
        <f ca="1"/>
        <v>0</v>
      </c>
      <c r="J190">
        <f ca="1"/>
        <v>0</v>
      </c>
      <c r="K190">
        <f ca="1"/>
        <v>0.99640399999999996</v>
      </c>
      <c r="L190">
        <f ca="1"/>
        <v>0.24060300000000001</v>
      </c>
      <c r="M190">
        <f ca="1"/>
        <v>0.45550600000000002</v>
      </c>
      <c r="N190">
        <f ca="1"/>
        <v>0</v>
      </c>
      <c r="O190">
        <f ca="1"/>
        <v>0</v>
      </c>
      <c r="P190">
        <f ca="1"/>
        <v>0.97078399999999998</v>
      </c>
      <c r="Q190">
        <f ca="1"/>
        <v>0.94845800000000002</v>
      </c>
      <c r="R190">
        <f ca="1"/>
        <v>0.62768500000000005</v>
      </c>
      <c r="S190">
        <f ca="1"/>
        <v>0</v>
      </c>
      <c r="T190">
        <f ca="1"/>
        <v>0</v>
      </c>
      <c r="U190">
        <f ca="1"/>
        <v>0.98695600000000006</v>
      </c>
      <c r="V190">
        <f ca="1"/>
        <v>0.66755200000000003</v>
      </c>
    </row>
    <row r="191" spans="1:22" x14ac:dyDescent="0.3">
      <c r="A191" t="str">
        <f ca="1"/>
        <v>190</v>
      </c>
      <c r="B191" t="str">
        <f ca="1"/>
        <v>Kamonyi_HS17_15</v>
      </c>
      <c r="C191">
        <f ca="1"/>
        <v>0.47285100000000002</v>
      </c>
      <c r="D191">
        <f ca="1"/>
        <v>0</v>
      </c>
      <c r="E191">
        <f ca="1"/>
        <v>0</v>
      </c>
      <c r="F191">
        <f ca="1"/>
        <v>0.34920600000000002</v>
      </c>
      <c r="G191">
        <f ca="1"/>
        <v>2.2988999999999999E-2</v>
      </c>
      <c r="H191">
        <f ca="1"/>
        <v>0.63328200000000001</v>
      </c>
      <c r="I191">
        <f ca="1"/>
        <v>0</v>
      </c>
      <c r="J191">
        <f ca="1"/>
        <v>0</v>
      </c>
      <c r="K191">
        <f ca="1"/>
        <v>0</v>
      </c>
      <c r="L191">
        <f ca="1"/>
        <v>0</v>
      </c>
      <c r="M191">
        <f ca="1"/>
        <v>0.35711399999999999</v>
      </c>
      <c r="N191">
        <f ca="1"/>
        <v>0</v>
      </c>
      <c r="O191">
        <f ca="1"/>
        <v>0</v>
      </c>
      <c r="P191">
        <f ca="1"/>
        <v>0.98810500000000001</v>
      </c>
      <c r="Q191">
        <f ca="1"/>
        <v>0.31268200000000002</v>
      </c>
      <c r="R191">
        <f ca="1"/>
        <v>0.41378100000000001</v>
      </c>
      <c r="S191">
        <f ca="1"/>
        <v>0</v>
      </c>
      <c r="T191">
        <f ca="1"/>
        <v>0</v>
      </c>
      <c r="U191">
        <f ca="1"/>
        <v>0.98877400000000004</v>
      </c>
      <c r="V191">
        <f ca="1"/>
        <v>4.5457999999999998E-2</v>
      </c>
    </row>
    <row r="192" spans="1:22" x14ac:dyDescent="0.3">
      <c r="A192" t="str">
        <f ca="1"/>
        <v>191</v>
      </c>
      <c r="B192" t="str">
        <f ca="1"/>
        <v>Kamonyi_HS18_15</v>
      </c>
      <c r="C192">
        <f ca="1"/>
        <v>0.57569800000000004</v>
      </c>
      <c r="D192">
        <f ca="1"/>
        <v>0</v>
      </c>
      <c r="E192">
        <f ca="1"/>
        <v>0</v>
      </c>
      <c r="F192">
        <f ca="1"/>
        <v>0.123085</v>
      </c>
      <c r="G192">
        <f ca="1"/>
        <v>0</v>
      </c>
      <c r="H192">
        <f ca="1"/>
        <v>0.63641800000000004</v>
      </c>
      <c r="I192">
        <f ca="1"/>
        <v>0</v>
      </c>
      <c r="J192">
        <f ca="1"/>
        <v>0</v>
      </c>
      <c r="K192">
        <f ca="1"/>
        <v>0</v>
      </c>
      <c r="L192">
        <f ca="1"/>
        <v>0</v>
      </c>
      <c r="M192">
        <f ca="1"/>
        <v>0.31978000000000001</v>
      </c>
      <c r="N192">
        <f ca="1"/>
        <v>0</v>
      </c>
      <c r="O192">
        <f ca="1"/>
        <v>0</v>
      </c>
      <c r="P192">
        <f ca="1"/>
        <v>0.98723000000000005</v>
      </c>
      <c r="Q192">
        <f ca="1"/>
        <v>0</v>
      </c>
      <c r="R192">
        <f ca="1"/>
        <v>0.35430899999999999</v>
      </c>
      <c r="S192">
        <f ca="1"/>
        <v>0</v>
      </c>
      <c r="T192">
        <f ca="1"/>
        <v>0</v>
      </c>
      <c r="U192">
        <f ca="1"/>
        <v>0.98723000000000005</v>
      </c>
      <c r="V192">
        <f ca="1"/>
        <v>0</v>
      </c>
    </row>
    <row r="193" spans="1:22" x14ac:dyDescent="0.3">
      <c r="A193" t="str">
        <f ca="1"/>
        <v>192</v>
      </c>
      <c r="B193" t="str">
        <f ca="1"/>
        <v>Kamonyi_HS19_15</v>
      </c>
      <c r="C193">
        <f ca="1"/>
        <v>0.569438</v>
      </c>
      <c r="D193">
        <f ca="1"/>
        <v>0.42348599999999997</v>
      </c>
      <c r="E193">
        <f ca="1"/>
        <v>0</v>
      </c>
      <c r="F193">
        <f ca="1"/>
        <v>0.32627099999999998</v>
      </c>
      <c r="G193">
        <f ca="1"/>
        <v>0.96428599999999998</v>
      </c>
      <c r="H193">
        <f ca="1"/>
        <v>0.249781</v>
      </c>
      <c r="I193">
        <f ca="1"/>
        <v>0</v>
      </c>
      <c r="J193">
        <f ca="1"/>
        <v>0</v>
      </c>
      <c r="K193">
        <f ca="1"/>
        <v>0.99507999999999996</v>
      </c>
      <c r="L193">
        <f ca="1"/>
        <v>0.459704</v>
      </c>
      <c r="M193">
        <f ca="1"/>
        <v>0.24645</v>
      </c>
      <c r="N193">
        <f ca="1"/>
        <v>0</v>
      </c>
      <c r="O193">
        <f ca="1"/>
        <v>0</v>
      </c>
      <c r="P193">
        <f ca="1"/>
        <v>0.93728199999999995</v>
      </c>
      <c r="Q193">
        <f ca="1"/>
        <v>0.985703</v>
      </c>
      <c r="R193">
        <f ca="1"/>
        <v>0.37808599999999998</v>
      </c>
      <c r="S193">
        <f ca="1"/>
        <v>0</v>
      </c>
      <c r="T193">
        <f ca="1"/>
        <v>0</v>
      </c>
      <c r="U193">
        <f ca="1"/>
        <v>0.97508099999999998</v>
      </c>
      <c r="V193">
        <f ca="1"/>
        <v>0.85415200000000002</v>
      </c>
    </row>
    <row r="194" spans="1:22" x14ac:dyDescent="0.3">
      <c r="A194" t="str">
        <f ca="1"/>
        <v>193</v>
      </c>
      <c r="B194" t="str">
        <f ca="1"/>
        <v>Kamonyi_HS1_15</v>
      </c>
      <c r="C194">
        <f ca="1"/>
        <v>0.99619999999999997</v>
      </c>
      <c r="D194">
        <f ca="1"/>
        <v>0.30430400000000002</v>
      </c>
      <c r="E194">
        <f ca="1"/>
        <v>0</v>
      </c>
      <c r="F194">
        <f ca="1"/>
        <v>0.20479800000000001</v>
      </c>
      <c r="G194">
        <f ca="1"/>
        <v>0.42631599999999997</v>
      </c>
      <c r="H194">
        <f ca="1"/>
        <v>0.45476800000000001</v>
      </c>
      <c r="I194">
        <f ca="1"/>
        <v>0</v>
      </c>
      <c r="J194">
        <f ca="1"/>
        <v>0</v>
      </c>
      <c r="K194">
        <f ca="1"/>
        <v>0.99519599999999997</v>
      </c>
      <c r="L194">
        <f ca="1"/>
        <v>3.7213000000000003E-2</v>
      </c>
      <c r="M194">
        <f ca="1"/>
        <v>0.68194999999999995</v>
      </c>
      <c r="N194">
        <f ca="1"/>
        <v>0</v>
      </c>
      <c r="O194">
        <f ca="1"/>
        <v>0</v>
      </c>
      <c r="P194">
        <f ca="1"/>
        <v>0.99207999999999996</v>
      </c>
      <c r="Q194">
        <f ca="1"/>
        <v>0.635687</v>
      </c>
      <c r="R194">
        <f ca="1"/>
        <v>0.99699800000000005</v>
      </c>
      <c r="S194">
        <f ca="1"/>
        <v>0.45622499999999999</v>
      </c>
      <c r="T194">
        <f ca="1"/>
        <v>0.5</v>
      </c>
      <c r="U194">
        <f ca="1"/>
        <v>0.66660799999999998</v>
      </c>
      <c r="V194">
        <f ca="1"/>
        <v>0.14072999999999999</v>
      </c>
    </row>
    <row r="195" spans="1:22" x14ac:dyDescent="0.3">
      <c r="A195" t="str">
        <f ca="1"/>
        <v>194</v>
      </c>
      <c r="B195" t="str">
        <f ca="1"/>
        <v>Kamonyi_HS2_15</v>
      </c>
      <c r="C195">
        <f ca="1"/>
        <v>0.954816</v>
      </c>
      <c r="D195">
        <f ca="1"/>
        <v>0</v>
      </c>
      <c r="E195">
        <f ca="1"/>
        <v>0</v>
      </c>
      <c r="F195">
        <f ca="1"/>
        <v>0.573708</v>
      </c>
      <c r="G195">
        <f ca="1"/>
        <v>0</v>
      </c>
      <c r="H195">
        <f ca="1"/>
        <v>0.84143599999999996</v>
      </c>
      <c r="I195">
        <f ca="1"/>
        <v>0</v>
      </c>
      <c r="J195">
        <f ca="1"/>
        <v>0</v>
      </c>
      <c r="K195">
        <f ca="1"/>
        <v>0.65202800000000005</v>
      </c>
      <c r="L195">
        <f ca="1"/>
        <v>0</v>
      </c>
      <c r="M195">
        <f ca="1"/>
        <v>0.43057899999999999</v>
      </c>
      <c r="N195">
        <f ca="1"/>
        <v>0</v>
      </c>
      <c r="O195">
        <f ca="1"/>
        <v>0</v>
      </c>
      <c r="P195">
        <f ca="1"/>
        <v>0.99333000000000005</v>
      </c>
      <c r="Q195">
        <f ca="1"/>
        <v>0</v>
      </c>
      <c r="R195">
        <f ca="1"/>
        <v>0.51038700000000004</v>
      </c>
      <c r="S195">
        <f ca="1"/>
        <v>0</v>
      </c>
      <c r="T195">
        <f ca="1"/>
        <v>0</v>
      </c>
      <c r="U195">
        <f ca="1"/>
        <v>0.99333000000000005</v>
      </c>
      <c r="V195">
        <f ca="1"/>
        <v>0</v>
      </c>
    </row>
    <row r="196" spans="1:22" x14ac:dyDescent="0.3">
      <c r="A196" t="str">
        <f ca="1"/>
        <v>195</v>
      </c>
      <c r="B196" t="str">
        <f ca="1"/>
        <v>Kamonyi_HS3_15</v>
      </c>
      <c r="C196">
        <f ca="1"/>
        <v>0.35742000000000002</v>
      </c>
      <c r="D196">
        <f ca="1"/>
        <v>0</v>
      </c>
      <c r="E196">
        <f ca="1"/>
        <v>0</v>
      </c>
      <c r="F196">
        <f ca="1"/>
        <v>0.40365899999999999</v>
      </c>
      <c r="G196">
        <f ca="1"/>
        <v>0</v>
      </c>
      <c r="H196">
        <f ca="1"/>
        <v>0.38986599999999999</v>
      </c>
      <c r="I196">
        <f ca="1"/>
        <v>0</v>
      </c>
      <c r="J196">
        <f ca="1"/>
        <v>0</v>
      </c>
      <c r="K196">
        <f ca="1"/>
        <v>0</v>
      </c>
      <c r="L196">
        <f ca="1"/>
        <v>0</v>
      </c>
      <c r="M196">
        <f ca="1"/>
        <v>0.478408</v>
      </c>
      <c r="N196">
        <f ca="1"/>
        <v>0.58375999999999995</v>
      </c>
      <c r="O196">
        <f ca="1"/>
        <v>0.51</v>
      </c>
      <c r="P196">
        <f ca="1"/>
        <v>0</v>
      </c>
      <c r="Q196">
        <f ca="1"/>
        <v>0</v>
      </c>
      <c r="R196">
        <f ca="1"/>
        <v>0.478408</v>
      </c>
      <c r="S196">
        <f ca="1"/>
        <v>0.58375999999999995</v>
      </c>
      <c r="T196">
        <f ca="1"/>
        <v>0.51</v>
      </c>
      <c r="U196">
        <f ca="1"/>
        <v>0</v>
      </c>
      <c r="V196">
        <f ca="1"/>
        <v>0</v>
      </c>
    </row>
    <row r="197" spans="1:22" x14ac:dyDescent="0.3">
      <c r="A197" t="str">
        <f ca="1"/>
        <v>196</v>
      </c>
      <c r="B197" t="str">
        <f ca="1"/>
        <v>Kamonyi_HS4_15</v>
      </c>
      <c r="C197">
        <f ca="1"/>
        <v>1.1017939999999999</v>
      </c>
      <c r="D197">
        <f ca="1"/>
        <v>0.39672200000000002</v>
      </c>
      <c r="E197">
        <f ca="1"/>
        <v>1.1934999999999999E-2</v>
      </c>
      <c r="F197">
        <f ca="1"/>
        <v>0.38785199999999997</v>
      </c>
      <c r="G197">
        <f ca="1"/>
        <v>0.55555600000000005</v>
      </c>
      <c r="H197">
        <f ca="1"/>
        <v>0.48532799999999998</v>
      </c>
      <c r="I197">
        <f ca="1"/>
        <v>0</v>
      </c>
      <c r="J197">
        <f ca="1"/>
        <v>0</v>
      </c>
      <c r="K197">
        <f ca="1"/>
        <v>0.99343800000000004</v>
      </c>
      <c r="L197">
        <f ca="1"/>
        <v>0.117689</v>
      </c>
      <c r="M197">
        <f ca="1"/>
        <v>0.82239799999999996</v>
      </c>
      <c r="N197">
        <f ca="1"/>
        <v>0</v>
      </c>
      <c r="O197">
        <f ca="1"/>
        <v>0</v>
      </c>
      <c r="P197">
        <f ca="1"/>
        <v>0.96305099999999999</v>
      </c>
      <c r="Q197">
        <f ca="1"/>
        <v>0.79707300000000003</v>
      </c>
      <c r="R197">
        <f ca="1"/>
        <v>0.99194499999999997</v>
      </c>
      <c r="S197">
        <f ca="1"/>
        <v>0</v>
      </c>
      <c r="T197">
        <f ca="1"/>
        <v>0</v>
      </c>
      <c r="U197">
        <f ca="1"/>
        <v>0.97094599999999998</v>
      </c>
      <c r="V197">
        <f ca="1"/>
        <v>0.298703</v>
      </c>
    </row>
    <row r="198" spans="1:22" x14ac:dyDescent="0.3">
      <c r="A198" t="str">
        <f ca="1"/>
        <v>197</v>
      </c>
      <c r="B198" t="str">
        <f ca="1"/>
        <v>Kamonyi_HS5_15</v>
      </c>
      <c r="C198">
        <f ca="1"/>
        <v>0.88683599999999996</v>
      </c>
      <c r="D198">
        <f ca="1"/>
        <v>0.53131399999999995</v>
      </c>
      <c r="E198">
        <f ca="1"/>
        <v>0.01</v>
      </c>
      <c r="F198">
        <f ca="1"/>
        <v>0.41578900000000002</v>
      </c>
      <c r="G198">
        <f ca="1"/>
        <v>0.30857099999999998</v>
      </c>
      <c r="H198">
        <f ca="1"/>
        <v>0.38500800000000002</v>
      </c>
      <c r="I198">
        <f ca="1"/>
        <v>0</v>
      </c>
      <c r="J198">
        <f ca="1"/>
        <v>0</v>
      </c>
      <c r="K198">
        <f ca="1"/>
        <v>0.99198699999999995</v>
      </c>
      <c r="L198">
        <f ca="1"/>
        <v>4.8837999999999999E-2</v>
      </c>
      <c r="M198">
        <f ca="1"/>
        <v>0.73595699999999997</v>
      </c>
      <c r="N198">
        <f ca="1"/>
        <v>0.45557300000000001</v>
      </c>
      <c r="O198">
        <f ca="1"/>
        <v>0.55000000000000004</v>
      </c>
      <c r="P198">
        <f ca="1"/>
        <v>0.52449800000000002</v>
      </c>
      <c r="Q198">
        <f ca="1"/>
        <v>0.71642899999999998</v>
      </c>
      <c r="R198">
        <f ca="1"/>
        <v>0.86728700000000003</v>
      </c>
      <c r="S198">
        <f ca="1"/>
        <v>0.45569999999999999</v>
      </c>
      <c r="T198">
        <f ca="1"/>
        <v>0.55000000000000004</v>
      </c>
      <c r="U198">
        <f ca="1"/>
        <v>0.62929800000000002</v>
      </c>
      <c r="V198">
        <f ca="1"/>
        <v>0.34748000000000001</v>
      </c>
    </row>
    <row r="199" spans="1:22" x14ac:dyDescent="0.3">
      <c r="A199" t="str">
        <f ca="1"/>
        <v>198</v>
      </c>
      <c r="B199" t="str">
        <f ca="1"/>
        <v>Kamonyi_HS6_15</v>
      </c>
      <c r="C199">
        <f ca="1"/>
        <v>0.85643199999999997</v>
      </c>
      <c r="D199">
        <f ca="1"/>
        <v>0</v>
      </c>
      <c r="E199">
        <f ca="1"/>
        <v>0</v>
      </c>
      <c r="F199">
        <f ca="1"/>
        <v>0.35855599999999999</v>
      </c>
      <c r="G199">
        <f ca="1"/>
        <v>0.52343799999999996</v>
      </c>
      <c r="H199">
        <f ca="1"/>
        <v>0.41811100000000001</v>
      </c>
      <c r="I199">
        <f ca="1"/>
        <v>0</v>
      </c>
      <c r="J199">
        <f ca="1"/>
        <v>0</v>
      </c>
      <c r="K199">
        <f ca="1"/>
        <v>0.99311899999999997</v>
      </c>
      <c r="L199">
        <f ca="1"/>
        <v>0.16711400000000001</v>
      </c>
      <c r="M199">
        <f ca="1"/>
        <v>0.72035499999999997</v>
      </c>
      <c r="N199">
        <f ca="1"/>
        <v>0</v>
      </c>
      <c r="O199">
        <f ca="1"/>
        <v>0</v>
      </c>
      <c r="P199">
        <f ca="1"/>
        <v>0.93061400000000005</v>
      </c>
      <c r="Q199">
        <f ca="1"/>
        <v>0.89189799999999997</v>
      </c>
      <c r="R199">
        <f ca="1"/>
        <v>0.87246699999999999</v>
      </c>
      <c r="S199">
        <f ca="1"/>
        <v>0</v>
      </c>
      <c r="T199">
        <f ca="1"/>
        <v>0</v>
      </c>
      <c r="U199">
        <f ca="1"/>
        <v>0.95187600000000006</v>
      </c>
      <c r="V199">
        <f ca="1"/>
        <v>0.45802999999999999</v>
      </c>
    </row>
    <row r="200" spans="1:22" x14ac:dyDescent="0.3">
      <c r="A200" t="str">
        <f ca="1"/>
        <v>199</v>
      </c>
      <c r="B200" t="str">
        <f ca="1"/>
        <v>Kamonyi_HS7_15</v>
      </c>
      <c r="C200">
        <f ca="1"/>
        <v>0.35765200000000003</v>
      </c>
      <c r="D200">
        <f ca="1"/>
        <v>0</v>
      </c>
      <c r="E200">
        <f ca="1"/>
        <v>0</v>
      </c>
      <c r="F200">
        <f ca="1"/>
        <v>0.14300099999999999</v>
      </c>
      <c r="G200">
        <f ca="1"/>
        <v>0.3</v>
      </c>
      <c r="H200">
        <f ca="1"/>
        <v>0.19819100000000001</v>
      </c>
      <c r="I200">
        <f ca="1"/>
        <v>0.780443</v>
      </c>
      <c r="J200">
        <f ca="1"/>
        <v>0.53</v>
      </c>
      <c r="K200">
        <f ca="1"/>
        <v>0</v>
      </c>
      <c r="L200">
        <f ca="1"/>
        <v>0</v>
      </c>
      <c r="M200">
        <f ca="1"/>
        <v>0.28028500000000001</v>
      </c>
      <c r="N200">
        <f ca="1"/>
        <v>0.56251200000000001</v>
      </c>
      <c r="O200">
        <f ca="1"/>
        <v>0.51</v>
      </c>
      <c r="P200">
        <f ca="1"/>
        <v>0</v>
      </c>
      <c r="Q200">
        <f ca="1"/>
        <v>0</v>
      </c>
      <c r="R200">
        <f ca="1"/>
        <v>0.370452</v>
      </c>
      <c r="S200">
        <f ca="1"/>
        <v>0.45227899999999999</v>
      </c>
      <c r="T200">
        <f ca="1"/>
        <v>0.49</v>
      </c>
      <c r="U200">
        <f ca="1"/>
        <v>0</v>
      </c>
      <c r="V200">
        <f ca="1"/>
        <v>0</v>
      </c>
    </row>
    <row r="201" spans="1:22" x14ac:dyDescent="0.3">
      <c r="A201" t="str">
        <f ca="1"/>
        <v>200</v>
      </c>
      <c r="B201" t="str">
        <f ca="1"/>
        <v>Kamonyi_HS8_15</v>
      </c>
      <c r="C201">
        <f ca="1"/>
        <v>1.6459569999999999</v>
      </c>
      <c r="D201">
        <f ca="1"/>
        <v>0.97984099999999996</v>
      </c>
      <c r="E201">
        <f ca="1"/>
        <v>5.8279999999999998E-3</v>
      </c>
      <c r="F201">
        <f ca="1"/>
        <v>0.55077299999999996</v>
      </c>
      <c r="G201">
        <f ca="1"/>
        <v>0.898451</v>
      </c>
      <c r="H201">
        <f ca="1"/>
        <v>0.66871199999999997</v>
      </c>
      <c r="I201">
        <f ca="1"/>
        <v>0.38419500000000001</v>
      </c>
      <c r="J201">
        <f ca="1"/>
        <v>0.56999999999999995</v>
      </c>
      <c r="K201">
        <f ca="1"/>
        <v>0.78114899999999998</v>
      </c>
      <c r="L201">
        <f ca="1"/>
        <v>0.64234199999999997</v>
      </c>
      <c r="M201">
        <f ca="1"/>
        <v>0.50390900000000005</v>
      </c>
      <c r="N201">
        <f ca="1"/>
        <v>0</v>
      </c>
      <c r="O201">
        <f ca="1"/>
        <v>0</v>
      </c>
      <c r="P201">
        <f ca="1"/>
        <v>0.99694400000000005</v>
      </c>
      <c r="Q201">
        <f ca="1"/>
        <v>0.96982199999999996</v>
      </c>
      <c r="R201">
        <f ca="1"/>
        <v>0.77758300000000002</v>
      </c>
      <c r="S201">
        <f ca="1"/>
        <v>0</v>
      </c>
      <c r="T201">
        <f ca="1"/>
        <v>0</v>
      </c>
      <c r="U201">
        <f ca="1"/>
        <v>0.99856800000000001</v>
      </c>
      <c r="V201">
        <f ca="1"/>
        <v>0.868946</v>
      </c>
    </row>
    <row r="202" spans="1:22" x14ac:dyDescent="0.3">
      <c r="A202" t="str">
        <f ca="1"/>
        <v>201</v>
      </c>
      <c r="B202" t="str">
        <f ca="1"/>
        <v>Kamonyi_HS9_15</v>
      </c>
      <c r="C202">
        <f ca="1"/>
        <v>0.49739899999999998</v>
      </c>
      <c r="D202">
        <f ca="1"/>
        <v>0</v>
      </c>
      <c r="E202">
        <f ca="1"/>
        <v>0</v>
      </c>
      <c r="F202">
        <f ca="1"/>
        <v>0.124976</v>
      </c>
      <c r="G202">
        <f ca="1"/>
        <v>0.184615</v>
      </c>
      <c r="H202">
        <f ca="1"/>
        <v>0.80603000000000002</v>
      </c>
      <c r="I202">
        <f ca="1"/>
        <v>0</v>
      </c>
      <c r="J202">
        <f ca="1"/>
        <v>0</v>
      </c>
      <c r="K202">
        <f ca="1"/>
        <v>0</v>
      </c>
      <c r="L202">
        <f ca="1"/>
        <v>0</v>
      </c>
      <c r="M202">
        <f ca="1"/>
        <v>0.39717400000000003</v>
      </c>
      <c r="N202">
        <f ca="1"/>
        <v>0</v>
      </c>
      <c r="O202">
        <f ca="1"/>
        <v>0</v>
      </c>
      <c r="P202">
        <f ca="1"/>
        <v>0.967727</v>
      </c>
      <c r="Q202">
        <f ca="1"/>
        <v>0.36285000000000001</v>
      </c>
      <c r="R202">
        <f ca="1"/>
        <v>0.45247700000000002</v>
      </c>
      <c r="S202">
        <f ca="1"/>
        <v>0</v>
      </c>
      <c r="T202">
        <f ca="1"/>
        <v>0</v>
      </c>
      <c r="U202">
        <f ca="1"/>
        <v>0.97031800000000001</v>
      </c>
      <c r="V202">
        <f ca="1"/>
        <v>9.9615999999999996E-2</v>
      </c>
    </row>
    <row r="203" spans="1:22" x14ac:dyDescent="0.3">
      <c r="A203" t="str">
        <f ca="1"/>
        <v>202</v>
      </c>
      <c r="B203" t="str">
        <f ca="1"/>
        <v>Karongi_15</v>
      </c>
      <c r="C203">
        <f ca="1"/>
        <v>0.637764</v>
      </c>
      <c r="D203">
        <f ca="1"/>
        <v>0</v>
      </c>
      <c r="E203">
        <f ca="1"/>
        <v>0</v>
      </c>
      <c r="F203">
        <f ca="1"/>
        <v>0.37417699999999998</v>
      </c>
      <c r="G203">
        <f ca="1"/>
        <v>0</v>
      </c>
      <c r="H203">
        <f ca="1"/>
        <v>0.82813400000000004</v>
      </c>
      <c r="I203">
        <f ca="1"/>
        <v>0</v>
      </c>
      <c r="J203">
        <f ca="1"/>
        <v>0</v>
      </c>
      <c r="K203">
        <f ca="1"/>
        <v>0</v>
      </c>
      <c r="L203">
        <f ca="1"/>
        <v>0</v>
      </c>
      <c r="M203">
        <f ca="1"/>
        <v>0.54961899999999997</v>
      </c>
      <c r="N203">
        <f ca="1"/>
        <v>0</v>
      </c>
      <c r="O203">
        <f ca="1"/>
        <v>0</v>
      </c>
      <c r="P203">
        <f ca="1"/>
        <v>0.96839900000000001</v>
      </c>
      <c r="Q203">
        <f ca="1"/>
        <v>3.8579999999999999E-3</v>
      </c>
      <c r="R203">
        <f ca="1"/>
        <v>0.63668999999999998</v>
      </c>
      <c r="S203">
        <f ca="1"/>
        <v>0</v>
      </c>
      <c r="T203">
        <f ca="1"/>
        <v>0</v>
      </c>
      <c r="U203">
        <f ca="1"/>
        <v>0.96868399999999999</v>
      </c>
      <c r="V203">
        <f ca="1"/>
        <v>2.2910000000000001E-3</v>
      </c>
    </row>
    <row r="204" spans="1:22" x14ac:dyDescent="0.3">
      <c r="A204" t="str">
        <f ca="1"/>
        <v>203</v>
      </c>
      <c r="B204" t="str">
        <f ca="1"/>
        <v>Karongi_HS0_15</v>
      </c>
      <c r="C204">
        <f ca="1"/>
        <v>0.75755499999999998</v>
      </c>
      <c r="D204">
        <f ca="1"/>
        <v>0</v>
      </c>
      <c r="E204">
        <f ca="1"/>
        <v>0</v>
      </c>
      <c r="F204">
        <f ca="1"/>
        <v>0.33053500000000002</v>
      </c>
      <c r="G204">
        <f ca="1"/>
        <v>0</v>
      </c>
      <c r="H204">
        <f ca="1"/>
        <v>1.0178560000000001</v>
      </c>
      <c r="I204">
        <f ca="1"/>
        <v>0</v>
      </c>
      <c r="J204">
        <f ca="1"/>
        <v>0</v>
      </c>
      <c r="K204">
        <f ca="1"/>
        <v>0</v>
      </c>
      <c r="L204">
        <f ca="1"/>
        <v>0</v>
      </c>
      <c r="M204">
        <f ca="1"/>
        <v>0.45349800000000001</v>
      </c>
      <c r="N204">
        <f ca="1"/>
        <v>0</v>
      </c>
      <c r="O204">
        <f ca="1"/>
        <v>0</v>
      </c>
      <c r="P204">
        <f ca="1"/>
        <v>0.98651500000000003</v>
      </c>
      <c r="Q204">
        <f ca="1"/>
        <v>4.5578E-2</v>
      </c>
      <c r="R204">
        <f ca="1"/>
        <v>0.53466999999999998</v>
      </c>
      <c r="S204">
        <f ca="1"/>
        <v>0</v>
      </c>
      <c r="T204">
        <f ca="1"/>
        <v>0</v>
      </c>
      <c r="U204">
        <f ca="1"/>
        <v>0.98630399999999996</v>
      </c>
      <c r="V204">
        <f ca="1"/>
        <v>1.5516E-2</v>
      </c>
    </row>
    <row r="205" spans="1:22" x14ac:dyDescent="0.3">
      <c r="A205" t="str">
        <f ca="1"/>
        <v>204</v>
      </c>
      <c r="B205" t="str">
        <f ca="1"/>
        <v>Karongi_HS10_15</v>
      </c>
      <c r="C205">
        <f ca="1"/>
        <v>0.22061</v>
      </c>
      <c r="D205">
        <f ca="1"/>
        <v>0</v>
      </c>
      <c r="E205">
        <f ca="1"/>
        <v>0</v>
      </c>
      <c r="F205">
        <f ca="1"/>
        <v>0.14507700000000001</v>
      </c>
      <c r="G205">
        <f ca="1"/>
        <v>0</v>
      </c>
      <c r="H205">
        <f ca="1"/>
        <v>0.21701799999999999</v>
      </c>
      <c r="I205">
        <f ca="1"/>
        <v>0</v>
      </c>
      <c r="J205">
        <f ca="1"/>
        <v>0</v>
      </c>
      <c r="K205">
        <f ca="1"/>
        <v>0</v>
      </c>
      <c r="L205">
        <f ca="1"/>
        <v>0</v>
      </c>
      <c r="M205">
        <f ca="1"/>
        <v>0.32657599999999998</v>
      </c>
      <c r="N205">
        <f ca="1"/>
        <v>0.71899199999999996</v>
      </c>
      <c r="O205">
        <f ca="1"/>
        <v>0.49</v>
      </c>
      <c r="P205">
        <f ca="1"/>
        <v>0</v>
      </c>
      <c r="Q205">
        <f ca="1"/>
        <v>0</v>
      </c>
      <c r="R205">
        <f ca="1"/>
        <v>0.32657599999999998</v>
      </c>
      <c r="S205">
        <f ca="1"/>
        <v>0.71899199999999996</v>
      </c>
      <c r="T205">
        <f ca="1"/>
        <v>0.49</v>
      </c>
      <c r="U205">
        <f ca="1"/>
        <v>0</v>
      </c>
      <c r="V205">
        <f ca="1"/>
        <v>0</v>
      </c>
    </row>
    <row r="206" spans="1:22" x14ac:dyDescent="0.3">
      <c r="A206" t="str">
        <f ca="1"/>
        <v>205</v>
      </c>
      <c r="B206" t="str">
        <f ca="1"/>
        <v>Karongi_HS11_15</v>
      </c>
      <c r="C206">
        <f ca="1"/>
        <v>0.15113499999999999</v>
      </c>
      <c r="D206">
        <f ca="1"/>
        <v>0</v>
      </c>
      <c r="E206">
        <f ca="1"/>
        <v>0</v>
      </c>
      <c r="F206">
        <f ca="1"/>
        <v>8.2957000000000003E-2</v>
      </c>
      <c r="G206">
        <f ca="1"/>
        <v>0</v>
      </c>
      <c r="H206">
        <f ca="1"/>
        <v>0.27648</v>
      </c>
      <c r="I206">
        <f ca="1"/>
        <v>0</v>
      </c>
      <c r="J206">
        <f ca="1"/>
        <v>0</v>
      </c>
      <c r="K206">
        <f ca="1"/>
        <v>0</v>
      </c>
      <c r="L206">
        <f ca="1"/>
        <v>0</v>
      </c>
      <c r="M206">
        <f ca="1"/>
        <v>0.80826699999999996</v>
      </c>
      <c r="N206">
        <f ca="1"/>
        <v>0</v>
      </c>
      <c r="O206">
        <f ca="1"/>
        <v>0</v>
      </c>
      <c r="P206">
        <f ca="1"/>
        <v>0</v>
      </c>
      <c r="Q206">
        <f ca="1"/>
        <v>0</v>
      </c>
      <c r="R206">
        <f ca="1"/>
        <v>0.93995499999999998</v>
      </c>
      <c r="S206">
        <f ca="1"/>
        <v>0</v>
      </c>
      <c r="T206">
        <f ca="1"/>
        <v>0</v>
      </c>
      <c r="U206">
        <f ca="1"/>
        <v>0</v>
      </c>
      <c r="V206">
        <f ca="1"/>
        <v>0</v>
      </c>
    </row>
    <row r="207" spans="1:22" x14ac:dyDescent="0.3">
      <c r="A207" t="str">
        <f ca="1"/>
        <v>206</v>
      </c>
      <c r="B207" t="str">
        <f ca="1"/>
        <v>Karongi_HS12_15</v>
      </c>
      <c r="C207">
        <f ca="1"/>
        <v>0.52420800000000001</v>
      </c>
      <c r="D207">
        <f ca="1"/>
        <v>0</v>
      </c>
      <c r="E207">
        <f ca="1"/>
        <v>0</v>
      </c>
      <c r="F207">
        <f ca="1"/>
        <v>0.22644</v>
      </c>
      <c r="G207">
        <f ca="1"/>
        <v>0</v>
      </c>
      <c r="H207">
        <f ca="1"/>
        <v>0.55760900000000002</v>
      </c>
      <c r="I207">
        <f ca="1"/>
        <v>0</v>
      </c>
      <c r="J207">
        <f ca="1"/>
        <v>0</v>
      </c>
      <c r="K207">
        <f ca="1"/>
        <v>0</v>
      </c>
      <c r="L207">
        <f ca="1"/>
        <v>0</v>
      </c>
      <c r="M207">
        <f ca="1"/>
        <v>3.121486</v>
      </c>
      <c r="N207">
        <f ca="1"/>
        <v>0</v>
      </c>
      <c r="O207">
        <f ca="1"/>
        <v>0</v>
      </c>
      <c r="P207">
        <f ca="1"/>
        <v>0</v>
      </c>
      <c r="Q207">
        <f ca="1"/>
        <v>0</v>
      </c>
      <c r="R207">
        <f ca="1"/>
        <v>3.121486</v>
      </c>
      <c r="S207">
        <f ca="1"/>
        <v>0</v>
      </c>
      <c r="T207">
        <f ca="1"/>
        <v>0</v>
      </c>
      <c r="U207">
        <f ca="1"/>
        <v>0</v>
      </c>
      <c r="V207">
        <f ca="1"/>
        <v>0</v>
      </c>
    </row>
    <row r="208" spans="1:22" x14ac:dyDescent="0.3">
      <c r="A208" t="str">
        <f ca="1"/>
        <v>207</v>
      </c>
      <c r="B208" t="str">
        <f ca="1"/>
        <v>Karongi_HS13_15</v>
      </c>
      <c r="C208">
        <f ca="1"/>
        <v>0.57005300000000003</v>
      </c>
      <c r="D208">
        <f ca="1"/>
        <v>0</v>
      </c>
      <c r="E208">
        <f ca="1"/>
        <v>0</v>
      </c>
      <c r="F208">
        <f ca="1"/>
        <v>0.46776499999999999</v>
      </c>
      <c r="G208">
        <f ca="1"/>
        <v>0.92301599999999995</v>
      </c>
      <c r="H208">
        <f ca="1"/>
        <v>0.12656400000000001</v>
      </c>
      <c r="I208">
        <f ca="1"/>
        <v>0</v>
      </c>
      <c r="J208">
        <f ca="1"/>
        <v>0</v>
      </c>
      <c r="K208">
        <f ca="1"/>
        <v>0.99723799999999996</v>
      </c>
      <c r="L208">
        <f ca="1"/>
        <v>0.272142</v>
      </c>
      <c r="M208">
        <f ca="1"/>
        <v>0.29816500000000001</v>
      </c>
      <c r="N208">
        <f ca="1"/>
        <v>0.56998000000000004</v>
      </c>
      <c r="O208">
        <f ca="1"/>
        <v>0.67</v>
      </c>
      <c r="P208">
        <f ca="1"/>
        <v>0</v>
      </c>
      <c r="Q208">
        <f ca="1"/>
        <v>0</v>
      </c>
      <c r="R208">
        <f ca="1"/>
        <v>0.42085800000000001</v>
      </c>
      <c r="S208">
        <f ca="1"/>
        <v>0.42689500000000002</v>
      </c>
      <c r="T208">
        <f ca="1"/>
        <v>0.62</v>
      </c>
      <c r="U208">
        <f ca="1"/>
        <v>0</v>
      </c>
      <c r="V208">
        <f ca="1"/>
        <v>0</v>
      </c>
    </row>
    <row r="209" spans="1:22" x14ac:dyDescent="0.3">
      <c r="A209" t="str">
        <f ca="1"/>
        <v>208</v>
      </c>
      <c r="B209" t="str">
        <f ca="1"/>
        <v>Karongi_HS14_15</v>
      </c>
      <c r="C209">
        <f ca="1"/>
        <v>0.198237</v>
      </c>
      <c r="D209">
        <f ca="1"/>
        <v>0</v>
      </c>
      <c r="E209">
        <f ca="1"/>
        <v>0</v>
      </c>
      <c r="F209">
        <f ca="1"/>
        <v>0.13120100000000001</v>
      </c>
      <c r="G209">
        <f ca="1"/>
        <v>0</v>
      </c>
      <c r="H209">
        <f ca="1"/>
        <v>0.202627</v>
      </c>
      <c r="I209">
        <f ca="1"/>
        <v>0</v>
      </c>
      <c r="J209">
        <f ca="1"/>
        <v>0</v>
      </c>
      <c r="K209">
        <f ca="1"/>
        <v>0</v>
      </c>
      <c r="L209">
        <f ca="1"/>
        <v>0</v>
      </c>
      <c r="M209">
        <f ca="1"/>
        <v>0.32630700000000001</v>
      </c>
      <c r="N209">
        <f ca="1"/>
        <v>0.71992999999999996</v>
      </c>
      <c r="O209">
        <f ca="1"/>
        <v>0.5</v>
      </c>
      <c r="P209">
        <f ca="1"/>
        <v>0</v>
      </c>
      <c r="Q209">
        <f ca="1"/>
        <v>0</v>
      </c>
      <c r="R209">
        <f ca="1"/>
        <v>0.32630700000000001</v>
      </c>
      <c r="S209">
        <f ca="1"/>
        <v>0.71992999999999996</v>
      </c>
      <c r="T209">
        <f ca="1"/>
        <v>0.5</v>
      </c>
      <c r="U209">
        <f ca="1"/>
        <v>0</v>
      </c>
      <c r="V209">
        <f ca="1"/>
        <v>0</v>
      </c>
    </row>
    <row r="210" spans="1:22" x14ac:dyDescent="0.3">
      <c r="A210" t="str">
        <f ca="1"/>
        <v>209</v>
      </c>
      <c r="B210" t="str">
        <f ca="1"/>
        <v>Karongi_HS15_15</v>
      </c>
      <c r="C210">
        <f ca="1"/>
        <v>0.37817200000000001</v>
      </c>
      <c r="D210">
        <f ca="1"/>
        <v>0</v>
      </c>
      <c r="E210">
        <f ca="1"/>
        <v>0</v>
      </c>
      <c r="F210">
        <f ca="1"/>
        <v>6.3742999999999994E-2</v>
      </c>
      <c r="G210">
        <f ca="1"/>
        <v>0</v>
      </c>
      <c r="H210">
        <f ca="1"/>
        <v>0.38248500000000002</v>
      </c>
      <c r="I210">
        <f ca="1"/>
        <v>0</v>
      </c>
      <c r="J210">
        <f ca="1"/>
        <v>0</v>
      </c>
      <c r="K210">
        <f ca="1"/>
        <v>0</v>
      </c>
      <c r="L210">
        <f ca="1"/>
        <v>0</v>
      </c>
      <c r="M210">
        <f ca="1"/>
        <v>0.38854899999999998</v>
      </c>
      <c r="N210">
        <f ca="1"/>
        <v>0.53235299999999997</v>
      </c>
      <c r="O210">
        <f ca="1"/>
        <v>0.54</v>
      </c>
      <c r="P210">
        <f ca="1"/>
        <v>0</v>
      </c>
      <c r="Q210">
        <f ca="1"/>
        <v>0</v>
      </c>
      <c r="R210">
        <f ca="1"/>
        <v>0.38854899999999998</v>
      </c>
      <c r="S210">
        <f ca="1"/>
        <v>0.53235299999999997</v>
      </c>
      <c r="T210">
        <f ca="1"/>
        <v>0.54</v>
      </c>
      <c r="U210">
        <f ca="1"/>
        <v>0</v>
      </c>
      <c r="V210">
        <f ca="1"/>
        <v>0</v>
      </c>
    </row>
    <row r="211" spans="1:22" x14ac:dyDescent="0.3">
      <c r="A211" t="str">
        <f ca="1"/>
        <v>210</v>
      </c>
      <c r="B211" t="str">
        <f ca="1"/>
        <v>Karongi_HS16_15</v>
      </c>
      <c r="C211">
        <f ca="1"/>
        <v>0.35433700000000001</v>
      </c>
      <c r="D211">
        <f ca="1"/>
        <v>0</v>
      </c>
      <c r="E211">
        <f ca="1"/>
        <v>0</v>
      </c>
      <c r="F211">
        <f ca="1"/>
        <v>0.22536999999999999</v>
      </c>
      <c r="G211">
        <f ca="1"/>
        <v>0</v>
      </c>
      <c r="H211">
        <f ca="1"/>
        <v>0.36813499999999999</v>
      </c>
      <c r="I211">
        <f ca="1"/>
        <v>0</v>
      </c>
      <c r="J211">
        <f ca="1"/>
        <v>0</v>
      </c>
      <c r="K211">
        <f ca="1"/>
        <v>0</v>
      </c>
      <c r="L211">
        <f ca="1"/>
        <v>0</v>
      </c>
      <c r="M211">
        <f ca="1"/>
        <v>0.47036699999999998</v>
      </c>
      <c r="N211">
        <f ca="1"/>
        <v>0.58513800000000005</v>
      </c>
      <c r="O211">
        <f ca="1"/>
        <v>0.5</v>
      </c>
      <c r="P211">
        <f ca="1"/>
        <v>0</v>
      </c>
      <c r="Q211">
        <f ca="1"/>
        <v>0</v>
      </c>
      <c r="R211">
        <f ca="1"/>
        <v>0.47036699999999998</v>
      </c>
      <c r="S211">
        <f ca="1"/>
        <v>0.58513800000000005</v>
      </c>
      <c r="T211">
        <f ca="1"/>
        <v>0.5</v>
      </c>
      <c r="U211">
        <f ca="1"/>
        <v>0</v>
      </c>
      <c r="V211">
        <f ca="1"/>
        <v>0</v>
      </c>
    </row>
    <row r="212" spans="1:22" x14ac:dyDescent="0.3">
      <c r="A212" t="str">
        <f ca="1"/>
        <v>211</v>
      </c>
      <c r="B212" t="str">
        <f ca="1"/>
        <v>Karongi_HS17_15</v>
      </c>
      <c r="C212">
        <f ca="1"/>
        <v>0.184701</v>
      </c>
      <c r="D212">
        <f ca="1"/>
        <v>0</v>
      </c>
      <c r="E212">
        <f ca="1"/>
        <v>0</v>
      </c>
      <c r="F212">
        <f ca="1"/>
        <v>0.20244500000000001</v>
      </c>
      <c r="G212">
        <f ca="1"/>
        <v>0</v>
      </c>
      <c r="H212">
        <f ca="1"/>
        <v>0.19703300000000001</v>
      </c>
      <c r="I212">
        <f ca="1"/>
        <v>0</v>
      </c>
      <c r="J212">
        <f ca="1"/>
        <v>0</v>
      </c>
      <c r="K212">
        <f ca="1"/>
        <v>0</v>
      </c>
      <c r="L212">
        <f ca="1"/>
        <v>0</v>
      </c>
      <c r="M212">
        <f ca="1"/>
        <v>0.31203199999999998</v>
      </c>
      <c r="N212">
        <f ca="1"/>
        <v>0.68390700000000004</v>
      </c>
      <c r="O212">
        <f ca="1"/>
        <v>0.5</v>
      </c>
      <c r="P212">
        <f ca="1"/>
        <v>0</v>
      </c>
      <c r="Q212">
        <f ca="1"/>
        <v>0</v>
      </c>
      <c r="R212">
        <f ca="1"/>
        <v>0.31203199999999998</v>
      </c>
      <c r="S212">
        <f ca="1"/>
        <v>0.68390700000000004</v>
      </c>
      <c r="T212">
        <f ca="1"/>
        <v>0.5</v>
      </c>
      <c r="U212">
        <f ca="1"/>
        <v>0</v>
      </c>
      <c r="V212">
        <f ca="1"/>
        <v>0</v>
      </c>
    </row>
    <row r="213" spans="1:22" x14ac:dyDescent="0.3">
      <c r="A213" t="str">
        <f ca="1"/>
        <v>212</v>
      </c>
      <c r="B213" t="str">
        <f ca="1"/>
        <v>Karongi_HS1_15</v>
      </c>
      <c r="C213">
        <f ca="1"/>
        <v>0.57067400000000001</v>
      </c>
      <c r="D213">
        <f ca="1"/>
        <v>0</v>
      </c>
      <c r="E213">
        <f ca="1"/>
        <v>0</v>
      </c>
      <c r="F213">
        <f ca="1"/>
        <v>0.107214</v>
      </c>
      <c r="G213">
        <f ca="1"/>
        <v>0</v>
      </c>
      <c r="H213">
        <f ca="1"/>
        <v>0.64480899999999997</v>
      </c>
      <c r="I213">
        <f ca="1"/>
        <v>0</v>
      </c>
      <c r="J213">
        <f ca="1"/>
        <v>0</v>
      </c>
      <c r="K213">
        <f ca="1"/>
        <v>0</v>
      </c>
      <c r="L213">
        <f ca="1"/>
        <v>0</v>
      </c>
      <c r="M213">
        <f ca="1"/>
        <v>0.55631900000000001</v>
      </c>
      <c r="N213">
        <f ca="1"/>
        <v>0</v>
      </c>
      <c r="O213">
        <f ca="1"/>
        <v>0</v>
      </c>
      <c r="P213">
        <f ca="1"/>
        <v>0.95084000000000002</v>
      </c>
      <c r="Q213">
        <f ca="1"/>
        <v>0</v>
      </c>
      <c r="R213">
        <f ca="1"/>
        <v>0.62412400000000001</v>
      </c>
      <c r="S213">
        <f ca="1"/>
        <v>0</v>
      </c>
      <c r="T213">
        <f ca="1"/>
        <v>0</v>
      </c>
      <c r="U213">
        <f ca="1"/>
        <v>0.95084000000000002</v>
      </c>
      <c r="V213">
        <f ca="1"/>
        <v>0</v>
      </c>
    </row>
    <row r="214" spans="1:22" x14ac:dyDescent="0.3">
      <c r="A214" t="str">
        <f ca="1"/>
        <v>213</v>
      </c>
      <c r="B214" t="str">
        <f ca="1"/>
        <v>Karongi_HS2_15</v>
      </c>
      <c r="C214">
        <f ca="1"/>
        <v>0.665107</v>
      </c>
      <c r="D214">
        <f ca="1"/>
        <v>0</v>
      </c>
      <c r="E214">
        <f ca="1"/>
        <v>0</v>
      </c>
      <c r="F214">
        <f ca="1"/>
        <v>0.100881</v>
      </c>
      <c r="G214">
        <f ca="1"/>
        <v>0</v>
      </c>
      <c r="H214">
        <f ca="1"/>
        <v>0.79228200000000004</v>
      </c>
      <c r="I214">
        <f ca="1"/>
        <v>0</v>
      </c>
      <c r="J214">
        <f ca="1"/>
        <v>0</v>
      </c>
      <c r="K214">
        <f ca="1"/>
        <v>0</v>
      </c>
      <c r="L214">
        <f ca="1"/>
        <v>0</v>
      </c>
      <c r="M214">
        <f ca="1"/>
        <v>0.58633800000000003</v>
      </c>
      <c r="N214">
        <f ca="1"/>
        <v>0</v>
      </c>
      <c r="O214">
        <f ca="1"/>
        <v>0</v>
      </c>
      <c r="P214">
        <f ca="1"/>
        <v>0.96169300000000002</v>
      </c>
      <c r="Q214">
        <f ca="1"/>
        <v>0</v>
      </c>
      <c r="R214">
        <f ca="1"/>
        <v>0.68487200000000004</v>
      </c>
      <c r="S214">
        <f ca="1"/>
        <v>0</v>
      </c>
      <c r="T214">
        <f ca="1"/>
        <v>0</v>
      </c>
      <c r="U214">
        <f ca="1"/>
        <v>0.96169300000000002</v>
      </c>
      <c r="V214">
        <f ca="1"/>
        <v>0</v>
      </c>
    </row>
    <row r="215" spans="1:22" x14ac:dyDescent="0.3">
      <c r="A215" t="str">
        <f ca="1"/>
        <v>214</v>
      </c>
      <c r="B215" t="str">
        <f ca="1"/>
        <v>Karongi_HS3_15</v>
      </c>
      <c r="C215">
        <f ca="1"/>
        <v>1.1697470000000001</v>
      </c>
      <c r="D215">
        <f ca="1"/>
        <v>0.40610600000000002</v>
      </c>
      <c r="E215">
        <f ca="1"/>
        <v>0</v>
      </c>
      <c r="F215">
        <f ca="1"/>
        <v>0.58495699999999995</v>
      </c>
      <c r="G215">
        <f ca="1"/>
        <v>3.2830999999999999E-2</v>
      </c>
      <c r="H215">
        <f ca="1"/>
        <v>0.53472799999999998</v>
      </c>
      <c r="I215">
        <f ca="1"/>
        <v>0</v>
      </c>
      <c r="J215">
        <f ca="1"/>
        <v>0</v>
      </c>
      <c r="K215">
        <f ca="1"/>
        <v>0.99321999999999999</v>
      </c>
      <c r="L215">
        <f ca="1"/>
        <v>2.4636999999999999E-2</v>
      </c>
      <c r="M215">
        <f ca="1"/>
        <v>0.80598800000000004</v>
      </c>
      <c r="N215">
        <f ca="1"/>
        <v>0</v>
      </c>
      <c r="O215">
        <f ca="1"/>
        <v>0</v>
      </c>
      <c r="P215">
        <f ca="1"/>
        <v>0.99395699999999998</v>
      </c>
      <c r="Q215">
        <f ca="1"/>
        <v>0.35339999999999999</v>
      </c>
      <c r="R215">
        <f ca="1"/>
        <v>1.031326</v>
      </c>
      <c r="S215">
        <f ca="1"/>
        <v>0</v>
      </c>
      <c r="T215">
        <f ca="1"/>
        <v>0</v>
      </c>
      <c r="U215">
        <f ca="1"/>
        <v>0.99486699999999995</v>
      </c>
      <c r="V215">
        <f ca="1"/>
        <v>0.15010999999999999</v>
      </c>
    </row>
    <row r="216" spans="1:22" x14ac:dyDescent="0.3">
      <c r="A216" t="str">
        <f ca="1"/>
        <v>215</v>
      </c>
      <c r="B216" t="str">
        <f ca="1"/>
        <v>Karongi_HS4_15</v>
      </c>
      <c r="C216">
        <f ca="1"/>
        <v>0.52854900000000005</v>
      </c>
      <c r="D216">
        <f ca="1"/>
        <v>0</v>
      </c>
      <c r="E216">
        <f ca="1"/>
        <v>0</v>
      </c>
      <c r="F216">
        <f ca="1"/>
        <v>3.0856999999999999E-2</v>
      </c>
      <c r="G216">
        <f ca="1"/>
        <v>0</v>
      </c>
      <c r="H216">
        <f ca="1"/>
        <v>0.60873200000000005</v>
      </c>
      <c r="I216">
        <f ca="1"/>
        <v>0</v>
      </c>
      <c r="J216">
        <f ca="1"/>
        <v>0</v>
      </c>
      <c r="K216">
        <f ca="1"/>
        <v>0</v>
      </c>
      <c r="L216">
        <f ca="1"/>
        <v>0</v>
      </c>
      <c r="M216">
        <f ca="1"/>
        <v>0.43601000000000001</v>
      </c>
      <c r="N216">
        <f ca="1"/>
        <v>0</v>
      </c>
      <c r="O216">
        <f ca="1"/>
        <v>0</v>
      </c>
      <c r="P216">
        <f ca="1"/>
        <v>0.98563199999999995</v>
      </c>
      <c r="Q216">
        <f ca="1"/>
        <v>0</v>
      </c>
      <c r="R216">
        <f ca="1"/>
        <v>0.52156800000000003</v>
      </c>
      <c r="S216">
        <f ca="1"/>
        <v>0</v>
      </c>
      <c r="T216">
        <f ca="1"/>
        <v>0</v>
      </c>
      <c r="U216">
        <f ca="1"/>
        <v>0.98563199999999995</v>
      </c>
      <c r="V216">
        <f ca="1"/>
        <v>0</v>
      </c>
    </row>
    <row r="217" spans="1:22" x14ac:dyDescent="0.3">
      <c r="A217" t="str">
        <f ca="1"/>
        <v>216</v>
      </c>
      <c r="B217" t="str">
        <f ca="1"/>
        <v>Karongi_HS5_15</v>
      </c>
      <c r="C217">
        <f ca="1"/>
        <v>0.42178199999999999</v>
      </c>
      <c r="D217">
        <f ca="1"/>
        <v>0</v>
      </c>
      <c r="E217">
        <f ca="1"/>
        <v>0</v>
      </c>
      <c r="F217">
        <f ca="1"/>
        <v>0.14163400000000001</v>
      </c>
      <c r="G217">
        <f ca="1"/>
        <v>0</v>
      </c>
      <c r="H217">
        <f ca="1"/>
        <v>0.47708400000000001</v>
      </c>
      <c r="I217">
        <f ca="1"/>
        <v>0</v>
      </c>
      <c r="J217">
        <f ca="1"/>
        <v>0</v>
      </c>
      <c r="K217">
        <f ca="1"/>
        <v>0</v>
      </c>
      <c r="L217">
        <f ca="1"/>
        <v>0</v>
      </c>
      <c r="M217">
        <f ca="1"/>
        <v>0.42984</v>
      </c>
      <c r="N217">
        <f ca="1"/>
        <v>0</v>
      </c>
      <c r="O217">
        <f ca="1"/>
        <v>0</v>
      </c>
      <c r="P217">
        <f ca="1"/>
        <v>0.92744599999999999</v>
      </c>
      <c r="Q217">
        <f ca="1"/>
        <v>0</v>
      </c>
      <c r="R217">
        <f ca="1"/>
        <v>0.46972399999999997</v>
      </c>
      <c r="S217">
        <f ca="1"/>
        <v>0</v>
      </c>
      <c r="T217">
        <f ca="1"/>
        <v>0</v>
      </c>
      <c r="U217">
        <f ca="1"/>
        <v>0.92744599999999999</v>
      </c>
      <c r="V217">
        <f ca="1"/>
        <v>0</v>
      </c>
    </row>
    <row r="218" spans="1:22" x14ac:dyDescent="0.3">
      <c r="A218" t="str">
        <f ca="1"/>
        <v>217</v>
      </c>
      <c r="B218" t="str">
        <f ca="1"/>
        <v>Karongi_HS6_15</v>
      </c>
      <c r="C218">
        <f ca="1"/>
        <v>0.32482</v>
      </c>
      <c r="D218">
        <f ca="1"/>
        <v>0</v>
      </c>
      <c r="E218">
        <f ca="1"/>
        <v>0</v>
      </c>
      <c r="F218">
        <f ca="1"/>
        <v>0.33903899999999998</v>
      </c>
      <c r="G218">
        <f ca="1"/>
        <v>0</v>
      </c>
      <c r="H218">
        <f ca="1"/>
        <v>0.411246</v>
      </c>
      <c r="I218">
        <f ca="1"/>
        <v>0</v>
      </c>
      <c r="J218">
        <f ca="1"/>
        <v>0</v>
      </c>
      <c r="K218">
        <f ca="1"/>
        <v>0</v>
      </c>
      <c r="L218">
        <f ca="1"/>
        <v>0</v>
      </c>
      <c r="M218">
        <f ca="1"/>
        <v>0.34419300000000003</v>
      </c>
      <c r="N218">
        <f ca="1"/>
        <v>0</v>
      </c>
      <c r="O218">
        <f ca="1"/>
        <v>0</v>
      </c>
      <c r="P218">
        <f ca="1"/>
        <v>0.98603399999999997</v>
      </c>
      <c r="Q218">
        <f ca="1"/>
        <v>0</v>
      </c>
      <c r="R218">
        <f ca="1"/>
        <v>0.40124399999999999</v>
      </c>
      <c r="S218">
        <f ca="1"/>
        <v>0</v>
      </c>
      <c r="T218">
        <f ca="1"/>
        <v>0</v>
      </c>
      <c r="U218">
        <f ca="1"/>
        <v>0.98603399999999997</v>
      </c>
      <c r="V218">
        <f ca="1"/>
        <v>0</v>
      </c>
    </row>
    <row r="219" spans="1:22" x14ac:dyDescent="0.3">
      <c r="A219" t="str">
        <f ca="1"/>
        <v>218</v>
      </c>
      <c r="B219" t="str">
        <f ca="1"/>
        <v>Karongi_HS7_15</v>
      </c>
      <c r="C219">
        <f ca="1"/>
        <v>0.23586299999999999</v>
      </c>
      <c r="D219">
        <f ca="1"/>
        <v>0</v>
      </c>
      <c r="E219">
        <f ca="1"/>
        <v>0</v>
      </c>
      <c r="F219">
        <f ca="1"/>
        <v>0.36758400000000002</v>
      </c>
      <c r="G219">
        <f ca="1"/>
        <v>0</v>
      </c>
      <c r="H219">
        <f ca="1"/>
        <v>0.25208199999999997</v>
      </c>
      <c r="I219">
        <f ca="1"/>
        <v>0</v>
      </c>
      <c r="J219">
        <f ca="1"/>
        <v>0</v>
      </c>
      <c r="K219">
        <f ca="1"/>
        <v>0</v>
      </c>
      <c r="L219">
        <f ca="1"/>
        <v>0</v>
      </c>
      <c r="M219">
        <f ca="1"/>
        <v>0.34839199999999998</v>
      </c>
      <c r="N219">
        <f ca="1"/>
        <v>0.626606</v>
      </c>
      <c r="O219">
        <f ca="1"/>
        <v>0.5</v>
      </c>
      <c r="P219">
        <f ca="1"/>
        <v>0</v>
      </c>
      <c r="Q219">
        <f ca="1"/>
        <v>0</v>
      </c>
      <c r="R219">
        <f ca="1"/>
        <v>0.34839199999999998</v>
      </c>
      <c r="S219">
        <f ca="1"/>
        <v>0.626606</v>
      </c>
      <c r="T219">
        <f ca="1"/>
        <v>0.5</v>
      </c>
      <c r="U219">
        <f ca="1"/>
        <v>0</v>
      </c>
      <c r="V219">
        <f ca="1"/>
        <v>0</v>
      </c>
    </row>
    <row r="220" spans="1:22" x14ac:dyDescent="0.3">
      <c r="A220" t="str">
        <f ca="1"/>
        <v>219</v>
      </c>
      <c r="B220" t="str">
        <f ca="1"/>
        <v>Karongi_HS8_15</v>
      </c>
      <c r="C220">
        <f ca="1"/>
        <v>0.69039399999999995</v>
      </c>
      <c r="D220">
        <f ca="1"/>
        <v>0</v>
      </c>
      <c r="E220">
        <f ca="1"/>
        <v>0</v>
      </c>
      <c r="F220">
        <f ca="1"/>
        <v>0.19595299999999999</v>
      </c>
      <c r="G220">
        <f ca="1"/>
        <v>0</v>
      </c>
      <c r="H220">
        <f ca="1"/>
        <v>0.83462400000000003</v>
      </c>
      <c r="I220">
        <f ca="1"/>
        <v>0</v>
      </c>
      <c r="J220">
        <f ca="1"/>
        <v>0</v>
      </c>
      <c r="K220">
        <f ca="1"/>
        <v>0</v>
      </c>
      <c r="L220">
        <f ca="1"/>
        <v>0</v>
      </c>
      <c r="M220">
        <f ca="1"/>
        <v>0.51449500000000004</v>
      </c>
      <c r="N220">
        <f ca="1"/>
        <v>0</v>
      </c>
      <c r="O220">
        <f ca="1"/>
        <v>0</v>
      </c>
      <c r="P220">
        <f ca="1"/>
        <v>0.98765599999999998</v>
      </c>
      <c r="Q220">
        <f ca="1"/>
        <v>0</v>
      </c>
      <c r="R220">
        <f ca="1"/>
        <v>0.59835499999999997</v>
      </c>
      <c r="S220">
        <f ca="1"/>
        <v>0</v>
      </c>
      <c r="T220">
        <f ca="1"/>
        <v>0</v>
      </c>
      <c r="U220">
        <f ca="1"/>
        <v>0.98765599999999998</v>
      </c>
      <c r="V220">
        <f ca="1"/>
        <v>0</v>
      </c>
    </row>
    <row r="221" spans="1:22" x14ac:dyDescent="0.3">
      <c r="A221" t="str">
        <f ca="1"/>
        <v>220</v>
      </c>
      <c r="B221" t="str">
        <f ca="1"/>
        <v>Karongi_HS9_15</v>
      </c>
      <c r="C221">
        <f ca="1"/>
        <v>0.64454100000000003</v>
      </c>
      <c r="D221">
        <f ca="1"/>
        <v>1.5347329999999999</v>
      </c>
      <c r="E221">
        <f ca="1"/>
        <v>0</v>
      </c>
      <c r="F221">
        <f ca="1"/>
        <v>0.47265499999999999</v>
      </c>
      <c r="G221">
        <f ca="1"/>
        <v>0</v>
      </c>
      <c r="H221">
        <f ca="1"/>
        <v>0.89183500000000004</v>
      </c>
      <c r="I221">
        <f ca="1"/>
        <v>0</v>
      </c>
      <c r="J221">
        <f ca="1"/>
        <v>0</v>
      </c>
      <c r="K221">
        <f ca="1"/>
        <v>0</v>
      </c>
      <c r="L221">
        <f ca="1"/>
        <v>0</v>
      </c>
      <c r="M221">
        <f ca="1"/>
        <v>0.42041099999999998</v>
      </c>
      <c r="N221">
        <f ca="1"/>
        <v>0</v>
      </c>
      <c r="O221">
        <f ca="1"/>
        <v>0</v>
      </c>
      <c r="P221">
        <f ca="1"/>
        <v>0.99011700000000002</v>
      </c>
      <c r="Q221">
        <f ca="1"/>
        <v>4.1536999999999998E-2</v>
      </c>
      <c r="R221">
        <f ca="1"/>
        <v>0.50018600000000002</v>
      </c>
      <c r="S221">
        <f ca="1"/>
        <v>0</v>
      </c>
      <c r="T221">
        <f ca="1"/>
        <v>0</v>
      </c>
      <c r="U221">
        <f ca="1"/>
        <v>0.99119400000000002</v>
      </c>
      <c r="V221">
        <f ca="1"/>
        <v>1.1665E-2</v>
      </c>
    </row>
    <row r="222" spans="1:22" x14ac:dyDescent="0.3">
      <c r="A222" t="str">
        <f ca="1"/>
        <v>221</v>
      </c>
      <c r="B222" t="str">
        <f ca="1"/>
        <v>Kayonza_HS0_15</v>
      </c>
      <c r="C222">
        <f ca="1"/>
        <v>1.289237</v>
      </c>
      <c r="D222">
        <f ca="1"/>
        <v>0.70657000000000003</v>
      </c>
      <c r="E222">
        <f ca="1"/>
        <v>0</v>
      </c>
      <c r="F222">
        <f ca="1"/>
        <v>0.123747</v>
      </c>
      <c r="G222">
        <f ca="1"/>
        <v>0.129496</v>
      </c>
      <c r="H222">
        <f ca="1"/>
        <v>1.7534829999999999</v>
      </c>
      <c r="I222">
        <f ca="1"/>
        <v>0</v>
      </c>
      <c r="J222">
        <f ca="1"/>
        <v>0</v>
      </c>
      <c r="K222">
        <f ca="1"/>
        <v>0</v>
      </c>
      <c r="L222">
        <f ca="1"/>
        <v>0</v>
      </c>
      <c r="M222">
        <f ca="1"/>
        <v>0.78887099999999999</v>
      </c>
      <c r="N222">
        <f ca="1"/>
        <v>0.44133299999999998</v>
      </c>
      <c r="O222">
        <f ca="1"/>
        <v>0.49</v>
      </c>
      <c r="P222">
        <f ca="1"/>
        <v>0.58290799999999998</v>
      </c>
      <c r="Q222">
        <f ca="1"/>
        <v>0.55445100000000003</v>
      </c>
      <c r="R222">
        <f ca="1"/>
        <v>1.2357849999999999</v>
      </c>
      <c r="S222">
        <f ca="1"/>
        <v>0.42643999999999999</v>
      </c>
      <c r="T222">
        <f ca="1"/>
        <v>0.52790599999999999</v>
      </c>
      <c r="U222">
        <f ca="1"/>
        <v>0</v>
      </c>
      <c r="V222">
        <f ca="1"/>
        <v>0</v>
      </c>
    </row>
    <row r="223" spans="1:22" x14ac:dyDescent="0.3">
      <c r="A223" t="str">
        <f ca="1"/>
        <v>222</v>
      </c>
      <c r="B223" t="str">
        <f ca="1"/>
        <v>Kayonza_HS10_15</v>
      </c>
      <c r="C223">
        <f ca="1"/>
        <v>0.72065800000000002</v>
      </c>
      <c r="D223">
        <f ca="1"/>
        <v>0</v>
      </c>
      <c r="E223">
        <f ca="1"/>
        <v>0</v>
      </c>
      <c r="F223">
        <f ca="1"/>
        <v>0.17919299999999999</v>
      </c>
      <c r="G223">
        <f ca="1"/>
        <v>0.39682499999999998</v>
      </c>
      <c r="H223">
        <f ca="1"/>
        <v>1.3082879999999999</v>
      </c>
      <c r="I223">
        <f ca="1"/>
        <v>0</v>
      </c>
      <c r="J223">
        <f ca="1"/>
        <v>0</v>
      </c>
      <c r="K223">
        <f ca="1"/>
        <v>0</v>
      </c>
      <c r="L223">
        <f ca="1"/>
        <v>0</v>
      </c>
      <c r="M223">
        <f ca="1"/>
        <v>0.79906299999999997</v>
      </c>
      <c r="N223">
        <f ca="1"/>
        <v>0.45016699999999998</v>
      </c>
      <c r="O223">
        <f ca="1"/>
        <v>0.49</v>
      </c>
      <c r="P223">
        <f ca="1"/>
        <v>0.65335799999999999</v>
      </c>
      <c r="Q223">
        <f ca="1"/>
        <v>0.69921100000000003</v>
      </c>
      <c r="R223">
        <f ca="1"/>
        <v>0.88526700000000003</v>
      </c>
      <c r="S223">
        <f ca="1"/>
        <v>0.45016699999999998</v>
      </c>
      <c r="T223">
        <f ca="1"/>
        <v>0.49</v>
      </c>
      <c r="U223">
        <f ca="1"/>
        <v>0.68909399999999998</v>
      </c>
      <c r="V223">
        <f ca="1"/>
        <v>0.15146699999999999</v>
      </c>
    </row>
    <row r="224" spans="1:22" x14ac:dyDescent="0.3">
      <c r="A224" t="str">
        <f ca="1"/>
        <v>223</v>
      </c>
      <c r="B224" t="str">
        <f ca="1"/>
        <v>Kayonza_HS11_15</v>
      </c>
      <c r="C224">
        <f ca="1"/>
        <v>0.22523199999999999</v>
      </c>
      <c r="D224">
        <f ca="1"/>
        <v>0</v>
      </c>
      <c r="E224">
        <f ca="1"/>
        <v>0</v>
      </c>
      <c r="F224">
        <f ca="1"/>
        <v>4.8390000000000004E-3</v>
      </c>
      <c r="G224">
        <f ca="1"/>
        <v>0</v>
      </c>
      <c r="H224">
        <f ca="1"/>
        <v>0.23933099999999999</v>
      </c>
      <c r="I224">
        <f ca="1"/>
        <v>0</v>
      </c>
      <c r="J224">
        <f ca="1"/>
        <v>0</v>
      </c>
      <c r="K224">
        <f ca="1"/>
        <v>0</v>
      </c>
      <c r="L224">
        <f ca="1"/>
        <v>0</v>
      </c>
      <c r="M224">
        <f ca="1"/>
        <v>0.104613</v>
      </c>
      <c r="N224">
        <f ca="1"/>
        <v>0</v>
      </c>
      <c r="O224">
        <f ca="1"/>
        <v>0</v>
      </c>
      <c r="P224">
        <f ca="1"/>
        <v>1</v>
      </c>
      <c r="Q224">
        <f ca="1"/>
        <v>0</v>
      </c>
      <c r="R224">
        <f ca="1"/>
        <v>0.12166299999999999</v>
      </c>
      <c r="S224">
        <f ca="1"/>
        <v>0</v>
      </c>
      <c r="T224">
        <f ca="1"/>
        <v>0</v>
      </c>
      <c r="U224">
        <f ca="1"/>
        <v>1</v>
      </c>
      <c r="V224">
        <f ca="1"/>
        <v>0</v>
      </c>
    </row>
    <row r="225" spans="1:22" x14ac:dyDescent="0.3">
      <c r="A225" t="str">
        <f ca="1"/>
        <v>224</v>
      </c>
      <c r="B225" t="str">
        <f ca="1"/>
        <v>Kayonza_HS12_15</v>
      </c>
      <c r="C225">
        <f ca="1"/>
        <v>0.191667</v>
      </c>
      <c r="D225">
        <f ca="1"/>
        <v>0</v>
      </c>
      <c r="E225">
        <f ca="1"/>
        <v>0</v>
      </c>
      <c r="F225">
        <f ca="1"/>
        <v>0.29431800000000002</v>
      </c>
      <c r="G225">
        <f ca="1"/>
        <v>0</v>
      </c>
      <c r="H225">
        <f ca="1"/>
        <v>0.20530100000000001</v>
      </c>
      <c r="I225">
        <f ca="1"/>
        <v>0</v>
      </c>
      <c r="J225">
        <f ca="1"/>
        <v>0</v>
      </c>
      <c r="K225">
        <f ca="1"/>
        <v>0</v>
      </c>
      <c r="L225">
        <f ca="1"/>
        <v>0</v>
      </c>
      <c r="M225">
        <f ca="1"/>
        <v>0.26417200000000002</v>
      </c>
      <c r="N225">
        <f ca="1"/>
        <v>0.43611899999999998</v>
      </c>
      <c r="O225">
        <f ca="1"/>
        <v>0.49</v>
      </c>
      <c r="P225">
        <f ca="1"/>
        <v>0</v>
      </c>
      <c r="Q225">
        <f ca="1"/>
        <v>0</v>
      </c>
      <c r="R225">
        <f ca="1"/>
        <v>0.26417200000000002</v>
      </c>
      <c r="S225">
        <f ca="1"/>
        <v>0.43611899999999998</v>
      </c>
      <c r="T225">
        <f ca="1"/>
        <v>0.49</v>
      </c>
      <c r="U225">
        <f ca="1"/>
        <v>0</v>
      </c>
      <c r="V225">
        <f ca="1"/>
        <v>0</v>
      </c>
    </row>
    <row r="226" spans="1:22" x14ac:dyDescent="0.3">
      <c r="A226" t="str">
        <f ca="1"/>
        <v>225</v>
      </c>
      <c r="B226" t="str">
        <f ca="1"/>
        <v>Kayonza_HS13_15</v>
      </c>
      <c r="C226">
        <f ca="1"/>
        <v>0.79340699999999997</v>
      </c>
      <c r="D226">
        <f ca="1"/>
        <v>0</v>
      </c>
      <c r="E226">
        <f ca="1"/>
        <v>0</v>
      </c>
      <c r="F226">
        <f ca="1"/>
        <v>0.20156299999999999</v>
      </c>
      <c r="G226">
        <f ca="1"/>
        <v>5.8824000000000001E-2</v>
      </c>
      <c r="H226">
        <f ca="1"/>
        <v>1.070913</v>
      </c>
      <c r="I226">
        <f ca="1"/>
        <v>0</v>
      </c>
      <c r="J226">
        <f ca="1"/>
        <v>0</v>
      </c>
      <c r="K226">
        <f ca="1"/>
        <v>0</v>
      </c>
      <c r="L226">
        <f ca="1"/>
        <v>0</v>
      </c>
      <c r="M226">
        <f ca="1"/>
        <v>0.68919600000000003</v>
      </c>
      <c r="N226">
        <f ca="1"/>
        <v>0.41835099999999997</v>
      </c>
      <c r="O226">
        <f ca="1"/>
        <v>0.55000000000000004</v>
      </c>
      <c r="P226">
        <f ca="1"/>
        <v>0.56260600000000005</v>
      </c>
      <c r="Q226">
        <f ca="1"/>
        <v>0</v>
      </c>
      <c r="R226">
        <f ca="1"/>
        <v>0.76813100000000001</v>
      </c>
      <c r="S226">
        <f ca="1"/>
        <v>0.38867200000000002</v>
      </c>
      <c r="T226">
        <f ca="1"/>
        <v>0.54</v>
      </c>
      <c r="U226">
        <f ca="1"/>
        <v>0.534053</v>
      </c>
      <c r="V226">
        <f ca="1"/>
        <v>0</v>
      </c>
    </row>
    <row r="227" spans="1:22" x14ac:dyDescent="0.3">
      <c r="A227" t="str">
        <f ca="1"/>
        <v>226</v>
      </c>
      <c r="B227" t="str">
        <f ca="1"/>
        <v>Kayonza_HS14_15</v>
      </c>
      <c r="C227">
        <f ca="1"/>
        <v>0.196964</v>
      </c>
      <c r="D227">
        <f ca="1"/>
        <v>0</v>
      </c>
      <c r="E227">
        <f ca="1"/>
        <v>0</v>
      </c>
      <c r="F227">
        <f ca="1"/>
        <v>0.28438099999999999</v>
      </c>
      <c r="G227">
        <f ca="1"/>
        <v>0</v>
      </c>
      <c r="H227">
        <f ca="1"/>
        <v>0.200992</v>
      </c>
      <c r="I227">
        <f ca="1"/>
        <v>0</v>
      </c>
      <c r="J227">
        <f ca="1"/>
        <v>0</v>
      </c>
      <c r="K227">
        <f ca="1"/>
        <v>0</v>
      </c>
      <c r="L227">
        <f ca="1"/>
        <v>0</v>
      </c>
      <c r="M227">
        <f ca="1"/>
        <v>0.63766599999999996</v>
      </c>
      <c r="N227">
        <f ca="1"/>
        <v>0.56007600000000002</v>
      </c>
      <c r="O227">
        <f ca="1"/>
        <v>0.49733899999999998</v>
      </c>
      <c r="P227">
        <f ca="1"/>
        <v>0</v>
      </c>
      <c r="Q227">
        <f ca="1"/>
        <v>0</v>
      </c>
      <c r="R227">
        <f ca="1"/>
        <v>0.63766599999999996</v>
      </c>
      <c r="S227">
        <f ca="1"/>
        <v>0.56007600000000002</v>
      </c>
      <c r="T227">
        <f ca="1"/>
        <v>0.49733899999999998</v>
      </c>
      <c r="U227">
        <f ca="1"/>
        <v>0</v>
      </c>
      <c r="V227">
        <f ca="1"/>
        <v>0</v>
      </c>
    </row>
    <row r="228" spans="1:22" x14ac:dyDescent="0.3">
      <c r="A228" t="str">
        <f ca="1"/>
        <v>227</v>
      </c>
      <c r="B228" t="str">
        <f ca="1"/>
        <v>Kayonza_HS15_15</v>
      </c>
      <c r="C228">
        <f ca="1"/>
        <v>0.53836099999999998</v>
      </c>
      <c r="D228">
        <f ca="1"/>
        <v>0</v>
      </c>
      <c r="E228">
        <f ca="1"/>
        <v>0</v>
      </c>
      <c r="F228">
        <f ca="1"/>
        <v>0.68859199999999998</v>
      </c>
      <c r="G228">
        <f ca="1"/>
        <v>0</v>
      </c>
      <c r="H228">
        <f ca="1"/>
        <v>0.97594800000000004</v>
      </c>
      <c r="I228">
        <f ca="1"/>
        <v>0</v>
      </c>
      <c r="J228">
        <f ca="1"/>
        <v>0</v>
      </c>
      <c r="K228">
        <f ca="1"/>
        <v>0</v>
      </c>
      <c r="L228">
        <f ca="1"/>
        <v>0</v>
      </c>
      <c r="M228">
        <f ca="1"/>
        <v>0.37790600000000002</v>
      </c>
      <c r="N228">
        <f ca="1"/>
        <v>0</v>
      </c>
      <c r="O228">
        <f ca="1"/>
        <v>0</v>
      </c>
      <c r="P228">
        <f ca="1"/>
        <v>0.99933499999999997</v>
      </c>
      <c r="Q228">
        <f ca="1"/>
        <v>0</v>
      </c>
      <c r="R228">
        <f ca="1"/>
        <v>0.456009</v>
      </c>
      <c r="S228">
        <f ca="1"/>
        <v>0</v>
      </c>
      <c r="T228">
        <f ca="1"/>
        <v>0</v>
      </c>
      <c r="U228">
        <f ca="1"/>
        <v>0.99933499999999997</v>
      </c>
      <c r="V228">
        <f ca="1"/>
        <v>0</v>
      </c>
    </row>
    <row r="229" spans="1:22" x14ac:dyDescent="0.3">
      <c r="A229" t="str">
        <f ca="1"/>
        <v>228</v>
      </c>
      <c r="B229" t="str">
        <f ca="1"/>
        <v>Kayonza_HS16_15</v>
      </c>
      <c r="C229">
        <f ca="1"/>
        <v>0.517571</v>
      </c>
      <c r="D229">
        <f ca="1"/>
        <v>0.41474100000000003</v>
      </c>
      <c r="E229">
        <f ca="1"/>
        <v>0</v>
      </c>
      <c r="F229">
        <f ca="1"/>
        <v>0.10148699999999999</v>
      </c>
      <c r="G229">
        <f ca="1"/>
        <v>0.14285700000000001</v>
      </c>
      <c r="H229">
        <f ca="1"/>
        <v>0.93263799999999997</v>
      </c>
      <c r="I229">
        <f ca="1"/>
        <v>0</v>
      </c>
      <c r="J229">
        <f ca="1"/>
        <v>0</v>
      </c>
      <c r="K229">
        <f ca="1"/>
        <v>0</v>
      </c>
      <c r="L229">
        <f ca="1"/>
        <v>0</v>
      </c>
      <c r="M229">
        <f ca="1"/>
        <v>0.44898300000000002</v>
      </c>
      <c r="N229">
        <f ca="1"/>
        <v>0</v>
      </c>
      <c r="O229">
        <f ca="1"/>
        <v>0</v>
      </c>
      <c r="P229">
        <f ca="1"/>
        <v>0.983514</v>
      </c>
      <c r="Q229">
        <f ca="1"/>
        <v>0.72153199999999995</v>
      </c>
      <c r="R229">
        <f ca="1"/>
        <v>0.54659400000000002</v>
      </c>
      <c r="S229">
        <f ca="1"/>
        <v>0</v>
      </c>
      <c r="T229">
        <f ca="1"/>
        <v>0</v>
      </c>
      <c r="U229">
        <f ca="1"/>
        <v>0.98607100000000003</v>
      </c>
      <c r="V229">
        <f ca="1"/>
        <v>0.15495500000000001</v>
      </c>
    </row>
    <row r="230" spans="1:22" x14ac:dyDescent="0.3">
      <c r="A230" t="str">
        <f ca="1"/>
        <v>229</v>
      </c>
      <c r="B230" t="str">
        <f ca="1"/>
        <v>Kayonza_HS17_15</v>
      </c>
      <c r="C230">
        <f ca="1"/>
        <v>0.71270500000000003</v>
      </c>
      <c r="D230">
        <f ca="1"/>
        <v>0</v>
      </c>
      <c r="E230">
        <f ca="1"/>
        <v>0</v>
      </c>
      <c r="F230">
        <f ca="1"/>
        <v>3.594E-3</v>
      </c>
      <c r="G230">
        <f ca="1"/>
        <v>0</v>
      </c>
      <c r="H230">
        <f ca="1"/>
        <v>0.75749200000000005</v>
      </c>
      <c r="I230">
        <f ca="1"/>
        <v>0</v>
      </c>
      <c r="J230">
        <f ca="1"/>
        <v>0</v>
      </c>
      <c r="K230">
        <f ca="1"/>
        <v>0</v>
      </c>
      <c r="L230">
        <f ca="1"/>
        <v>0</v>
      </c>
      <c r="M230">
        <f ca="1"/>
        <v>0.25889699999999999</v>
      </c>
      <c r="N230">
        <f ca="1"/>
        <v>0</v>
      </c>
      <c r="O230">
        <f ca="1"/>
        <v>0</v>
      </c>
      <c r="P230">
        <f ca="1"/>
        <v>0.99880199999999997</v>
      </c>
      <c r="Q230">
        <f ca="1"/>
        <v>0</v>
      </c>
      <c r="R230">
        <f ca="1"/>
        <v>0.30788100000000002</v>
      </c>
      <c r="S230">
        <f ca="1"/>
        <v>0</v>
      </c>
      <c r="T230">
        <f ca="1"/>
        <v>0</v>
      </c>
      <c r="U230">
        <f ca="1"/>
        <v>0.99880199999999997</v>
      </c>
      <c r="V230">
        <f ca="1"/>
        <v>0</v>
      </c>
    </row>
    <row r="231" spans="1:22" x14ac:dyDescent="0.3">
      <c r="A231" t="str">
        <f ca="1"/>
        <v>230</v>
      </c>
      <c r="B231" t="str">
        <f ca="1"/>
        <v>Kayonza_HS18_15</v>
      </c>
      <c r="C231">
        <f ca="1"/>
        <v>5.6700000000000001E-4</v>
      </c>
      <c r="D231">
        <f ca="1"/>
        <v>0</v>
      </c>
      <c r="E231">
        <f ca="1"/>
        <v>0</v>
      </c>
      <c r="F231">
        <f ca="1"/>
        <v>0</v>
      </c>
      <c r="G231">
        <f ca="1"/>
        <v>0</v>
      </c>
      <c r="H231">
        <f ca="1"/>
        <v>5.6700000000000001E-4</v>
      </c>
      <c r="I231">
        <f ca="1"/>
        <v>0</v>
      </c>
      <c r="J231">
        <f ca="1"/>
        <v>0</v>
      </c>
      <c r="K231">
        <f ca="1"/>
        <v>0</v>
      </c>
      <c r="L231">
        <f ca="1"/>
        <v>0</v>
      </c>
      <c r="M231">
        <f ca="1"/>
        <v>6.6889999999999996E-3</v>
      </c>
      <c r="N231">
        <f ca="1"/>
        <v>0</v>
      </c>
      <c r="O231">
        <f ca="1"/>
        <v>0</v>
      </c>
      <c r="P231">
        <f ca="1"/>
        <v>0</v>
      </c>
      <c r="Q231">
        <f ca="1"/>
        <v>0</v>
      </c>
      <c r="R231">
        <f ca="1"/>
        <v>6.6889999999999996E-3</v>
      </c>
      <c r="S231">
        <f ca="1"/>
        <v>0</v>
      </c>
      <c r="T231">
        <f ca="1"/>
        <v>0</v>
      </c>
      <c r="U231">
        <f ca="1"/>
        <v>0</v>
      </c>
      <c r="V231">
        <f ca="1"/>
        <v>0</v>
      </c>
    </row>
    <row r="232" spans="1:22" x14ac:dyDescent="0.3">
      <c r="A232" t="str">
        <f ca="1"/>
        <v>231</v>
      </c>
      <c r="B232" t="str">
        <f ca="1"/>
        <v>Kayonza_HS1_15</v>
      </c>
      <c r="C232">
        <f ca="1"/>
        <v>0.33652700000000002</v>
      </c>
      <c r="D232">
        <f ca="1"/>
        <v>0</v>
      </c>
      <c r="E232">
        <f ca="1"/>
        <v>0</v>
      </c>
      <c r="F232">
        <f ca="1"/>
        <v>0.72909900000000005</v>
      </c>
      <c r="G232">
        <f ca="1"/>
        <v>0</v>
      </c>
      <c r="H232">
        <f ca="1"/>
        <v>0.58495900000000001</v>
      </c>
      <c r="I232">
        <f ca="1"/>
        <v>0</v>
      </c>
      <c r="J232">
        <f ca="1"/>
        <v>0</v>
      </c>
      <c r="K232">
        <f ca="1"/>
        <v>0</v>
      </c>
      <c r="L232">
        <f ca="1"/>
        <v>0</v>
      </c>
      <c r="M232">
        <f ca="1"/>
        <v>0.217944</v>
      </c>
      <c r="N232">
        <f ca="1"/>
        <v>0</v>
      </c>
      <c r="O232">
        <f ca="1"/>
        <v>0</v>
      </c>
      <c r="P232">
        <f ca="1"/>
        <v>0.99816400000000005</v>
      </c>
      <c r="Q232">
        <f ca="1"/>
        <v>0</v>
      </c>
      <c r="R232">
        <f ca="1"/>
        <v>0.247671</v>
      </c>
      <c r="S232">
        <f ca="1"/>
        <v>0</v>
      </c>
      <c r="T232">
        <f ca="1"/>
        <v>0</v>
      </c>
      <c r="U232">
        <f ca="1"/>
        <v>0.99816400000000005</v>
      </c>
      <c r="V232">
        <f ca="1"/>
        <v>0</v>
      </c>
    </row>
    <row r="233" spans="1:22" x14ac:dyDescent="0.3">
      <c r="A233" t="str">
        <f ca="1"/>
        <v>232</v>
      </c>
      <c r="B233" t="str">
        <f ca="1"/>
        <v>Kayonza_HS2_15</v>
      </c>
      <c r="C233">
        <f ca="1"/>
        <v>1.140422</v>
      </c>
      <c r="D233">
        <f ca="1"/>
        <v>0.77251999999999998</v>
      </c>
      <c r="E233">
        <f ca="1"/>
        <v>0</v>
      </c>
      <c r="F233">
        <f ca="1"/>
        <v>0.68465100000000001</v>
      </c>
      <c r="G233">
        <f ca="1"/>
        <v>0.73305100000000001</v>
      </c>
      <c r="H233">
        <f ca="1"/>
        <v>0.39206400000000002</v>
      </c>
      <c r="I233">
        <f ca="1"/>
        <v>0</v>
      </c>
      <c r="J233">
        <f ca="1"/>
        <v>0</v>
      </c>
      <c r="K233">
        <f ca="1"/>
        <v>0.99772000000000005</v>
      </c>
      <c r="L233">
        <f ca="1"/>
        <v>0.24515200000000001</v>
      </c>
      <c r="M233">
        <f ca="1"/>
        <v>0.50574600000000003</v>
      </c>
      <c r="N233">
        <f ca="1"/>
        <v>0</v>
      </c>
      <c r="O233">
        <f ca="1"/>
        <v>0</v>
      </c>
      <c r="P233">
        <f ca="1"/>
        <v>0.99027699999999996</v>
      </c>
      <c r="Q233">
        <f ca="1"/>
        <v>0.801817</v>
      </c>
      <c r="R233">
        <f ca="1"/>
        <v>0.63518399999999997</v>
      </c>
      <c r="S233">
        <f ca="1"/>
        <v>0</v>
      </c>
      <c r="T233">
        <f ca="1"/>
        <v>0</v>
      </c>
      <c r="U233">
        <f ca="1"/>
        <v>0.99290699999999998</v>
      </c>
      <c r="V233">
        <f ca="1"/>
        <v>0.40566799999999997</v>
      </c>
    </row>
    <row r="234" spans="1:22" x14ac:dyDescent="0.3">
      <c r="A234" t="str">
        <f ca="1"/>
        <v>233</v>
      </c>
      <c r="B234" t="str">
        <f ca="1"/>
        <v>Kayonza_HS3_15</v>
      </c>
      <c r="C234">
        <f ca="1"/>
        <v>1.1968540000000001</v>
      </c>
      <c r="D234">
        <f ca="1"/>
        <v>0.465617</v>
      </c>
      <c r="E234">
        <f ca="1"/>
        <v>3.4043999999999998E-2</v>
      </c>
      <c r="F234">
        <f ca="1"/>
        <v>0.53083899999999995</v>
      </c>
      <c r="G234">
        <f ca="1"/>
        <v>0.61021000000000003</v>
      </c>
      <c r="H234">
        <f ca="1"/>
        <v>0.366367</v>
      </c>
      <c r="I234">
        <f ca="1"/>
        <v>0</v>
      </c>
      <c r="J234">
        <f ca="1"/>
        <v>0</v>
      </c>
      <c r="K234">
        <f ca="1"/>
        <v>0.99128899999999998</v>
      </c>
      <c r="L234">
        <f ca="1"/>
        <v>0.28464299999999998</v>
      </c>
      <c r="M234">
        <f ca="1"/>
        <v>0.40287099999999998</v>
      </c>
      <c r="N234">
        <f ca="1"/>
        <v>0</v>
      </c>
      <c r="O234">
        <f ca="1"/>
        <v>0</v>
      </c>
      <c r="P234">
        <f ca="1"/>
        <v>0.99414800000000003</v>
      </c>
      <c r="Q234">
        <f ca="1"/>
        <v>0.86954100000000001</v>
      </c>
      <c r="R234">
        <f ca="1"/>
        <v>0.49978699999999998</v>
      </c>
      <c r="S234">
        <f ca="1"/>
        <v>0</v>
      </c>
      <c r="T234">
        <f ca="1"/>
        <v>0</v>
      </c>
      <c r="U234">
        <f ca="1"/>
        <v>0.99778599999999995</v>
      </c>
      <c r="V234">
        <f ca="1"/>
        <v>0.50876600000000005</v>
      </c>
    </row>
    <row r="235" spans="1:22" x14ac:dyDescent="0.3">
      <c r="A235" t="str">
        <f ca="1"/>
        <v>234</v>
      </c>
      <c r="B235" t="str">
        <f ca="1"/>
        <v>Kayonza_HS4_15</v>
      </c>
      <c r="C235">
        <f ca="1"/>
        <v>0.44273299999999999</v>
      </c>
      <c r="D235">
        <f ca="1"/>
        <v>0</v>
      </c>
      <c r="E235">
        <f ca="1"/>
        <v>0</v>
      </c>
      <c r="F235">
        <f ca="1"/>
        <v>0.59400299999999995</v>
      </c>
      <c r="G235">
        <f ca="1"/>
        <v>0</v>
      </c>
      <c r="H235">
        <f ca="1"/>
        <v>0.64280800000000005</v>
      </c>
      <c r="I235">
        <f ca="1"/>
        <v>0</v>
      </c>
      <c r="J235">
        <f ca="1"/>
        <v>0</v>
      </c>
      <c r="K235">
        <f ca="1"/>
        <v>0</v>
      </c>
      <c r="L235">
        <f ca="1"/>
        <v>0</v>
      </c>
      <c r="M235">
        <f ca="1"/>
        <v>0.46749299999999999</v>
      </c>
      <c r="N235">
        <f ca="1"/>
        <v>0</v>
      </c>
      <c r="O235">
        <f ca="1"/>
        <v>0</v>
      </c>
      <c r="P235">
        <f ca="1"/>
        <v>0.97021299999999999</v>
      </c>
      <c r="Q235">
        <f ca="1"/>
        <v>0</v>
      </c>
      <c r="R235">
        <f ca="1"/>
        <v>0.52897799999999995</v>
      </c>
      <c r="S235">
        <f ca="1"/>
        <v>0</v>
      </c>
      <c r="T235">
        <f ca="1"/>
        <v>0</v>
      </c>
      <c r="U235">
        <f ca="1"/>
        <v>0.97021299999999999</v>
      </c>
      <c r="V235">
        <f ca="1"/>
        <v>0</v>
      </c>
    </row>
    <row r="236" spans="1:22" x14ac:dyDescent="0.3">
      <c r="A236" t="str">
        <f ca="1"/>
        <v>235</v>
      </c>
      <c r="B236" t="str">
        <f ca="1"/>
        <v>Kayonza_HS5_15</v>
      </c>
      <c r="C236">
        <f ca="1"/>
        <v>0.89236300000000002</v>
      </c>
      <c r="D236">
        <f ca="1"/>
        <v>0.34360099999999999</v>
      </c>
      <c r="E236">
        <f ca="1"/>
        <v>0</v>
      </c>
      <c r="F236">
        <f ca="1"/>
        <v>0.14003499999999999</v>
      </c>
      <c r="G236">
        <f ca="1"/>
        <v>0</v>
      </c>
      <c r="H236">
        <f ca="1"/>
        <v>0.99096399999999996</v>
      </c>
      <c r="I236">
        <f ca="1"/>
        <v>0</v>
      </c>
      <c r="J236">
        <f ca="1"/>
        <v>0</v>
      </c>
      <c r="K236">
        <f ca="1"/>
        <v>0</v>
      </c>
      <c r="L236">
        <f ca="1"/>
        <v>0</v>
      </c>
      <c r="M236">
        <f ca="1"/>
        <v>0.57145199999999996</v>
      </c>
      <c r="N236">
        <f ca="1"/>
        <v>0</v>
      </c>
      <c r="O236">
        <f ca="1"/>
        <v>0</v>
      </c>
      <c r="P236">
        <f ca="1"/>
        <v>0.99319100000000005</v>
      </c>
      <c r="Q236">
        <f ca="1"/>
        <v>0</v>
      </c>
      <c r="R236">
        <f ca="1"/>
        <v>0.66921699999999995</v>
      </c>
      <c r="S236">
        <f ca="1"/>
        <v>0</v>
      </c>
      <c r="T236">
        <f ca="1"/>
        <v>0</v>
      </c>
      <c r="U236">
        <f ca="1"/>
        <v>0.99319100000000005</v>
      </c>
      <c r="V236">
        <f ca="1"/>
        <v>0</v>
      </c>
    </row>
    <row r="237" spans="1:22" x14ac:dyDescent="0.3">
      <c r="A237" t="str">
        <f ca="1"/>
        <v>236</v>
      </c>
      <c r="B237" t="str">
        <f ca="1"/>
        <v>Kayonza_HS6_15</v>
      </c>
      <c r="C237">
        <f ca="1"/>
        <v>0.761432</v>
      </c>
      <c r="D237">
        <f ca="1"/>
        <v>0</v>
      </c>
      <c r="E237">
        <f ca="1"/>
        <v>0</v>
      </c>
      <c r="F237">
        <f ca="1"/>
        <v>0.53343200000000002</v>
      </c>
      <c r="G237">
        <f ca="1"/>
        <v>0</v>
      </c>
      <c r="H237">
        <f ca="1"/>
        <v>1.1242989999999999</v>
      </c>
      <c r="I237">
        <f ca="1"/>
        <v>0</v>
      </c>
      <c r="J237">
        <f ca="1"/>
        <v>0</v>
      </c>
      <c r="K237">
        <f ca="1"/>
        <v>0</v>
      </c>
      <c r="L237">
        <f ca="1"/>
        <v>0</v>
      </c>
      <c r="M237">
        <f ca="1"/>
        <v>0.58848299999999998</v>
      </c>
      <c r="N237">
        <f ca="1"/>
        <v>0</v>
      </c>
      <c r="O237">
        <f ca="1"/>
        <v>0</v>
      </c>
      <c r="P237">
        <f ca="1"/>
        <v>0.98184800000000005</v>
      </c>
      <c r="Q237">
        <f ca="1"/>
        <v>4.4107E-2</v>
      </c>
      <c r="R237">
        <f ca="1"/>
        <v>0.69135199999999997</v>
      </c>
      <c r="S237">
        <f ca="1"/>
        <v>0</v>
      </c>
      <c r="T237">
        <f ca="1"/>
        <v>0</v>
      </c>
      <c r="U237">
        <f ca="1"/>
        <v>0.98182700000000001</v>
      </c>
      <c r="V237">
        <f ca="1"/>
        <v>6.8950000000000001E-3</v>
      </c>
    </row>
    <row r="238" spans="1:22" x14ac:dyDescent="0.3">
      <c r="A238" t="str">
        <f ca="1"/>
        <v>237</v>
      </c>
      <c r="B238" t="str">
        <f ca="1"/>
        <v>Kayonza_HS7_15</v>
      </c>
      <c r="C238">
        <f ca="1"/>
        <v>0.151919</v>
      </c>
      <c r="D238">
        <f ca="1"/>
        <v>0</v>
      </c>
      <c r="E238">
        <f ca="1"/>
        <v>0</v>
      </c>
      <c r="F238">
        <f ca="1"/>
        <v>3.8810999999999998E-2</v>
      </c>
      <c r="G238">
        <f ca="1"/>
        <v>0</v>
      </c>
      <c r="H238">
        <f ca="1"/>
        <v>0.14204</v>
      </c>
      <c r="I238">
        <f ca="1"/>
        <v>0</v>
      </c>
      <c r="J238">
        <f ca="1"/>
        <v>0</v>
      </c>
      <c r="K238">
        <f ca="1"/>
        <v>0</v>
      </c>
      <c r="L238">
        <f ca="1"/>
        <v>0</v>
      </c>
      <c r="M238">
        <f ca="1"/>
        <v>0.13015599999999999</v>
      </c>
      <c r="N238">
        <f ca="1"/>
        <v>0.38729000000000002</v>
      </c>
      <c r="O238">
        <f ca="1"/>
        <v>0.56999999999999995</v>
      </c>
      <c r="P238">
        <f ca="1"/>
        <v>0</v>
      </c>
      <c r="Q238">
        <f ca="1"/>
        <v>0</v>
      </c>
      <c r="R238">
        <f ca="1"/>
        <v>0.13015599999999999</v>
      </c>
      <c r="S238">
        <f ca="1"/>
        <v>0.38729000000000002</v>
      </c>
      <c r="T238">
        <f ca="1"/>
        <v>0.56999999999999995</v>
      </c>
      <c r="U238">
        <f ca="1"/>
        <v>0</v>
      </c>
      <c r="V238">
        <f ca="1"/>
        <v>0</v>
      </c>
    </row>
    <row r="239" spans="1:22" x14ac:dyDescent="0.3">
      <c r="A239" t="str">
        <f ca="1"/>
        <v>238</v>
      </c>
      <c r="B239" t="str">
        <f ca="1"/>
        <v>Kayonza_HS8_15</v>
      </c>
      <c r="C239">
        <f ca="1"/>
        <v>1.013374</v>
      </c>
      <c r="D239">
        <f ca="1"/>
        <v>0.328596</v>
      </c>
      <c r="E239">
        <f ca="1"/>
        <v>0</v>
      </c>
      <c r="F239">
        <f ca="1"/>
        <v>6.7581000000000002E-2</v>
      </c>
      <c r="G239">
        <f ca="1"/>
        <v>0</v>
      </c>
      <c r="H239">
        <f ca="1"/>
        <v>0.52863400000000005</v>
      </c>
      <c r="I239">
        <f ca="1"/>
        <v>0</v>
      </c>
      <c r="J239">
        <f ca="1"/>
        <v>0</v>
      </c>
      <c r="K239">
        <f ca="1"/>
        <v>0.92436499999999999</v>
      </c>
      <c r="L239">
        <f ca="1"/>
        <v>0.87000200000000005</v>
      </c>
      <c r="M239">
        <f ca="1"/>
        <v>0.57641200000000004</v>
      </c>
      <c r="N239">
        <f ca="1"/>
        <v>0.42392000000000002</v>
      </c>
      <c r="O239">
        <f ca="1"/>
        <v>0.54</v>
      </c>
      <c r="P239">
        <f ca="1"/>
        <v>0.35124300000000003</v>
      </c>
      <c r="Q239">
        <f ca="1"/>
        <v>0.995695</v>
      </c>
      <c r="R239">
        <f ca="1"/>
        <v>0.694662</v>
      </c>
      <c r="S239">
        <f ca="1"/>
        <v>0.42392000000000002</v>
      </c>
      <c r="T239">
        <f ca="1"/>
        <v>0.54</v>
      </c>
      <c r="U239">
        <f ca="1"/>
        <v>0.61265700000000001</v>
      </c>
      <c r="V239">
        <f ca="1"/>
        <v>0.93154099999999995</v>
      </c>
    </row>
    <row r="240" spans="1:22" x14ac:dyDescent="0.3">
      <c r="A240" t="str">
        <f ca="1"/>
        <v>239</v>
      </c>
      <c r="B240" t="str">
        <f ca="1"/>
        <v>Kayonza_HS9_15</v>
      </c>
      <c r="C240">
        <f ca="1"/>
        <v>0.64706399999999997</v>
      </c>
      <c r="D240">
        <f ca="1"/>
        <v>0.52498900000000004</v>
      </c>
      <c r="E240">
        <f ca="1"/>
        <v>8.5392999999999997E-2</v>
      </c>
      <c r="F240">
        <f ca="1"/>
        <v>0.34660299999999999</v>
      </c>
      <c r="G240">
        <f ca="1"/>
        <v>0</v>
      </c>
      <c r="H240">
        <f ca="1"/>
        <v>0.90478099999999995</v>
      </c>
      <c r="I240">
        <f ca="1"/>
        <v>0</v>
      </c>
      <c r="J240">
        <f ca="1"/>
        <v>0</v>
      </c>
      <c r="K240">
        <f ca="1"/>
        <v>0</v>
      </c>
      <c r="L240">
        <f ca="1"/>
        <v>0</v>
      </c>
      <c r="M240">
        <f ca="1"/>
        <v>0.332644</v>
      </c>
      <c r="N240">
        <f ca="1"/>
        <v>0</v>
      </c>
      <c r="O240">
        <f ca="1"/>
        <v>0</v>
      </c>
      <c r="P240">
        <f ca="1"/>
        <v>0.99091300000000004</v>
      </c>
      <c r="Q240">
        <f ca="1"/>
        <v>8.7437000000000001E-2</v>
      </c>
      <c r="R240">
        <f ca="1"/>
        <v>0.36898900000000001</v>
      </c>
      <c r="S240">
        <f ca="1"/>
        <v>0</v>
      </c>
      <c r="T240">
        <f ca="1"/>
        <v>0</v>
      </c>
      <c r="U240">
        <f ca="1"/>
        <v>0.99112</v>
      </c>
      <c r="V240">
        <f ca="1"/>
        <v>2.1503999999999999E-2</v>
      </c>
    </row>
    <row r="241" spans="1:22" x14ac:dyDescent="0.3">
      <c r="A241" t="str">
        <f ca="1"/>
        <v>240</v>
      </c>
      <c r="B241" t="str">
        <f ca="1"/>
        <v>Kibogora_15</v>
      </c>
      <c r="C241">
        <f ca="1"/>
        <v>1.322489</v>
      </c>
      <c r="D241">
        <f ca="1"/>
        <v>0.45021699999999998</v>
      </c>
      <c r="E241">
        <f ca="1"/>
        <v>0</v>
      </c>
      <c r="F241">
        <f ca="1"/>
        <v>0.46758</v>
      </c>
      <c r="G241">
        <f ca="1"/>
        <v>0.161637</v>
      </c>
      <c r="H241">
        <f ca="1"/>
        <v>0.37846600000000002</v>
      </c>
      <c r="I241">
        <f ca="1"/>
        <v>0</v>
      </c>
      <c r="J241">
        <f ca="1"/>
        <v>0</v>
      </c>
      <c r="K241">
        <f ca="1"/>
        <v>0.99618700000000004</v>
      </c>
      <c r="L241">
        <f ca="1"/>
        <v>0.15374599999999999</v>
      </c>
      <c r="M241">
        <f ca="1"/>
        <v>0.53336700000000004</v>
      </c>
      <c r="N241">
        <f ca="1"/>
        <v>0</v>
      </c>
      <c r="O241">
        <f ca="1"/>
        <v>0</v>
      </c>
      <c r="P241">
        <f ca="1"/>
        <v>0.98021199999999997</v>
      </c>
      <c r="Q241">
        <f ca="1"/>
        <v>0.77710199999999996</v>
      </c>
      <c r="R241">
        <f ca="1"/>
        <v>0.59962300000000002</v>
      </c>
      <c r="S241">
        <f ca="1"/>
        <v>0</v>
      </c>
      <c r="T241">
        <f ca="1"/>
        <v>0</v>
      </c>
      <c r="U241">
        <f ca="1"/>
        <v>0.98604099999999995</v>
      </c>
      <c r="V241">
        <f ca="1"/>
        <v>0.33919500000000002</v>
      </c>
    </row>
    <row r="242" spans="1:22" x14ac:dyDescent="0.3">
      <c r="A242" t="str">
        <f ca="1"/>
        <v>241</v>
      </c>
      <c r="B242" t="str">
        <f ca="1"/>
        <v>Kibuye_15</v>
      </c>
      <c r="C242">
        <f ca="1"/>
        <v>1.2801260000000001</v>
      </c>
      <c r="D242">
        <f ca="1"/>
        <v>0.52534499999999995</v>
      </c>
      <c r="E242">
        <f ca="1"/>
        <v>0.13</v>
      </c>
      <c r="F242">
        <f ca="1"/>
        <v>0.26090999999999998</v>
      </c>
      <c r="G242">
        <f ca="1"/>
        <v>0.36546200000000001</v>
      </c>
      <c r="H242">
        <f ca="1"/>
        <v>0.52309099999999997</v>
      </c>
      <c r="I242">
        <f ca="1"/>
        <v>0</v>
      </c>
      <c r="J242">
        <f ca="1"/>
        <v>0</v>
      </c>
      <c r="K242">
        <f ca="1"/>
        <v>0.99744200000000005</v>
      </c>
      <c r="L242">
        <f ca="1"/>
        <v>0.16475400000000001</v>
      </c>
      <c r="M242">
        <f ca="1"/>
        <v>0.68274699999999999</v>
      </c>
      <c r="N242">
        <f ca="1"/>
        <v>0</v>
      </c>
      <c r="O242">
        <f ca="1"/>
        <v>0</v>
      </c>
      <c r="P242">
        <f ca="1"/>
        <v>0.99634</v>
      </c>
      <c r="Q242">
        <f ca="1"/>
        <v>0.67532400000000004</v>
      </c>
      <c r="R242">
        <f ca="1"/>
        <v>0.91898800000000003</v>
      </c>
      <c r="S242">
        <f ca="1"/>
        <v>0</v>
      </c>
      <c r="T242">
        <f ca="1"/>
        <v>0</v>
      </c>
      <c r="U242">
        <f ca="1"/>
        <v>0.99722900000000003</v>
      </c>
      <c r="V242">
        <f ca="1"/>
        <v>0.417217</v>
      </c>
    </row>
    <row r="243" spans="1:22" x14ac:dyDescent="0.3">
      <c r="A243" t="str">
        <f ca="1"/>
        <v>242</v>
      </c>
      <c r="B243" t="str">
        <f ca="1"/>
        <v>Kicukiro_HS0_15</v>
      </c>
      <c r="C243">
        <f ca="1"/>
        <v>1.571178</v>
      </c>
      <c r="D243">
        <f ca="1"/>
        <v>0.59791099999999997</v>
      </c>
      <c r="E243">
        <f ca="1"/>
        <v>2.6800000000000001E-3</v>
      </c>
      <c r="F243">
        <f ca="1"/>
        <v>0.68561899999999998</v>
      </c>
      <c r="G243">
        <f ca="1"/>
        <v>1</v>
      </c>
      <c r="H243">
        <f ca="1"/>
        <v>0.351914</v>
      </c>
      <c r="I243">
        <f ca="1"/>
        <v>0</v>
      </c>
      <c r="J243">
        <f ca="1"/>
        <v>0</v>
      </c>
      <c r="K243">
        <f ca="1"/>
        <v>0.99993699999999996</v>
      </c>
      <c r="L243">
        <f ca="1"/>
        <v>0.993919</v>
      </c>
      <c r="M243">
        <f ca="1"/>
        <v>0.21196699999999999</v>
      </c>
      <c r="N243">
        <f ca="1"/>
        <v>0</v>
      </c>
      <c r="O243">
        <f ca="1"/>
        <v>0</v>
      </c>
      <c r="P243">
        <f ca="1"/>
        <v>0.99799700000000002</v>
      </c>
      <c r="Q243">
        <f ca="1"/>
        <v>0.99980999999999998</v>
      </c>
      <c r="R243">
        <f ca="1"/>
        <v>0.38673999999999997</v>
      </c>
      <c r="S243">
        <f ca="1"/>
        <v>0</v>
      </c>
      <c r="T243">
        <f ca="1"/>
        <v>0</v>
      </c>
      <c r="U243">
        <f ca="1"/>
        <v>0.99993699999999996</v>
      </c>
      <c r="V243">
        <f ca="1"/>
        <v>0.99795999999999996</v>
      </c>
    </row>
    <row r="244" spans="1:22" x14ac:dyDescent="0.3">
      <c r="A244" t="str">
        <f ca="1"/>
        <v>243</v>
      </c>
      <c r="B244" t="str">
        <f ca="1"/>
        <v>Kicukiro_HS10_15</v>
      </c>
      <c r="C244">
        <f ca="1"/>
        <v>1.3556999999999999</v>
      </c>
      <c r="D244">
        <f ca="1"/>
        <v>0.464918</v>
      </c>
      <c r="E244">
        <f ca="1"/>
        <v>9.5659999999999999E-3</v>
      </c>
      <c r="F244">
        <f ca="1"/>
        <v>0.56661300000000003</v>
      </c>
      <c r="G244">
        <f ca="1"/>
        <v>0.99995500000000004</v>
      </c>
      <c r="H244">
        <f ca="1"/>
        <v>0.36923600000000001</v>
      </c>
      <c r="I244">
        <f ca="1"/>
        <v>0</v>
      </c>
      <c r="J244">
        <f ca="1"/>
        <v>0</v>
      </c>
      <c r="K244">
        <f ca="1"/>
        <v>1</v>
      </c>
      <c r="L244">
        <f ca="1"/>
        <v>0.99840399999999996</v>
      </c>
      <c r="M244">
        <f ca="1"/>
        <v>0.27912399999999998</v>
      </c>
      <c r="N244">
        <f ca="1"/>
        <v>0</v>
      </c>
      <c r="O244">
        <f ca="1"/>
        <v>0</v>
      </c>
      <c r="P244">
        <f ca="1"/>
        <v>0.999973</v>
      </c>
      <c r="Q244">
        <f ca="1"/>
        <v>0.99988699999999997</v>
      </c>
      <c r="R244">
        <f ca="1"/>
        <v>0.47289999999999999</v>
      </c>
      <c r="S244">
        <f ca="1"/>
        <v>0</v>
      </c>
      <c r="T244">
        <f ca="1"/>
        <v>0</v>
      </c>
      <c r="U244">
        <f ca="1"/>
        <v>1</v>
      </c>
      <c r="V244">
        <f ca="1"/>
        <v>0.99950000000000006</v>
      </c>
    </row>
    <row r="245" spans="1:22" x14ac:dyDescent="0.3">
      <c r="A245" t="str">
        <f ca="1"/>
        <v>244</v>
      </c>
      <c r="B245" t="str">
        <f ca="1"/>
        <v>Kicukiro_HS11_15</v>
      </c>
      <c r="C245">
        <f ca="1"/>
        <v>1.8091379999999999</v>
      </c>
      <c r="D245">
        <f ca="1"/>
        <v>0.40143499999999999</v>
      </c>
      <c r="E245">
        <f ca="1"/>
        <v>5.9350000000000002E-3</v>
      </c>
      <c r="F245">
        <f ca="1"/>
        <v>0.666327</v>
      </c>
      <c r="G245">
        <f ca="1"/>
        <v>1</v>
      </c>
      <c r="H245">
        <f ca="1"/>
        <v>0.51930699999999996</v>
      </c>
      <c r="I245">
        <f ca="1"/>
        <v>0</v>
      </c>
      <c r="J245">
        <f ca="1"/>
        <v>0</v>
      </c>
      <c r="K245">
        <f ca="1"/>
        <v>0.99905200000000005</v>
      </c>
      <c r="L245">
        <f ca="1"/>
        <v>1</v>
      </c>
      <c r="M245">
        <f ca="1"/>
        <v>0.39294000000000001</v>
      </c>
      <c r="N245">
        <f ca="1"/>
        <v>0</v>
      </c>
      <c r="O245">
        <f ca="1"/>
        <v>0</v>
      </c>
      <c r="P245">
        <f ca="1"/>
        <v>0.99914599999999998</v>
      </c>
      <c r="Q245">
        <f ca="1"/>
        <v>1</v>
      </c>
      <c r="R245">
        <f ca="1"/>
        <v>0.68498599999999998</v>
      </c>
      <c r="S245">
        <f ca="1"/>
        <v>0</v>
      </c>
      <c r="T245">
        <f ca="1"/>
        <v>0</v>
      </c>
      <c r="U245">
        <f ca="1"/>
        <v>0.99905200000000005</v>
      </c>
      <c r="V245">
        <f ca="1"/>
        <v>1</v>
      </c>
    </row>
    <row r="246" spans="1:22" x14ac:dyDescent="0.3">
      <c r="A246" t="str">
        <f ca="1"/>
        <v>245</v>
      </c>
      <c r="B246" t="str">
        <f ca="1"/>
        <v>Kicukiro_HS12_15</v>
      </c>
      <c r="C246">
        <f ca="1"/>
        <v>0.63231599999999999</v>
      </c>
      <c r="D246">
        <f ca="1"/>
        <v>0.59380200000000005</v>
      </c>
      <c r="E246">
        <f ca="1"/>
        <v>1.6764000000000001E-2</v>
      </c>
      <c r="F246">
        <f ca="1"/>
        <v>0.84827600000000003</v>
      </c>
      <c r="G246">
        <f ca="1"/>
        <v>1</v>
      </c>
      <c r="H246">
        <f ca="1"/>
        <v>0.29891800000000002</v>
      </c>
      <c r="I246">
        <f ca="1"/>
        <v>0</v>
      </c>
      <c r="J246">
        <f ca="1"/>
        <v>0</v>
      </c>
      <c r="K246">
        <f ca="1"/>
        <v>1</v>
      </c>
      <c r="L246">
        <f ca="1"/>
        <v>1</v>
      </c>
      <c r="M246">
        <f ca="1"/>
        <v>0.21215700000000001</v>
      </c>
      <c r="N246">
        <f ca="1"/>
        <v>0</v>
      </c>
      <c r="O246">
        <f ca="1"/>
        <v>0</v>
      </c>
      <c r="P246">
        <f ca="1"/>
        <v>0.99977700000000003</v>
      </c>
      <c r="Q246">
        <f ca="1"/>
        <v>1</v>
      </c>
      <c r="R246">
        <f ca="1"/>
        <v>0.37198100000000001</v>
      </c>
      <c r="S246">
        <f ca="1"/>
        <v>0</v>
      </c>
      <c r="T246">
        <f ca="1"/>
        <v>0</v>
      </c>
      <c r="U246">
        <f ca="1"/>
        <v>1</v>
      </c>
      <c r="V246">
        <f ca="1"/>
        <v>1</v>
      </c>
    </row>
    <row r="247" spans="1:22" x14ac:dyDescent="0.3">
      <c r="A247" t="str">
        <f ca="1"/>
        <v>246</v>
      </c>
      <c r="B247" t="str">
        <f ca="1"/>
        <v>Kicukiro_HS13_15</v>
      </c>
      <c r="C247">
        <f ca="1"/>
        <v>0.191972</v>
      </c>
      <c r="D247">
        <f ca="1"/>
        <v>0.96738299999999999</v>
      </c>
      <c r="E247">
        <f ca="1"/>
        <v>0</v>
      </c>
      <c r="F247">
        <f ca="1"/>
        <v>0.81140299999999999</v>
      </c>
      <c r="G247">
        <f ca="1"/>
        <v>1</v>
      </c>
      <c r="H247">
        <f ca="1"/>
        <v>9.8391000000000006E-2</v>
      </c>
      <c r="I247">
        <f ca="1"/>
        <v>0</v>
      </c>
      <c r="J247">
        <f ca="1"/>
        <v>0</v>
      </c>
      <c r="K247">
        <f ca="1"/>
        <v>1</v>
      </c>
      <c r="L247">
        <f ca="1"/>
        <v>1</v>
      </c>
      <c r="M247">
        <f ca="1"/>
        <v>6.9364999999999996E-2</v>
      </c>
      <c r="N247">
        <f ca="1"/>
        <v>0</v>
      </c>
      <c r="O247">
        <f ca="1"/>
        <v>0</v>
      </c>
      <c r="P247">
        <f ca="1"/>
        <v>1</v>
      </c>
      <c r="Q247">
        <f ca="1"/>
        <v>1</v>
      </c>
      <c r="R247">
        <f ca="1"/>
        <v>0.119716</v>
      </c>
      <c r="S247">
        <f ca="1"/>
        <v>0</v>
      </c>
      <c r="T247">
        <f ca="1"/>
        <v>0</v>
      </c>
      <c r="U247">
        <f ca="1"/>
        <v>1</v>
      </c>
      <c r="V247">
        <f ca="1"/>
        <v>1</v>
      </c>
    </row>
    <row r="248" spans="1:22" x14ac:dyDescent="0.3">
      <c r="A248" t="str">
        <f ca="1"/>
        <v>247</v>
      </c>
      <c r="B248" t="str">
        <f ca="1"/>
        <v>Kicukiro_HS14_15</v>
      </c>
      <c r="C248">
        <f ca="1"/>
        <v>1.348959</v>
      </c>
      <c r="D248">
        <f ca="1"/>
        <v>0.42841099999999999</v>
      </c>
      <c r="E248">
        <f ca="1"/>
        <v>1.0848999999999999E-2</v>
      </c>
      <c r="F248">
        <f ca="1"/>
        <v>0.75559600000000005</v>
      </c>
      <c r="G248">
        <f ca="1"/>
        <v>1</v>
      </c>
      <c r="H248">
        <f ca="1"/>
        <v>0.42337000000000002</v>
      </c>
      <c r="I248">
        <f ca="1"/>
        <v>0</v>
      </c>
      <c r="J248">
        <f ca="1"/>
        <v>0</v>
      </c>
      <c r="K248">
        <f ca="1"/>
        <v>0.99928799999999995</v>
      </c>
      <c r="L248">
        <f ca="1"/>
        <v>1</v>
      </c>
      <c r="M248">
        <f ca="1"/>
        <v>0.28703899999999999</v>
      </c>
      <c r="N248">
        <f ca="1"/>
        <v>0</v>
      </c>
      <c r="O248">
        <f ca="1"/>
        <v>0</v>
      </c>
      <c r="P248">
        <f ca="1"/>
        <v>0.99996200000000002</v>
      </c>
      <c r="Q248">
        <f ca="1"/>
        <v>1</v>
      </c>
      <c r="R248">
        <f ca="1"/>
        <v>0.50935699999999995</v>
      </c>
      <c r="S248">
        <f ca="1"/>
        <v>0</v>
      </c>
      <c r="T248">
        <f ca="1"/>
        <v>0</v>
      </c>
      <c r="U248">
        <f ca="1"/>
        <v>0.99928799999999995</v>
      </c>
      <c r="V248">
        <f ca="1"/>
        <v>1</v>
      </c>
    </row>
    <row r="249" spans="1:22" x14ac:dyDescent="0.3">
      <c r="A249" t="str">
        <f ca="1"/>
        <v>248</v>
      </c>
      <c r="B249" t="str">
        <f ca="1"/>
        <v>Kicukiro_HS15_15</v>
      </c>
      <c r="C249">
        <f ca="1"/>
        <v>0.82132700000000003</v>
      </c>
      <c r="D249">
        <f ca="1"/>
        <v>1.0195689999999999</v>
      </c>
      <c r="E249">
        <f ca="1"/>
        <v>4.5869999999999999E-3</v>
      </c>
      <c r="F249">
        <f ca="1"/>
        <v>9.2257000000000006E-2</v>
      </c>
      <c r="G249">
        <f ca="1"/>
        <v>1</v>
      </c>
      <c r="H249">
        <f ca="1"/>
        <v>0.23924300000000001</v>
      </c>
      <c r="I249">
        <f ca="1"/>
        <v>0</v>
      </c>
      <c r="J249">
        <f ca="1"/>
        <v>0</v>
      </c>
      <c r="K249">
        <f ca="1"/>
        <v>0.99905999999999995</v>
      </c>
      <c r="L249">
        <f ca="1"/>
        <v>0.99270599999999998</v>
      </c>
      <c r="M249">
        <f ca="1"/>
        <v>0.14548800000000001</v>
      </c>
      <c r="N249">
        <f ca="1"/>
        <v>0</v>
      </c>
      <c r="O249">
        <f ca="1"/>
        <v>0</v>
      </c>
      <c r="P249">
        <f ca="1"/>
        <v>0.99666699999999997</v>
      </c>
      <c r="Q249">
        <f ca="1"/>
        <v>0.99992499999999995</v>
      </c>
      <c r="R249">
        <f ca="1"/>
        <v>0.27065800000000001</v>
      </c>
      <c r="S249">
        <f ca="1"/>
        <v>0</v>
      </c>
      <c r="T249">
        <f ca="1"/>
        <v>0</v>
      </c>
      <c r="U249">
        <f ca="1"/>
        <v>0.99905999999999995</v>
      </c>
      <c r="V249">
        <f ca="1"/>
        <v>0.99906799999999996</v>
      </c>
    </row>
    <row r="250" spans="1:22" x14ac:dyDescent="0.3">
      <c r="A250" t="str">
        <f ca="1"/>
        <v>249</v>
      </c>
      <c r="B250" t="str">
        <f ca="1"/>
        <v>Kicukiro_HS16_15</v>
      </c>
      <c r="C250">
        <f ca="1"/>
        <v>0.81654499999999997</v>
      </c>
      <c r="D250">
        <f ca="1"/>
        <v>0.60414000000000001</v>
      </c>
      <c r="E250">
        <f ca="1"/>
        <v>0</v>
      </c>
      <c r="F250">
        <f ca="1"/>
        <v>0.74161600000000005</v>
      </c>
      <c r="G250">
        <f ca="1"/>
        <v>1</v>
      </c>
      <c r="H250">
        <f ca="1"/>
        <v>0.27893299999999999</v>
      </c>
      <c r="I250">
        <f ca="1"/>
        <v>0</v>
      </c>
      <c r="J250">
        <f ca="1"/>
        <v>0</v>
      </c>
      <c r="K250">
        <f ca="1"/>
        <v>1</v>
      </c>
      <c r="L250">
        <f ca="1"/>
        <v>1</v>
      </c>
      <c r="M250">
        <f ca="1"/>
        <v>0.175484</v>
      </c>
      <c r="N250">
        <f ca="1"/>
        <v>0</v>
      </c>
      <c r="O250">
        <f ca="1"/>
        <v>0</v>
      </c>
      <c r="P250">
        <f ca="1"/>
        <v>0.99989700000000004</v>
      </c>
      <c r="Q250">
        <f ca="1"/>
        <v>1</v>
      </c>
      <c r="R250">
        <f ca="1"/>
        <v>0.32544899999999999</v>
      </c>
      <c r="S250">
        <f ca="1"/>
        <v>0</v>
      </c>
      <c r="T250">
        <f ca="1"/>
        <v>0</v>
      </c>
      <c r="U250">
        <f ca="1"/>
        <v>1</v>
      </c>
      <c r="V250">
        <f ca="1"/>
        <v>1</v>
      </c>
    </row>
    <row r="251" spans="1:22" x14ac:dyDescent="0.3">
      <c r="A251" t="str">
        <f ca="1"/>
        <v>250</v>
      </c>
      <c r="B251" t="str">
        <f ca="1"/>
        <v>Kicukiro_HS17_15</v>
      </c>
      <c r="C251">
        <f ca="1"/>
        <v>0.92911100000000002</v>
      </c>
      <c r="D251">
        <f ca="1"/>
        <v>0.65307700000000002</v>
      </c>
      <c r="E251">
        <f ca="1"/>
        <v>7.2100000000000003E-3</v>
      </c>
      <c r="F251">
        <f ca="1"/>
        <v>0.635297</v>
      </c>
      <c r="G251">
        <f ca="1"/>
        <v>1</v>
      </c>
      <c r="H251">
        <f ca="1"/>
        <v>0.27753699999999998</v>
      </c>
      <c r="I251">
        <f ca="1"/>
        <v>0</v>
      </c>
      <c r="J251">
        <f ca="1"/>
        <v>0</v>
      </c>
      <c r="K251">
        <f ca="1"/>
        <v>1</v>
      </c>
      <c r="L251">
        <f ca="1"/>
        <v>1</v>
      </c>
      <c r="M251">
        <f ca="1"/>
        <v>0.17042199999999999</v>
      </c>
      <c r="N251">
        <f ca="1"/>
        <v>0</v>
      </c>
      <c r="O251">
        <f ca="1"/>
        <v>0</v>
      </c>
      <c r="P251">
        <f ca="1"/>
        <v>0.99977800000000006</v>
      </c>
      <c r="Q251">
        <f ca="1"/>
        <v>1</v>
      </c>
      <c r="R251">
        <f ca="1"/>
        <v>0.313444</v>
      </c>
      <c r="S251">
        <f ca="1"/>
        <v>0</v>
      </c>
      <c r="T251">
        <f ca="1"/>
        <v>0</v>
      </c>
      <c r="U251">
        <f ca="1"/>
        <v>1</v>
      </c>
      <c r="V251">
        <f ca="1"/>
        <v>1</v>
      </c>
    </row>
    <row r="252" spans="1:22" x14ac:dyDescent="0.3">
      <c r="A252" t="str">
        <f ca="1"/>
        <v>251</v>
      </c>
      <c r="B252" t="str">
        <f ca="1"/>
        <v>Kicukiro_HS18_15</v>
      </c>
      <c r="C252">
        <f ca="1"/>
        <v>0.45128699999999999</v>
      </c>
      <c r="D252">
        <f ca="1"/>
        <v>0.54883099999999996</v>
      </c>
      <c r="E252">
        <f ca="1"/>
        <v>1.4253E-2</v>
      </c>
      <c r="F252">
        <f ca="1"/>
        <v>0.44836900000000002</v>
      </c>
      <c r="G252">
        <f ca="1"/>
        <v>1</v>
      </c>
      <c r="H252">
        <f ca="1"/>
        <v>0.122582</v>
      </c>
      <c r="I252">
        <f ca="1"/>
        <v>0</v>
      </c>
      <c r="J252">
        <f ca="1"/>
        <v>0</v>
      </c>
      <c r="K252">
        <f ca="1"/>
        <v>1</v>
      </c>
      <c r="L252">
        <f ca="1"/>
        <v>1</v>
      </c>
      <c r="M252">
        <f ca="1"/>
        <v>9.2846999999999999E-2</v>
      </c>
      <c r="N252">
        <f ca="1"/>
        <v>0</v>
      </c>
      <c r="O252">
        <f ca="1"/>
        <v>0</v>
      </c>
      <c r="P252">
        <f ca="1"/>
        <v>0.99919500000000006</v>
      </c>
      <c r="Q252">
        <f ca="1"/>
        <v>1</v>
      </c>
      <c r="R252">
        <f ca="1"/>
        <v>0.15446399999999999</v>
      </c>
      <c r="S252">
        <f ca="1"/>
        <v>0</v>
      </c>
      <c r="T252">
        <f ca="1"/>
        <v>0</v>
      </c>
      <c r="U252">
        <f ca="1"/>
        <v>1</v>
      </c>
      <c r="V252">
        <f ca="1"/>
        <v>1</v>
      </c>
    </row>
    <row r="253" spans="1:22" x14ac:dyDescent="0.3">
      <c r="A253" t="str">
        <f ca="1"/>
        <v>252</v>
      </c>
      <c r="B253" t="str">
        <f ca="1"/>
        <v>Kicukiro_HS1_15</v>
      </c>
      <c r="C253">
        <f ca="1"/>
        <v>1.989778</v>
      </c>
      <c r="D253">
        <f ca="1"/>
        <v>0.50936700000000001</v>
      </c>
      <c r="E253">
        <f ca="1"/>
        <v>9.3449999999999991E-3</v>
      </c>
      <c r="F253">
        <f ca="1"/>
        <v>0.445801</v>
      </c>
      <c r="G253">
        <f ca="1"/>
        <v>1</v>
      </c>
      <c r="H253">
        <f ca="1"/>
        <v>0.43115900000000001</v>
      </c>
      <c r="I253">
        <f ca="1"/>
        <v>0</v>
      </c>
      <c r="J253">
        <f ca="1"/>
        <v>0</v>
      </c>
      <c r="K253">
        <f ca="1"/>
        <v>1</v>
      </c>
      <c r="L253">
        <f ca="1"/>
        <v>1</v>
      </c>
      <c r="M253">
        <f ca="1"/>
        <v>0.31851499999999999</v>
      </c>
      <c r="N253">
        <f ca="1"/>
        <v>0</v>
      </c>
      <c r="O253">
        <f ca="1"/>
        <v>0</v>
      </c>
      <c r="P253">
        <f ca="1"/>
        <v>0.99970800000000004</v>
      </c>
      <c r="Q253">
        <f ca="1"/>
        <v>1</v>
      </c>
      <c r="R253">
        <f ca="1"/>
        <v>0.552091</v>
      </c>
      <c r="S253">
        <f ca="1"/>
        <v>0</v>
      </c>
      <c r="T253">
        <f ca="1"/>
        <v>0</v>
      </c>
      <c r="U253">
        <f ca="1"/>
        <v>1</v>
      </c>
      <c r="V253">
        <f ca="1"/>
        <v>1</v>
      </c>
    </row>
    <row r="254" spans="1:22" x14ac:dyDescent="0.3">
      <c r="A254" t="str">
        <f ca="1"/>
        <v>253</v>
      </c>
      <c r="B254" t="str">
        <f ca="1"/>
        <v>Kicukiro_HS2_15</v>
      </c>
      <c r="C254">
        <f ca="1"/>
        <v>1.1616759999999999</v>
      </c>
      <c r="D254">
        <f ca="1"/>
        <v>0.85992199999999996</v>
      </c>
      <c r="E254">
        <f ca="1"/>
        <v>2.4854000000000001E-2</v>
      </c>
      <c r="F254">
        <f ca="1"/>
        <v>0.36752299999999999</v>
      </c>
      <c r="G254">
        <f ca="1"/>
        <v>1</v>
      </c>
      <c r="H254">
        <f ca="1"/>
        <v>0.33297300000000002</v>
      </c>
      <c r="I254">
        <f ca="1"/>
        <v>0</v>
      </c>
      <c r="J254">
        <f ca="1"/>
        <v>0</v>
      </c>
      <c r="K254">
        <f ca="1"/>
        <v>1</v>
      </c>
      <c r="L254">
        <f ca="1"/>
        <v>1</v>
      </c>
      <c r="M254">
        <f ca="1"/>
        <v>0.225857</v>
      </c>
      <c r="N254">
        <f ca="1"/>
        <v>0</v>
      </c>
      <c r="O254">
        <f ca="1"/>
        <v>0</v>
      </c>
      <c r="P254">
        <f ca="1"/>
        <v>0.99925399999999998</v>
      </c>
      <c r="Q254">
        <f ca="1"/>
        <v>1</v>
      </c>
      <c r="R254">
        <f ca="1"/>
        <v>0.40065000000000001</v>
      </c>
      <c r="S254">
        <f ca="1"/>
        <v>0</v>
      </c>
      <c r="T254">
        <f ca="1"/>
        <v>0</v>
      </c>
      <c r="U254">
        <f ca="1"/>
        <v>1</v>
      </c>
      <c r="V254">
        <f ca="1"/>
        <v>1</v>
      </c>
    </row>
    <row r="255" spans="1:22" x14ac:dyDescent="0.3">
      <c r="A255" t="str">
        <f ca="1"/>
        <v>254</v>
      </c>
      <c r="B255" t="str">
        <f ca="1"/>
        <v>Kicukiro_HS3_15</v>
      </c>
      <c r="C255">
        <f ca="1"/>
        <v>1.7659849999999999</v>
      </c>
      <c r="D255">
        <f ca="1"/>
        <v>0.41020600000000002</v>
      </c>
      <c r="E255">
        <f ca="1"/>
        <v>4.9379999999999997E-3</v>
      </c>
      <c r="F255">
        <f ca="1"/>
        <v>0.72653199999999996</v>
      </c>
      <c r="G255">
        <f ca="1"/>
        <v>1</v>
      </c>
      <c r="H255">
        <f ca="1"/>
        <v>0.47594700000000001</v>
      </c>
      <c r="I255">
        <f ca="1"/>
        <v>0</v>
      </c>
      <c r="J255">
        <f ca="1"/>
        <v>0</v>
      </c>
      <c r="K255">
        <f ca="1"/>
        <v>1</v>
      </c>
      <c r="L255">
        <f ca="1"/>
        <v>1</v>
      </c>
      <c r="M255">
        <f ca="1"/>
        <v>0.34455200000000002</v>
      </c>
      <c r="N255">
        <f ca="1"/>
        <v>0</v>
      </c>
      <c r="O255">
        <f ca="1"/>
        <v>0</v>
      </c>
      <c r="P255">
        <f ca="1"/>
        <v>0.99998100000000001</v>
      </c>
      <c r="Q255">
        <f ca="1"/>
        <v>1</v>
      </c>
      <c r="R255">
        <f ca="1"/>
        <v>0.59773600000000005</v>
      </c>
      <c r="S255">
        <f ca="1"/>
        <v>0</v>
      </c>
      <c r="T255">
        <f ca="1"/>
        <v>0</v>
      </c>
      <c r="U255">
        <f ca="1"/>
        <v>1</v>
      </c>
      <c r="V255">
        <f ca="1"/>
        <v>1</v>
      </c>
    </row>
    <row r="256" spans="1:22" x14ac:dyDescent="0.3">
      <c r="A256" t="str">
        <f ca="1"/>
        <v>255</v>
      </c>
      <c r="B256" t="str">
        <f ca="1"/>
        <v>Kicukiro_HS4_15</v>
      </c>
      <c r="C256">
        <f ca="1"/>
        <v>0.780748</v>
      </c>
      <c r="D256">
        <f ca="1"/>
        <v>0.97647399999999995</v>
      </c>
      <c r="E256">
        <f ca="1"/>
        <v>7.4359999999999999E-3</v>
      </c>
      <c r="F256">
        <f ca="1"/>
        <v>0.826874</v>
      </c>
      <c r="G256">
        <f ca="1"/>
        <v>1</v>
      </c>
      <c r="H256">
        <f ca="1"/>
        <v>0.348632</v>
      </c>
      <c r="I256">
        <f ca="1"/>
        <v>0</v>
      </c>
      <c r="J256">
        <f ca="1"/>
        <v>0</v>
      </c>
      <c r="K256">
        <f ca="1"/>
        <v>1</v>
      </c>
      <c r="L256">
        <f ca="1"/>
        <v>1</v>
      </c>
      <c r="M256">
        <f ca="1"/>
        <v>0.22820799999999999</v>
      </c>
      <c r="N256">
        <f ca="1"/>
        <v>0</v>
      </c>
      <c r="O256">
        <f ca="1"/>
        <v>0</v>
      </c>
      <c r="P256">
        <f ca="1"/>
        <v>0.99990599999999996</v>
      </c>
      <c r="Q256">
        <f ca="1"/>
        <v>1</v>
      </c>
      <c r="R256">
        <f ca="1"/>
        <v>0.41644100000000001</v>
      </c>
      <c r="S256">
        <f ca="1"/>
        <v>0</v>
      </c>
      <c r="T256">
        <f ca="1"/>
        <v>0</v>
      </c>
      <c r="U256">
        <f ca="1"/>
        <v>1</v>
      </c>
      <c r="V256">
        <f ca="1"/>
        <v>1</v>
      </c>
    </row>
    <row r="257" spans="1:22" x14ac:dyDescent="0.3">
      <c r="A257" t="str">
        <f ca="1"/>
        <v>256</v>
      </c>
      <c r="B257" t="str">
        <f ca="1"/>
        <v>Kicukiro_HS5_15</v>
      </c>
      <c r="C257">
        <f ca="1"/>
        <v>0.58884999999999998</v>
      </c>
      <c r="D257">
        <f ca="1"/>
        <v>0.77281</v>
      </c>
      <c r="E257">
        <f ca="1"/>
        <v>0</v>
      </c>
      <c r="F257">
        <f ca="1"/>
        <v>0.91183099999999995</v>
      </c>
      <c r="G257">
        <f ca="1"/>
        <v>1</v>
      </c>
      <c r="H257">
        <f ca="1"/>
        <v>0.19985800000000001</v>
      </c>
      <c r="I257">
        <f ca="1"/>
        <v>0</v>
      </c>
      <c r="J257">
        <f ca="1"/>
        <v>0</v>
      </c>
      <c r="K257">
        <f ca="1"/>
        <v>1</v>
      </c>
      <c r="L257">
        <f ca="1"/>
        <v>1</v>
      </c>
      <c r="M257">
        <f ca="1"/>
        <v>0.147286</v>
      </c>
      <c r="N257">
        <f ca="1"/>
        <v>0</v>
      </c>
      <c r="O257">
        <f ca="1"/>
        <v>0</v>
      </c>
      <c r="P257">
        <f ca="1"/>
        <v>0.999996</v>
      </c>
      <c r="Q257">
        <f ca="1"/>
        <v>1</v>
      </c>
      <c r="R257">
        <f ca="1"/>
        <v>0.228875</v>
      </c>
      <c r="S257">
        <f ca="1"/>
        <v>0</v>
      </c>
      <c r="T257">
        <f ca="1"/>
        <v>0</v>
      </c>
      <c r="U257">
        <f ca="1"/>
        <v>1</v>
      </c>
      <c r="V257">
        <f ca="1"/>
        <v>1</v>
      </c>
    </row>
    <row r="258" spans="1:22" x14ac:dyDescent="0.3">
      <c r="A258" t="str">
        <f ca="1"/>
        <v>257</v>
      </c>
      <c r="B258" t="str">
        <f ca="1"/>
        <v>Kicukiro_HS6_15</v>
      </c>
      <c r="C258">
        <f ca="1"/>
        <v>0.68550199999999994</v>
      </c>
      <c r="D258">
        <f ca="1"/>
        <v>0.440695</v>
      </c>
      <c r="E258">
        <f ca="1"/>
        <v>0</v>
      </c>
      <c r="F258">
        <f ca="1"/>
        <v>0.74060300000000001</v>
      </c>
      <c r="G258">
        <f ca="1"/>
        <v>1</v>
      </c>
      <c r="H258">
        <f ca="1"/>
        <v>0.23508399999999999</v>
      </c>
      <c r="I258">
        <f ca="1"/>
        <v>0</v>
      </c>
      <c r="J258">
        <f ca="1"/>
        <v>0</v>
      </c>
      <c r="K258">
        <f ca="1"/>
        <v>0.99989099999999997</v>
      </c>
      <c r="L258">
        <f ca="1"/>
        <v>1</v>
      </c>
      <c r="M258">
        <f ca="1"/>
        <v>0.135855</v>
      </c>
      <c r="N258">
        <f ca="1"/>
        <v>0</v>
      </c>
      <c r="O258">
        <f ca="1"/>
        <v>0</v>
      </c>
      <c r="P258">
        <f ca="1"/>
        <v>0.999888</v>
      </c>
      <c r="Q258">
        <f ca="1"/>
        <v>1</v>
      </c>
      <c r="R258">
        <f ca="1"/>
        <v>0.25739099999999998</v>
      </c>
      <c r="S258">
        <f ca="1"/>
        <v>0</v>
      </c>
      <c r="T258">
        <f ca="1"/>
        <v>0</v>
      </c>
      <c r="U258">
        <f ca="1"/>
        <v>0.99989099999999997</v>
      </c>
      <c r="V258">
        <f ca="1"/>
        <v>1</v>
      </c>
    </row>
    <row r="259" spans="1:22" x14ac:dyDescent="0.3">
      <c r="A259" t="str">
        <f ca="1"/>
        <v>258</v>
      </c>
      <c r="B259" t="str">
        <f ca="1"/>
        <v>Kicukiro_HS7_15</v>
      </c>
      <c r="C259">
        <f ca="1"/>
        <v>0.91933500000000001</v>
      </c>
      <c r="D259">
        <f ca="1"/>
        <v>0.72258900000000004</v>
      </c>
      <c r="E259">
        <f ca="1"/>
        <v>0</v>
      </c>
      <c r="F259">
        <f ca="1"/>
        <v>0.49106899999999998</v>
      </c>
      <c r="G259">
        <f ca="1"/>
        <v>0.97192199999999995</v>
      </c>
      <c r="H259">
        <f ca="1"/>
        <v>0.33797700000000003</v>
      </c>
      <c r="I259">
        <f ca="1"/>
        <v>0</v>
      </c>
      <c r="J259">
        <f ca="1"/>
        <v>0</v>
      </c>
      <c r="K259">
        <f ca="1"/>
        <v>0.99872899999999998</v>
      </c>
      <c r="L259">
        <f ca="1"/>
        <v>0.62588299999999997</v>
      </c>
      <c r="M259">
        <f ca="1"/>
        <v>0.27977800000000003</v>
      </c>
      <c r="N259">
        <f ca="1"/>
        <v>0</v>
      </c>
      <c r="O259">
        <f ca="1"/>
        <v>0</v>
      </c>
      <c r="P259">
        <f ca="1"/>
        <v>0.98795500000000003</v>
      </c>
      <c r="Q259">
        <f ca="1"/>
        <v>0.98763800000000002</v>
      </c>
      <c r="R259">
        <f ca="1"/>
        <v>0.43012699999999998</v>
      </c>
      <c r="S259">
        <f ca="1"/>
        <v>0</v>
      </c>
      <c r="T259">
        <f ca="1"/>
        <v>0</v>
      </c>
      <c r="U259">
        <f ca="1"/>
        <v>0.997614</v>
      </c>
      <c r="V259">
        <f ca="1"/>
        <v>0.87870999999999999</v>
      </c>
    </row>
    <row r="260" spans="1:22" x14ac:dyDescent="0.3">
      <c r="A260" t="str">
        <f ca="1"/>
        <v>259</v>
      </c>
      <c r="B260" t="str">
        <f ca="1"/>
        <v>Kicukiro_HS8_15</v>
      </c>
      <c r="C260">
        <f ca="1"/>
        <v>1.26702</v>
      </c>
      <c r="D260">
        <f ca="1"/>
        <v>0.52890099999999995</v>
      </c>
      <c r="E260">
        <f ca="1"/>
        <v>2.5170000000000001E-3</v>
      </c>
      <c r="F260">
        <f ca="1"/>
        <v>0.60333099999999995</v>
      </c>
      <c r="G260">
        <f ca="1"/>
        <v>0.99393399999999998</v>
      </c>
      <c r="H260">
        <f ca="1"/>
        <v>0.32264599999999999</v>
      </c>
      <c r="I260">
        <f ca="1"/>
        <v>0</v>
      </c>
      <c r="J260">
        <f ca="1"/>
        <v>0</v>
      </c>
      <c r="K260">
        <f ca="1"/>
        <v>0.99834000000000001</v>
      </c>
      <c r="L260">
        <f ca="1"/>
        <v>0.95368799999999998</v>
      </c>
      <c r="M260">
        <f ca="1"/>
        <v>0.20811399999999999</v>
      </c>
      <c r="N260">
        <f ca="1"/>
        <v>0</v>
      </c>
      <c r="O260">
        <f ca="1"/>
        <v>0</v>
      </c>
      <c r="P260">
        <f ca="1"/>
        <v>0.99793299999999996</v>
      </c>
      <c r="Q260">
        <f ca="1"/>
        <v>0.99836499999999995</v>
      </c>
      <c r="R260">
        <f ca="1"/>
        <v>0.35963400000000001</v>
      </c>
      <c r="S260">
        <f ca="1"/>
        <v>0</v>
      </c>
      <c r="T260">
        <f ca="1"/>
        <v>0</v>
      </c>
      <c r="U260">
        <f ca="1"/>
        <v>0.99958800000000003</v>
      </c>
      <c r="V260">
        <f ca="1"/>
        <v>0.98529</v>
      </c>
    </row>
    <row r="261" spans="1:22" x14ac:dyDescent="0.3">
      <c r="A261" t="str">
        <f ca="1"/>
        <v>260</v>
      </c>
      <c r="B261" t="str">
        <f ca="1"/>
        <v>Kicukiro_HS9_15</v>
      </c>
      <c r="C261">
        <f ca="1"/>
        <v>0.73779700000000004</v>
      </c>
      <c r="D261">
        <f ca="1"/>
        <v>0.69453600000000004</v>
      </c>
      <c r="E261">
        <f ca="1"/>
        <v>1.1941999999999999E-2</v>
      </c>
      <c r="F261">
        <f ca="1"/>
        <v>0.42017199999999999</v>
      </c>
      <c r="G261">
        <f ca="1"/>
        <v>1</v>
      </c>
      <c r="H261">
        <f ca="1"/>
        <v>0.21160899999999999</v>
      </c>
      <c r="I261">
        <f ca="1"/>
        <v>0</v>
      </c>
      <c r="J261">
        <f ca="1"/>
        <v>0</v>
      </c>
      <c r="K261">
        <f ca="1"/>
        <v>0.99967099999999998</v>
      </c>
      <c r="L261">
        <f ca="1"/>
        <v>0.99648000000000003</v>
      </c>
      <c r="M261">
        <f ca="1"/>
        <v>0.14566399999999999</v>
      </c>
      <c r="N261">
        <f ca="1"/>
        <v>0</v>
      </c>
      <c r="O261">
        <f ca="1"/>
        <v>0</v>
      </c>
      <c r="P261">
        <f ca="1"/>
        <v>0.998645</v>
      </c>
      <c r="Q261">
        <f ca="1"/>
        <v>0.99989499999999998</v>
      </c>
      <c r="R261">
        <f ca="1"/>
        <v>0.25260700000000003</v>
      </c>
      <c r="S261">
        <f ca="1"/>
        <v>0</v>
      </c>
      <c r="T261">
        <f ca="1"/>
        <v>0</v>
      </c>
      <c r="U261">
        <f ca="1"/>
        <v>0.99918399999999996</v>
      </c>
      <c r="V261">
        <f ca="1"/>
        <v>0.999143</v>
      </c>
    </row>
    <row r="262" spans="1:22" x14ac:dyDescent="0.3">
      <c r="A262" t="str">
        <f ca="1"/>
        <v>261</v>
      </c>
      <c r="B262" t="str">
        <f ca="1"/>
        <v>Kigoma_15</v>
      </c>
      <c r="C262">
        <f ca="1"/>
        <v>1.109677</v>
      </c>
      <c r="D262">
        <f ca="1"/>
        <v>0.45383699999999999</v>
      </c>
      <c r="E262">
        <f ca="1"/>
        <v>2.4961000000000001E-2</v>
      </c>
      <c r="F262">
        <f ca="1"/>
        <v>0.41037099999999999</v>
      </c>
      <c r="G262">
        <f ca="1"/>
        <v>0.92013299999999998</v>
      </c>
      <c r="H262">
        <f ca="1"/>
        <v>0.464034</v>
      </c>
      <c r="I262">
        <f ca="1"/>
        <v>0</v>
      </c>
      <c r="J262">
        <f ca="1"/>
        <v>0</v>
      </c>
      <c r="K262">
        <f ca="1"/>
        <v>0.99925799999999998</v>
      </c>
      <c r="L262">
        <f ca="1"/>
        <v>0.26929799999999998</v>
      </c>
      <c r="M262">
        <f ca="1"/>
        <v>0.53758399999999995</v>
      </c>
      <c r="N262">
        <f ca="1"/>
        <v>0</v>
      </c>
      <c r="O262">
        <f ca="1"/>
        <v>0</v>
      </c>
      <c r="P262">
        <f ca="1"/>
        <v>0.99247399999999997</v>
      </c>
      <c r="Q262">
        <f ca="1"/>
        <v>0.93989699999999998</v>
      </c>
      <c r="R262">
        <f ca="1"/>
        <v>0.75514800000000004</v>
      </c>
      <c r="S262">
        <f ca="1"/>
        <v>0</v>
      </c>
      <c r="T262">
        <f ca="1"/>
        <v>0</v>
      </c>
      <c r="U262">
        <f ca="1"/>
        <v>0.996089</v>
      </c>
      <c r="V262">
        <f ca="1"/>
        <v>0.66281999999999996</v>
      </c>
    </row>
    <row r="263" spans="1:22" x14ac:dyDescent="0.3">
      <c r="A263" t="str">
        <f ca="1"/>
        <v>262</v>
      </c>
      <c r="B263" t="str">
        <f ca="1"/>
        <v>Kilinda_15</v>
      </c>
      <c r="C263">
        <f ca="1"/>
        <v>0.37975199999999998</v>
      </c>
      <c r="D263">
        <f ca="1"/>
        <v>0</v>
      </c>
      <c r="E263">
        <f ca="1"/>
        <v>0</v>
      </c>
      <c r="F263">
        <f ca="1"/>
        <v>0.133434</v>
      </c>
      <c r="G263">
        <f ca="1"/>
        <v>0</v>
      </c>
      <c r="H263">
        <f ca="1"/>
        <v>0.42789199999999999</v>
      </c>
      <c r="I263">
        <f ca="1"/>
        <v>0</v>
      </c>
      <c r="J263">
        <f ca="1"/>
        <v>0</v>
      </c>
      <c r="K263">
        <f ca="1"/>
        <v>0</v>
      </c>
      <c r="L263">
        <f ca="1"/>
        <v>0</v>
      </c>
      <c r="M263">
        <f ca="1"/>
        <v>0.291848</v>
      </c>
      <c r="N263">
        <f ca="1"/>
        <v>0</v>
      </c>
      <c r="O263">
        <f ca="1"/>
        <v>0</v>
      </c>
      <c r="P263">
        <f ca="1"/>
        <v>0.96699400000000002</v>
      </c>
      <c r="Q263">
        <f ca="1"/>
        <v>0</v>
      </c>
      <c r="R263">
        <f ca="1"/>
        <v>0.32275599999999999</v>
      </c>
      <c r="S263">
        <f ca="1"/>
        <v>0</v>
      </c>
      <c r="T263">
        <f ca="1"/>
        <v>0</v>
      </c>
      <c r="U263">
        <f ca="1"/>
        <v>0.96699400000000002</v>
      </c>
      <c r="V263">
        <f ca="1"/>
        <v>0</v>
      </c>
    </row>
    <row r="264" spans="1:22" x14ac:dyDescent="0.3">
      <c r="A264" t="str">
        <f ca="1"/>
        <v>263</v>
      </c>
      <c r="B264" t="str">
        <f ca="1"/>
        <v>Kirehe_15</v>
      </c>
      <c r="C264">
        <f ca="1"/>
        <v>1.812049</v>
      </c>
      <c r="D264">
        <f ca="1"/>
        <v>0</v>
      </c>
      <c r="E264">
        <f ca="1"/>
        <v>0</v>
      </c>
      <c r="F264">
        <f ca="1"/>
        <v>0.118461</v>
      </c>
      <c r="G264">
        <f ca="1"/>
        <v>4.3688999999999999E-2</v>
      </c>
      <c r="H264">
        <f ca="1"/>
        <v>2.252748</v>
      </c>
      <c r="I264">
        <f ca="1"/>
        <v>0</v>
      </c>
      <c r="J264">
        <f ca="1"/>
        <v>0</v>
      </c>
      <c r="K264">
        <f ca="1"/>
        <v>0</v>
      </c>
      <c r="L264">
        <f ca="1"/>
        <v>0</v>
      </c>
      <c r="M264">
        <f ca="1"/>
        <v>0.92144300000000001</v>
      </c>
      <c r="N264">
        <f ca="1"/>
        <v>0</v>
      </c>
      <c r="O264">
        <f ca="1"/>
        <v>0</v>
      </c>
      <c r="P264">
        <f ca="1"/>
        <v>0.99311400000000005</v>
      </c>
      <c r="Q264">
        <f ca="1"/>
        <v>0.40243699999999999</v>
      </c>
      <c r="R264">
        <f ca="1"/>
        <v>1.0889740000000001</v>
      </c>
      <c r="S264">
        <f ca="1"/>
        <v>0</v>
      </c>
      <c r="T264">
        <f ca="1"/>
        <v>0</v>
      </c>
      <c r="U264">
        <f ca="1"/>
        <v>0.99339999999999995</v>
      </c>
      <c r="V264">
        <f ca="1"/>
        <v>0.107444</v>
      </c>
    </row>
    <row r="265" spans="1:22" x14ac:dyDescent="0.3">
      <c r="A265" t="str">
        <f ca="1"/>
        <v>264</v>
      </c>
      <c r="B265" t="str">
        <f ca="1"/>
        <v>Kirehe_HS0_15</v>
      </c>
      <c r="C265">
        <f ca="1"/>
        <v>1.5709</v>
      </c>
      <c r="D265">
        <f ca="1"/>
        <v>0</v>
      </c>
      <c r="E265">
        <f ca="1"/>
        <v>0</v>
      </c>
      <c r="F265">
        <f ca="1"/>
        <v>3.5992999999999997E-2</v>
      </c>
      <c r="G265">
        <f ca="1"/>
        <v>0</v>
      </c>
      <c r="H265">
        <f ca="1"/>
        <v>1.5354270000000001</v>
      </c>
      <c r="I265">
        <f ca="1"/>
        <v>0</v>
      </c>
      <c r="J265">
        <f ca="1"/>
        <v>0</v>
      </c>
      <c r="K265">
        <f ca="1"/>
        <v>0.26615</v>
      </c>
      <c r="L265">
        <f ca="1"/>
        <v>0</v>
      </c>
      <c r="M265">
        <f ca="1"/>
        <v>0.87665800000000005</v>
      </c>
      <c r="N265">
        <f ca="1"/>
        <v>0</v>
      </c>
      <c r="O265">
        <f ca="1"/>
        <v>0</v>
      </c>
      <c r="P265">
        <f ca="1"/>
        <v>0.99713200000000002</v>
      </c>
      <c r="Q265">
        <f ca="1"/>
        <v>0</v>
      </c>
      <c r="R265">
        <f ca="1"/>
        <v>1.0695539999999999</v>
      </c>
      <c r="S265">
        <f ca="1"/>
        <v>0</v>
      </c>
      <c r="T265">
        <f ca="1"/>
        <v>0</v>
      </c>
      <c r="U265">
        <f ca="1"/>
        <v>0.99713200000000002</v>
      </c>
      <c r="V265">
        <f ca="1"/>
        <v>0</v>
      </c>
    </row>
    <row r="266" spans="1:22" x14ac:dyDescent="0.3">
      <c r="A266" t="str">
        <f ca="1"/>
        <v>265</v>
      </c>
      <c r="B266" t="str">
        <f ca="1"/>
        <v>Kirehe_HS10_15</v>
      </c>
      <c r="C266">
        <f ca="1"/>
        <v>0.93043100000000001</v>
      </c>
      <c r="D266">
        <f ca="1"/>
        <v>0</v>
      </c>
      <c r="E266">
        <f ca="1"/>
        <v>0</v>
      </c>
      <c r="F266">
        <f ca="1"/>
        <v>0.54115899999999995</v>
      </c>
      <c r="G266">
        <f ca="1"/>
        <v>0</v>
      </c>
      <c r="H266">
        <f ca="1"/>
        <v>0.79958799999999997</v>
      </c>
      <c r="I266">
        <f ca="1"/>
        <v>0</v>
      </c>
      <c r="J266">
        <f ca="1"/>
        <v>0</v>
      </c>
      <c r="K266">
        <f ca="1"/>
        <v>0.64745399999999997</v>
      </c>
      <c r="L266">
        <f ca="1"/>
        <v>0</v>
      </c>
      <c r="M266">
        <f ca="1"/>
        <v>0.64659500000000003</v>
      </c>
      <c r="N266">
        <f ca="1"/>
        <v>0</v>
      </c>
      <c r="O266">
        <f ca="1"/>
        <v>0</v>
      </c>
      <c r="P266">
        <f ca="1"/>
        <v>0.99752600000000002</v>
      </c>
      <c r="Q266">
        <f ca="1"/>
        <v>0</v>
      </c>
      <c r="R266">
        <f ca="1"/>
        <v>0.79116200000000003</v>
      </c>
      <c r="S266">
        <f ca="1"/>
        <v>0</v>
      </c>
      <c r="T266">
        <f ca="1"/>
        <v>0</v>
      </c>
      <c r="U266">
        <f ca="1"/>
        <v>0.99752600000000002</v>
      </c>
      <c r="V266">
        <f ca="1"/>
        <v>0</v>
      </c>
    </row>
    <row r="267" spans="1:22" x14ac:dyDescent="0.3">
      <c r="A267" t="str">
        <f ca="1"/>
        <v>266</v>
      </c>
      <c r="B267" t="str">
        <f ca="1"/>
        <v>Kirehe_HS11_15</v>
      </c>
      <c r="C267">
        <f ca="1"/>
        <v>1.053102</v>
      </c>
      <c r="D267">
        <f ca="1"/>
        <v>0</v>
      </c>
      <c r="E267">
        <f ca="1"/>
        <v>0</v>
      </c>
      <c r="F267">
        <f ca="1"/>
        <v>1.1231E-2</v>
      </c>
      <c r="G267">
        <f ca="1"/>
        <v>0</v>
      </c>
      <c r="H267">
        <f ca="1"/>
        <v>1.1459729999999999</v>
      </c>
      <c r="I267">
        <f ca="1"/>
        <v>0</v>
      </c>
      <c r="J267">
        <f ca="1"/>
        <v>0</v>
      </c>
      <c r="K267">
        <f ca="1"/>
        <v>0</v>
      </c>
      <c r="L267">
        <f ca="1"/>
        <v>0</v>
      </c>
      <c r="M267">
        <f ca="1"/>
        <v>0.53933799999999998</v>
      </c>
      <c r="N267">
        <f ca="1"/>
        <v>0</v>
      </c>
      <c r="O267">
        <f ca="1"/>
        <v>0</v>
      </c>
      <c r="P267">
        <f ca="1"/>
        <v>0.992232</v>
      </c>
      <c r="Q267">
        <f ca="1"/>
        <v>0</v>
      </c>
      <c r="R267">
        <f ca="1"/>
        <v>0.64480800000000005</v>
      </c>
      <c r="S267">
        <f ca="1"/>
        <v>0</v>
      </c>
      <c r="T267">
        <f ca="1"/>
        <v>0</v>
      </c>
      <c r="U267">
        <f ca="1"/>
        <v>0.992232</v>
      </c>
      <c r="V267">
        <f ca="1"/>
        <v>0</v>
      </c>
    </row>
    <row r="268" spans="1:22" x14ac:dyDescent="0.3">
      <c r="A268" t="str">
        <f ca="1"/>
        <v>267</v>
      </c>
      <c r="B268" t="str">
        <f ca="1"/>
        <v>Kirehe_HS12_15</v>
      </c>
      <c r="C268">
        <f ca="1"/>
        <v>1.163427</v>
      </c>
      <c r="D268">
        <f ca="1"/>
        <v>0</v>
      </c>
      <c r="E268">
        <f ca="1"/>
        <v>0</v>
      </c>
      <c r="F268">
        <f ca="1"/>
        <v>0.38784800000000003</v>
      </c>
      <c r="G268">
        <f ca="1"/>
        <v>0</v>
      </c>
      <c r="H268">
        <f ca="1"/>
        <v>0.46510099999999999</v>
      </c>
      <c r="I268">
        <f ca="1"/>
        <v>0</v>
      </c>
      <c r="J268">
        <f ca="1"/>
        <v>0</v>
      </c>
      <c r="K268">
        <f ca="1"/>
        <v>0.997054</v>
      </c>
      <c r="L268">
        <f ca="1"/>
        <v>1.5180000000000001E-2</v>
      </c>
      <c r="M268">
        <f ca="1"/>
        <v>0.72026199999999996</v>
      </c>
      <c r="N268">
        <f ca="1"/>
        <v>0</v>
      </c>
      <c r="O268">
        <f ca="1"/>
        <v>0</v>
      </c>
      <c r="P268">
        <f ca="1"/>
        <v>0.99638599999999999</v>
      </c>
      <c r="Q268">
        <f ca="1"/>
        <v>0.35742699999999999</v>
      </c>
      <c r="R268">
        <f ca="1"/>
        <v>0.90220999999999996</v>
      </c>
      <c r="S268">
        <f ca="1"/>
        <v>0</v>
      </c>
      <c r="T268">
        <f ca="1"/>
        <v>0</v>
      </c>
      <c r="U268">
        <f ca="1"/>
        <v>0.99791099999999999</v>
      </c>
      <c r="V268">
        <f ca="1"/>
        <v>0.12912399999999999</v>
      </c>
    </row>
    <row r="269" spans="1:22" x14ac:dyDescent="0.3">
      <c r="A269" t="str">
        <f ca="1"/>
        <v>268</v>
      </c>
      <c r="B269" t="str">
        <f ca="1"/>
        <v>Kirehe_HS1_15</v>
      </c>
      <c r="C269">
        <f ca="1"/>
        <v>1.2992950000000001</v>
      </c>
      <c r="D269">
        <f ca="1"/>
        <v>0</v>
      </c>
      <c r="E269">
        <f ca="1"/>
        <v>0</v>
      </c>
      <c r="F269">
        <f ca="1"/>
        <v>3.2801999999999998E-2</v>
      </c>
      <c r="G269">
        <f ca="1"/>
        <v>0</v>
      </c>
      <c r="H269">
        <f ca="1"/>
        <v>1.4425319999999999</v>
      </c>
      <c r="I269">
        <f ca="1"/>
        <v>0</v>
      </c>
      <c r="J269">
        <f ca="1"/>
        <v>0</v>
      </c>
      <c r="K269">
        <f ca="1"/>
        <v>0</v>
      </c>
      <c r="L269">
        <f ca="1"/>
        <v>0</v>
      </c>
      <c r="M269">
        <f ca="1"/>
        <v>0.70261099999999999</v>
      </c>
      <c r="N269">
        <f ca="1"/>
        <v>0</v>
      </c>
      <c r="O269">
        <f ca="1"/>
        <v>0</v>
      </c>
      <c r="P269">
        <f ca="1"/>
        <v>0.99896600000000002</v>
      </c>
      <c r="Q269">
        <f ca="1"/>
        <v>0</v>
      </c>
      <c r="R269">
        <f ca="1"/>
        <v>0.86683299999999996</v>
      </c>
      <c r="S269">
        <f ca="1"/>
        <v>0</v>
      </c>
      <c r="T269">
        <f ca="1"/>
        <v>0</v>
      </c>
      <c r="U269">
        <f ca="1"/>
        <v>0.99896600000000002</v>
      </c>
      <c r="V269">
        <f ca="1"/>
        <v>0</v>
      </c>
    </row>
    <row r="270" spans="1:22" x14ac:dyDescent="0.3">
      <c r="A270" t="str">
        <f ca="1"/>
        <v>269</v>
      </c>
      <c r="B270" t="str">
        <f ca="1"/>
        <v>Kirehe_HS2_15</v>
      </c>
      <c r="C270">
        <f ca="1"/>
        <v>0.89458400000000005</v>
      </c>
      <c r="D270">
        <f ca="1"/>
        <v>0</v>
      </c>
      <c r="E270">
        <f ca="1"/>
        <v>0</v>
      </c>
      <c r="F270">
        <f ca="1"/>
        <v>1.9889E-2</v>
      </c>
      <c r="G270">
        <f ca="1"/>
        <v>0</v>
      </c>
      <c r="H270">
        <f ca="1"/>
        <v>0.98550499999999996</v>
      </c>
      <c r="I270">
        <f ca="1"/>
        <v>0</v>
      </c>
      <c r="J270">
        <f ca="1"/>
        <v>0</v>
      </c>
      <c r="K270">
        <f ca="1"/>
        <v>0</v>
      </c>
      <c r="L270">
        <f ca="1"/>
        <v>0</v>
      </c>
      <c r="M270">
        <f ca="1"/>
        <v>0.45058199999999998</v>
      </c>
      <c r="N270">
        <f ca="1"/>
        <v>0</v>
      </c>
      <c r="O270">
        <f ca="1"/>
        <v>0</v>
      </c>
      <c r="P270">
        <f ca="1"/>
        <v>0.99143800000000004</v>
      </c>
      <c r="Q270">
        <f ca="1"/>
        <v>0</v>
      </c>
      <c r="R270">
        <f ca="1"/>
        <v>0.53565600000000002</v>
      </c>
      <c r="S270">
        <f ca="1"/>
        <v>0</v>
      </c>
      <c r="T270">
        <f ca="1"/>
        <v>0</v>
      </c>
      <c r="U270">
        <f ca="1"/>
        <v>0.99143800000000004</v>
      </c>
      <c r="V270">
        <f ca="1"/>
        <v>0</v>
      </c>
    </row>
    <row r="271" spans="1:22" x14ac:dyDescent="0.3">
      <c r="A271" t="str">
        <f ca="1"/>
        <v>270</v>
      </c>
      <c r="B271" t="str">
        <f ca="1"/>
        <v>Kirehe_HS3_15</v>
      </c>
      <c r="C271">
        <f ca="1"/>
        <v>0.86931000000000003</v>
      </c>
      <c r="D271">
        <f ca="1"/>
        <v>0</v>
      </c>
      <c r="E271">
        <f ca="1"/>
        <v>0</v>
      </c>
      <c r="F271">
        <f ca="1"/>
        <v>7.4496999999999994E-2</v>
      </c>
      <c r="G271">
        <f ca="1"/>
        <v>0</v>
      </c>
      <c r="H271">
        <f ca="1"/>
        <v>0.94604200000000005</v>
      </c>
      <c r="I271">
        <f ca="1"/>
        <v>0</v>
      </c>
      <c r="J271">
        <f ca="1"/>
        <v>0</v>
      </c>
      <c r="K271">
        <f ca="1"/>
        <v>0</v>
      </c>
      <c r="L271">
        <f ca="1"/>
        <v>0</v>
      </c>
      <c r="M271">
        <f ca="1"/>
        <v>0.42031099999999999</v>
      </c>
      <c r="N271">
        <f ca="1"/>
        <v>0</v>
      </c>
      <c r="O271">
        <f ca="1"/>
        <v>0</v>
      </c>
      <c r="P271">
        <f ca="1"/>
        <v>0.99784399999999995</v>
      </c>
      <c r="Q271">
        <f ca="1"/>
        <v>0</v>
      </c>
      <c r="R271">
        <f ca="1"/>
        <v>0.47882599999999997</v>
      </c>
      <c r="S271">
        <f ca="1"/>
        <v>0</v>
      </c>
      <c r="T271">
        <f ca="1"/>
        <v>0</v>
      </c>
      <c r="U271">
        <f ca="1"/>
        <v>0.99784399999999995</v>
      </c>
      <c r="V271">
        <f ca="1"/>
        <v>0</v>
      </c>
    </row>
    <row r="272" spans="1:22" x14ac:dyDescent="0.3">
      <c r="A272" t="str">
        <f ca="1"/>
        <v>271</v>
      </c>
      <c r="B272" t="str">
        <f ca="1"/>
        <v>Kirehe_HS4_15</v>
      </c>
      <c r="C272">
        <f ca="1"/>
        <v>0.45782699999999998</v>
      </c>
      <c r="D272">
        <f ca="1"/>
        <v>0</v>
      </c>
      <c r="E272">
        <f ca="1"/>
        <v>0</v>
      </c>
      <c r="F272">
        <f ca="1"/>
        <v>2.5283E-2</v>
      </c>
      <c r="G272">
        <f ca="1"/>
        <v>0</v>
      </c>
      <c r="H272">
        <f ca="1"/>
        <v>0.47964699999999999</v>
      </c>
      <c r="I272">
        <f ca="1"/>
        <v>0</v>
      </c>
      <c r="J272">
        <f ca="1"/>
        <v>0</v>
      </c>
      <c r="K272">
        <f ca="1"/>
        <v>0</v>
      </c>
      <c r="L272">
        <f ca="1"/>
        <v>0</v>
      </c>
      <c r="M272">
        <f ca="1"/>
        <v>0.22614500000000001</v>
      </c>
      <c r="N272">
        <f ca="1"/>
        <v>0</v>
      </c>
      <c r="O272">
        <f ca="1"/>
        <v>0</v>
      </c>
      <c r="P272">
        <f ca="1"/>
        <v>0.98650400000000005</v>
      </c>
      <c r="Q272">
        <f ca="1"/>
        <v>0</v>
      </c>
      <c r="R272">
        <f ca="1"/>
        <v>0.2576</v>
      </c>
      <c r="S272">
        <f ca="1"/>
        <v>0</v>
      </c>
      <c r="T272">
        <f ca="1"/>
        <v>0</v>
      </c>
      <c r="U272">
        <f ca="1"/>
        <v>0.98650400000000005</v>
      </c>
      <c r="V272">
        <f ca="1"/>
        <v>0</v>
      </c>
    </row>
    <row r="273" spans="1:22" x14ac:dyDescent="0.3">
      <c r="A273" t="str">
        <f ca="1"/>
        <v>272</v>
      </c>
      <c r="B273" t="str">
        <f ca="1"/>
        <v>Kirehe_HS5_15</v>
      </c>
      <c r="C273">
        <f ca="1"/>
        <v>0.35867399999999999</v>
      </c>
      <c r="D273">
        <f ca="1"/>
        <v>0</v>
      </c>
      <c r="E273">
        <f ca="1"/>
        <v>0</v>
      </c>
      <c r="F273">
        <f ca="1"/>
        <v>0</v>
      </c>
      <c r="G273">
        <f ca="1"/>
        <v>0</v>
      </c>
      <c r="H273">
        <f ca="1"/>
        <v>0.41494999999999999</v>
      </c>
      <c r="I273">
        <f ca="1"/>
        <v>0</v>
      </c>
      <c r="J273">
        <f ca="1"/>
        <v>0</v>
      </c>
      <c r="K273">
        <f ca="1"/>
        <v>0</v>
      </c>
      <c r="L273">
        <f ca="1"/>
        <v>0</v>
      </c>
      <c r="M273">
        <f ca="1"/>
        <v>0.317021</v>
      </c>
      <c r="N273">
        <f ca="1"/>
        <v>0</v>
      </c>
      <c r="O273">
        <f ca="1"/>
        <v>0</v>
      </c>
      <c r="P273">
        <f ca="1"/>
        <v>0.99438099999999996</v>
      </c>
      <c r="Q273">
        <f ca="1"/>
        <v>0</v>
      </c>
      <c r="R273">
        <f ca="1"/>
        <v>0.37106600000000001</v>
      </c>
      <c r="S273">
        <f ca="1"/>
        <v>0</v>
      </c>
      <c r="T273">
        <f ca="1"/>
        <v>0</v>
      </c>
      <c r="U273">
        <f ca="1"/>
        <v>0.99438099999999996</v>
      </c>
      <c r="V273">
        <f ca="1"/>
        <v>0</v>
      </c>
    </row>
    <row r="274" spans="1:22" x14ac:dyDescent="0.3">
      <c r="A274" t="str">
        <f ca="1"/>
        <v>273</v>
      </c>
      <c r="B274" t="str">
        <f ca="1"/>
        <v>Kirehe_HS6_15</v>
      </c>
      <c r="C274">
        <f ca="1"/>
        <v>0.95745199999999997</v>
      </c>
      <c r="D274">
        <f ca="1"/>
        <v>0</v>
      </c>
      <c r="E274">
        <f ca="1"/>
        <v>0</v>
      </c>
      <c r="F274">
        <f ca="1"/>
        <v>8.7093000000000004E-2</v>
      </c>
      <c r="G274">
        <f ca="1"/>
        <v>0</v>
      </c>
      <c r="H274">
        <f ca="1"/>
        <v>1.0482089999999999</v>
      </c>
      <c r="I274">
        <f ca="1"/>
        <v>0</v>
      </c>
      <c r="J274">
        <f ca="1"/>
        <v>0</v>
      </c>
      <c r="K274">
        <f ca="1"/>
        <v>0</v>
      </c>
      <c r="L274">
        <f ca="1"/>
        <v>0</v>
      </c>
      <c r="M274">
        <f ca="1"/>
        <v>0.66478599999999999</v>
      </c>
      <c r="N274">
        <f ca="1"/>
        <v>0.47982900000000001</v>
      </c>
      <c r="O274">
        <f ca="1"/>
        <v>0.5</v>
      </c>
      <c r="P274">
        <f ca="1"/>
        <v>0.65732500000000005</v>
      </c>
      <c r="Q274">
        <f ca="1"/>
        <v>0</v>
      </c>
      <c r="R274">
        <f ca="1"/>
        <v>0.74695199999999995</v>
      </c>
      <c r="S274">
        <f ca="1"/>
        <v>0.47982900000000001</v>
      </c>
      <c r="T274">
        <f ca="1"/>
        <v>0.5</v>
      </c>
      <c r="U274">
        <f ca="1"/>
        <v>0.65732500000000005</v>
      </c>
      <c r="V274">
        <f ca="1"/>
        <v>0</v>
      </c>
    </row>
    <row r="275" spans="1:22" x14ac:dyDescent="0.3">
      <c r="A275" t="str">
        <f ca="1"/>
        <v>274</v>
      </c>
      <c r="B275" t="str">
        <f ca="1"/>
        <v>Kirehe_HS7_15</v>
      </c>
      <c r="C275">
        <f ca="1"/>
        <v>0.64746300000000001</v>
      </c>
      <c r="D275">
        <f ca="1"/>
        <v>0</v>
      </c>
      <c r="E275">
        <f ca="1"/>
        <v>0</v>
      </c>
      <c r="F275">
        <f ca="1"/>
        <v>0.361068</v>
      </c>
      <c r="G275">
        <f ca="1"/>
        <v>0.148148</v>
      </c>
      <c r="H275">
        <f ca="1"/>
        <v>0.29292499999999999</v>
      </c>
      <c r="I275">
        <f ca="1"/>
        <v>0</v>
      </c>
      <c r="J275">
        <f ca="1"/>
        <v>0</v>
      </c>
      <c r="K275">
        <f ca="1"/>
        <v>0.998332</v>
      </c>
      <c r="L275">
        <f ca="1"/>
        <v>3.5847999999999998E-2</v>
      </c>
      <c r="M275">
        <f ca="1"/>
        <v>0.43573200000000001</v>
      </c>
      <c r="N275">
        <f ca="1"/>
        <v>0</v>
      </c>
      <c r="O275">
        <f ca="1"/>
        <v>0</v>
      </c>
      <c r="P275">
        <f ca="1"/>
        <v>0.995286</v>
      </c>
      <c r="Q275">
        <f ca="1"/>
        <v>0.67837800000000004</v>
      </c>
      <c r="R275">
        <f ca="1"/>
        <v>0.70886499999999997</v>
      </c>
      <c r="S275">
        <f ca="1"/>
        <v>0.333181</v>
      </c>
      <c r="T275">
        <f ca="1"/>
        <v>0.5</v>
      </c>
      <c r="U275">
        <f ca="1"/>
        <v>0.61221099999999995</v>
      </c>
      <c r="V275">
        <f ca="1"/>
        <v>0</v>
      </c>
    </row>
    <row r="276" spans="1:22" x14ac:dyDescent="0.3">
      <c r="A276" t="str">
        <f ca="1"/>
        <v>275</v>
      </c>
      <c r="B276" t="str">
        <f ca="1"/>
        <v>Kirehe_HS8_15</v>
      </c>
      <c r="C276">
        <f ca="1"/>
        <v>1.077491</v>
      </c>
      <c r="D276">
        <f ca="1"/>
        <v>0</v>
      </c>
      <c r="E276">
        <f ca="1"/>
        <v>0</v>
      </c>
      <c r="F276">
        <f ca="1"/>
        <v>0.141097</v>
      </c>
      <c r="G276">
        <f ca="1"/>
        <v>0</v>
      </c>
      <c r="H276">
        <f ca="1"/>
        <v>1.111504</v>
      </c>
      <c r="I276">
        <f ca="1"/>
        <v>0</v>
      </c>
      <c r="J276">
        <f ca="1"/>
        <v>0</v>
      </c>
      <c r="K276">
        <f ca="1"/>
        <v>0</v>
      </c>
      <c r="L276">
        <f ca="1"/>
        <v>0</v>
      </c>
      <c r="M276">
        <f ca="1"/>
        <v>0.82353900000000002</v>
      </c>
      <c r="N276">
        <f ca="1"/>
        <v>0.45190000000000002</v>
      </c>
      <c r="O276">
        <f ca="1"/>
        <v>0.5</v>
      </c>
      <c r="P276">
        <f ca="1"/>
        <v>0.70981799999999995</v>
      </c>
      <c r="Q276">
        <f ca="1"/>
        <v>0</v>
      </c>
      <c r="R276">
        <f ca="1"/>
        <v>0.92327800000000004</v>
      </c>
      <c r="S276">
        <f ca="1"/>
        <v>0.45190000000000002</v>
      </c>
      <c r="T276">
        <f ca="1"/>
        <v>0.5</v>
      </c>
      <c r="U276">
        <f ca="1"/>
        <v>0.70981799999999995</v>
      </c>
      <c r="V276">
        <f ca="1"/>
        <v>0</v>
      </c>
    </row>
    <row r="277" spans="1:22" x14ac:dyDescent="0.3">
      <c r="A277" t="str">
        <f ca="1"/>
        <v>276</v>
      </c>
      <c r="B277" t="str">
        <f ca="1"/>
        <v>Kirehe_HS9_15</v>
      </c>
      <c r="C277">
        <f ca="1"/>
        <v>0.95080900000000002</v>
      </c>
      <c r="D277">
        <f ca="1"/>
        <v>0</v>
      </c>
      <c r="E277">
        <f ca="1"/>
        <v>0</v>
      </c>
      <c r="F277">
        <f ca="1"/>
        <v>2.5189E-2</v>
      </c>
      <c r="G277">
        <f ca="1"/>
        <v>0</v>
      </c>
      <c r="H277">
        <f ca="1"/>
        <v>1.009987</v>
      </c>
      <c r="I277">
        <f ca="1"/>
        <v>0</v>
      </c>
      <c r="J277">
        <f ca="1"/>
        <v>0</v>
      </c>
      <c r="K277">
        <f ca="1"/>
        <v>0</v>
      </c>
      <c r="L277">
        <f ca="1"/>
        <v>0</v>
      </c>
      <c r="M277">
        <f ca="1"/>
        <v>0.36901600000000001</v>
      </c>
      <c r="N277">
        <f ca="1"/>
        <v>0</v>
      </c>
      <c r="O277">
        <f ca="1"/>
        <v>0</v>
      </c>
      <c r="P277">
        <f ca="1"/>
        <v>0.98970999999999998</v>
      </c>
      <c r="Q277">
        <f ca="1"/>
        <v>0</v>
      </c>
      <c r="R277">
        <f ca="1"/>
        <v>0.43393799999999999</v>
      </c>
      <c r="S277">
        <f ca="1"/>
        <v>0</v>
      </c>
      <c r="T277">
        <f ca="1"/>
        <v>0</v>
      </c>
      <c r="U277">
        <f ca="1"/>
        <v>0.98970999999999998</v>
      </c>
      <c r="V277">
        <f ca="1"/>
        <v>0</v>
      </c>
    </row>
    <row r="278" spans="1:22" x14ac:dyDescent="0.3">
      <c r="A278" t="str">
        <f ca="1"/>
        <v>277</v>
      </c>
      <c r="B278" t="str">
        <f ca="1"/>
        <v>Mamba_15</v>
      </c>
      <c r="C278">
        <f ca="1"/>
        <v>0.25813700000000001</v>
      </c>
      <c r="D278">
        <f ca="1"/>
        <v>0</v>
      </c>
      <c r="E278">
        <f ca="1"/>
        <v>0</v>
      </c>
      <c r="F278">
        <f ca="1"/>
        <v>0.68546600000000002</v>
      </c>
      <c r="G278">
        <f ca="1"/>
        <v>0</v>
      </c>
      <c r="H278">
        <f ca="1"/>
        <v>0.33012900000000001</v>
      </c>
      <c r="I278">
        <f ca="1"/>
        <v>0</v>
      </c>
      <c r="J278">
        <f ca="1"/>
        <v>0</v>
      </c>
      <c r="K278">
        <f ca="1"/>
        <v>0</v>
      </c>
      <c r="L278">
        <f ca="1"/>
        <v>0</v>
      </c>
      <c r="M278">
        <f ca="1"/>
        <v>0.35521599999999998</v>
      </c>
      <c r="N278">
        <f ca="1"/>
        <v>0.445212</v>
      </c>
      <c r="O278">
        <f ca="1"/>
        <v>0.52</v>
      </c>
      <c r="P278">
        <f ca="1"/>
        <v>0</v>
      </c>
      <c r="Q278">
        <f ca="1"/>
        <v>0</v>
      </c>
      <c r="R278">
        <f ca="1"/>
        <v>0.35521599999999998</v>
      </c>
      <c r="S278">
        <f ca="1"/>
        <v>0.445212</v>
      </c>
      <c r="T278">
        <f ca="1"/>
        <v>0.52</v>
      </c>
      <c r="U278">
        <f ca="1"/>
        <v>0</v>
      </c>
      <c r="V278">
        <f ca="1"/>
        <v>0</v>
      </c>
    </row>
    <row r="279" spans="1:22" x14ac:dyDescent="0.3">
      <c r="A279" t="str">
        <f ca="1"/>
        <v>278</v>
      </c>
      <c r="B279" t="str">
        <f ca="1"/>
        <v>Mashyuza_15</v>
      </c>
      <c r="C279">
        <f ca="1"/>
        <v>0.99524000000000001</v>
      </c>
      <c r="D279">
        <f ca="1"/>
        <v>0</v>
      </c>
      <c r="E279">
        <f ca="1"/>
        <v>0</v>
      </c>
      <c r="F279">
        <f ca="1"/>
        <v>0.29226099999999999</v>
      </c>
      <c r="G279">
        <f ca="1"/>
        <v>0.97164200000000001</v>
      </c>
      <c r="H279">
        <f ca="1"/>
        <v>0.53502499999999997</v>
      </c>
      <c r="I279">
        <f ca="1"/>
        <v>0</v>
      </c>
      <c r="J279">
        <f ca="1"/>
        <v>0</v>
      </c>
      <c r="K279">
        <f ca="1"/>
        <v>0.99979600000000002</v>
      </c>
      <c r="L279">
        <f ca="1"/>
        <v>9.2715000000000006E-2</v>
      </c>
      <c r="M279">
        <f ca="1"/>
        <v>0.72090100000000001</v>
      </c>
      <c r="N279">
        <f ca="1"/>
        <v>0</v>
      </c>
      <c r="O279">
        <f ca="1"/>
        <v>0</v>
      </c>
      <c r="P279">
        <f ca="1"/>
        <v>0.99980500000000005</v>
      </c>
      <c r="Q279">
        <f ca="1"/>
        <v>0.81984800000000002</v>
      </c>
      <c r="R279">
        <f ca="1"/>
        <v>0.99402299999999999</v>
      </c>
      <c r="S279">
        <f ca="1"/>
        <v>0</v>
      </c>
      <c r="T279">
        <f ca="1"/>
        <v>0</v>
      </c>
      <c r="U279">
        <f ca="1"/>
        <v>1</v>
      </c>
      <c r="V279">
        <f ca="1"/>
        <v>0.47483500000000001</v>
      </c>
    </row>
    <row r="280" spans="1:22" x14ac:dyDescent="0.3">
      <c r="A280" t="str">
        <f ca="1"/>
        <v>279</v>
      </c>
      <c r="B280" t="str">
        <f ca="1"/>
        <v>Mont_Kigali_15</v>
      </c>
      <c r="C280">
        <f ca="1"/>
        <v>1.8954869999999999</v>
      </c>
      <c r="D280">
        <f ca="1"/>
        <v>0.52183500000000005</v>
      </c>
      <c r="E280">
        <f ca="1"/>
        <v>1.1710999999999999E-2</v>
      </c>
      <c r="F280">
        <f ca="1"/>
        <v>0.40712399999999999</v>
      </c>
      <c r="G280">
        <f ca="1"/>
        <v>0.982935</v>
      </c>
      <c r="H280">
        <f ca="1"/>
        <v>0.46025199999999999</v>
      </c>
      <c r="I280">
        <f ca="1"/>
        <v>0</v>
      </c>
      <c r="J280">
        <f ca="1"/>
        <v>0</v>
      </c>
      <c r="K280">
        <f ca="1"/>
        <v>0.99924400000000002</v>
      </c>
      <c r="L280">
        <f ca="1"/>
        <v>0.64538799999999996</v>
      </c>
      <c r="M280">
        <f ca="1"/>
        <v>0.41495300000000002</v>
      </c>
      <c r="N280">
        <f ca="1"/>
        <v>0</v>
      </c>
      <c r="O280">
        <f ca="1"/>
        <v>0</v>
      </c>
      <c r="P280">
        <f ca="1"/>
        <v>0.99980000000000002</v>
      </c>
      <c r="Q280">
        <f ca="1"/>
        <v>0.97958299999999998</v>
      </c>
      <c r="R280">
        <f ca="1"/>
        <v>0.64147900000000002</v>
      </c>
      <c r="S280">
        <f ca="1"/>
        <v>0</v>
      </c>
      <c r="T280">
        <f ca="1"/>
        <v>0</v>
      </c>
      <c r="U280">
        <f ca="1"/>
        <v>0.99977300000000002</v>
      </c>
      <c r="V280">
        <f ca="1"/>
        <v>0.85666399999999998</v>
      </c>
    </row>
    <row r="281" spans="1:22" x14ac:dyDescent="0.3">
      <c r="A281" t="str">
        <f ca="1"/>
        <v>280</v>
      </c>
      <c r="B281" t="str">
        <f ca="1"/>
        <v>Muhanga_15</v>
      </c>
      <c r="C281">
        <f ca="1"/>
        <v>1.5960780000000001</v>
      </c>
      <c r="D281">
        <f ca="1"/>
        <v>0.46472999999999998</v>
      </c>
      <c r="E281">
        <f ca="1"/>
        <v>6.6736000000000004E-2</v>
      </c>
      <c r="F281">
        <f ca="1"/>
        <v>0.75298900000000002</v>
      </c>
      <c r="G281">
        <f ca="1"/>
        <v>0.97910399999999997</v>
      </c>
      <c r="H281">
        <f ca="1"/>
        <v>0.59298899999999999</v>
      </c>
      <c r="I281">
        <f ca="1"/>
        <v>0</v>
      </c>
      <c r="J281">
        <f ca="1"/>
        <v>0</v>
      </c>
      <c r="K281">
        <f ca="1"/>
        <v>0.99956900000000004</v>
      </c>
      <c r="L281">
        <f ca="1"/>
        <v>0.82525099999999996</v>
      </c>
      <c r="M281">
        <f ca="1"/>
        <v>0.68978899999999999</v>
      </c>
      <c r="N281">
        <f ca="1"/>
        <v>0</v>
      </c>
      <c r="O281">
        <f ca="1"/>
        <v>0</v>
      </c>
      <c r="P281">
        <f ca="1"/>
        <v>0.999946</v>
      </c>
      <c r="Q281">
        <f ca="1"/>
        <v>0.95336600000000005</v>
      </c>
      <c r="R281">
        <f ca="1"/>
        <v>1.004257</v>
      </c>
      <c r="S281">
        <f ca="1"/>
        <v>0</v>
      </c>
      <c r="T281">
        <f ca="1"/>
        <v>0</v>
      </c>
      <c r="U281">
        <f ca="1"/>
        <v>0.99956400000000001</v>
      </c>
      <c r="V281">
        <f ca="1"/>
        <v>0.89327599999999996</v>
      </c>
    </row>
    <row r="282" spans="1:22" x14ac:dyDescent="0.3">
      <c r="A282" t="str">
        <f ca="1"/>
        <v>281</v>
      </c>
      <c r="B282" t="str">
        <f ca="1"/>
        <v>Muhanga_HS0_15</v>
      </c>
      <c r="C282">
        <f ca="1"/>
        <v>0.60585199999999995</v>
      </c>
      <c r="D282">
        <f ca="1"/>
        <v>0.375444</v>
      </c>
      <c r="E282">
        <f ca="1"/>
        <v>0</v>
      </c>
      <c r="F282">
        <f ca="1"/>
        <v>0.154804</v>
      </c>
      <c r="G282">
        <f ca="1"/>
        <v>0</v>
      </c>
      <c r="H282">
        <f ca="1"/>
        <v>0.64425699999999997</v>
      </c>
      <c r="I282">
        <f ca="1"/>
        <v>0</v>
      </c>
      <c r="J282">
        <f ca="1"/>
        <v>0</v>
      </c>
      <c r="K282">
        <f ca="1"/>
        <v>0</v>
      </c>
      <c r="L282">
        <f ca="1"/>
        <v>0</v>
      </c>
      <c r="M282">
        <f ca="1"/>
        <v>0.459231</v>
      </c>
      <c r="N282">
        <f ca="1"/>
        <v>0.46096399999999998</v>
      </c>
      <c r="O282">
        <f ca="1"/>
        <v>0.59</v>
      </c>
      <c r="P282">
        <f ca="1"/>
        <v>0</v>
      </c>
      <c r="Q282">
        <f ca="1"/>
        <v>0</v>
      </c>
      <c r="R282">
        <f ca="1"/>
        <v>0.459231</v>
      </c>
      <c r="S282">
        <f ca="1"/>
        <v>0.46096399999999998</v>
      </c>
      <c r="T282">
        <f ca="1"/>
        <v>0.59</v>
      </c>
      <c r="U282">
        <f ca="1"/>
        <v>0</v>
      </c>
      <c r="V282">
        <f ca="1"/>
        <v>0</v>
      </c>
    </row>
    <row r="283" spans="1:22" x14ac:dyDescent="0.3">
      <c r="A283" t="str">
        <f ca="1"/>
        <v>282</v>
      </c>
      <c r="B283" t="str">
        <f ca="1"/>
        <v>Muhanga_HS10_15</v>
      </c>
      <c r="C283">
        <f ca="1"/>
        <v>0.73901799999999995</v>
      </c>
      <c r="D283">
        <f ca="1"/>
        <v>0</v>
      </c>
      <c r="E283">
        <f ca="1"/>
        <v>0</v>
      </c>
      <c r="F283">
        <f ca="1"/>
        <v>0.21943699999999999</v>
      </c>
      <c r="G283">
        <f ca="1"/>
        <v>0</v>
      </c>
      <c r="H283">
        <f ca="1"/>
        <v>0.82623500000000005</v>
      </c>
      <c r="I283">
        <f ca="1"/>
        <v>0</v>
      </c>
      <c r="J283">
        <f ca="1"/>
        <v>0</v>
      </c>
      <c r="K283">
        <f ca="1"/>
        <v>0</v>
      </c>
      <c r="L283">
        <f ca="1"/>
        <v>0</v>
      </c>
      <c r="M283">
        <f ca="1"/>
        <v>0.76827800000000002</v>
      </c>
      <c r="N283">
        <f ca="1"/>
        <v>0.52768599999999999</v>
      </c>
      <c r="O283">
        <f ca="1"/>
        <v>0.5</v>
      </c>
      <c r="P283">
        <f ca="1"/>
        <v>0.62002500000000005</v>
      </c>
      <c r="Q283">
        <f ca="1"/>
        <v>0</v>
      </c>
      <c r="R283">
        <f ca="1"/>
        <v>0.82664499999999996</v>
      </c>
      <c r="S283">
        <f ca="1"/>
        <v>0.52768599999999999</v>
      </c>
      <c r="T283">
        <f ca="1"/>
        <v>0.5</v>
      </c>
      <c r="U283">
        <f ca="1"/>
        <v>0.62002500000000005</v>
      </c>
      <c r="V283">
        <f ca="1"/>
        <v>0</v>
      </c>
    </row>
    <row r="284" spans="1:22" x14ac:dyDescent="0.3">
      <c r="A284" t="str">
        <f ca="1"/>
        <v>283</v>
      </c>
      <c r="B284" t="str">
        <f ca="1"/>
        <v>Muhanga_HS11_15</v>
      </c>
      <c r="C284">
        <f ca="1"/>
        <v>0.16603200000000001</v>
      </c>
      <c r="D284">
        <f ca="1"/>
        <v>0</v>
      </c>
      <c r="E284">
        <f ca="1"/>
        <v>0</v>
      </c>
      <c r="F284">
        <f ca="1"/>
        <v>0.41961199999999999</v>
      </c>
      <c r="G284">
        <f ca="1"/>
        <v>0</v>
      </c>
      <c r="H284">
        <f ca="1"/>
        <v>0.18173600000000001</v>
      </c>
      <c r="I284">
        <f ca="1"/>
        <v>0</v>
      </c>
      <c r="J284">
        <f ca="1"/>
        <v>0</v>
      </c>
      <c r="K284">
        <f ca="1"/>
        <v>0</v>
      </c>
      <c r="L284">
        <f ca="1"/>
        <v>0</v>
      </c>
      <c r="M284">
        <f ca="1"/>
        <v>0.26471699999999998</v>
      </c>
      <c r="N284">
        <f ca="1"/>
        <v>0.68855100000000002</v>
      </c>
      <c r="O284">
        <f ca="1"/>
        <v>0.5</v>
      </c>
      <c r="P284">
        <f ca="1"/>
        <v>0</v>
      </c>
      <c r="Q284">
        <f ca="1"/>
        <v>0</v>
      </c>
      <c r="R284">
        <f ca="1"/>
        <v>0.26471699999999998</v>
      </c>
      <c r="S284">
        <f ca="1"/>
        <v>0.68855100000000002</v>
      </c>
      <c r="T284">
        <f ca="1"/>
        <v>0.5</v>
      </c>
      <c r="U284">
        <f ca="1"/>
        <v>0</v>
      </c>
      <c r="V284">
        <f ca="1"/>
        <v>0</v>
      </c>
    </row>
    <row r="285" spans="1:22" x14ac:dyDescent="0.3">
      <c r="A285" t="str">
        <f ca="1"/>
        <v>284</v>
      </c>
      <c r="B285" t="str">
        <f ca="1"/>
        <v>Muhanga_HS12_15</v>
      </c>
      <c r="C285">
        <f ca="1"/>
        <v>0.37985799999999997</v>
      </c>
      <c r="D285">
        <f ca="1"/>
        <v>0.71143400000000001</v>
      </c>
      <c r="E285">
        <f ca="1"/>
        <v>0</v>
      </c>
      <c r="F285">
        <f ca="1"/>
        <v>0.25059900000000002</v>
      </c>
      <c r="G285">
        <f ca="1"/>
        <v>0</v>
      </c>
      <c r="H285">
        <f ca="1"/>
        <v>0.47297699999999998</v>
      </c>
      <c r="I285">
        <f ca="1"/>
        <v>0</v>
      </c>
      <c r="J285">
        <f ca="1"/>
        <v>0</v>
      </c>
      <c r="K285">
        <f ca="1"/>
        <v>0</v>
      </c>
      <c r="L285">
        <f ca="1"/>
        <v>0</v>
      </c>
      <c r="M285">
        <f ca="1"/>
        <v>0.42909999999999998</v>
      </c>
      <c r="N285">
        <f ca="1"/>
        <v>0</v>
      </c>
      <c r="O285">
        <f ca="1"/>
        <v>0</v>
      </c>
      <c r="P285">
        <f ca="1"/>
        <v>0.98255999999999999</v>
      </c>
      <c r="Q285">
        <f ca="1"/>
        <v>5.3210000000000002E-3</v>
      </c>
      <c r="R285">
        <f ca="1"/>
        <v>0.50590500000000005</v>
      </c>
      <c r="S285">
        <f ca="1"/>
        <v>0</v>
      </c>
      <c r="T285">
        <f ca="1"/>
        <v>0</v>
      </c>
      <c r="U285">
        <f ca="1"/>
        <v>0.982568</v>
      </c>
      <c r="V285">
        <f ca="1"/>
        <v>4.8999999999999998E-4</v>
      </c>
    </row>
    <row r="286" spans="1:22" x14ac:dyDescent="0.3">
      <c r="A286" t="str">
        <f ca="1"/>
        <v>285</v>
      </c>
      <c r="B286" t="str">
        <f ca="1"/>
        <v>Muhanga_HS13_15</v>
      </c>
      <c r="C286">
        <f ca="1"/>
        <v>0.37335299999999999</v>
      </c>
      <c r="D286">
        <f ca="1"/>
        <v>0</v>
      </c>
      <c r="E286">
        <f ca="1"/>
        <v>0</v>
      </c>
      <c r="F286">
        <f ca="1"/>
        <v>0.48936200000000002</v>
      </c>
      <c r="G286">
        <f ca="1"/>
        <v>0</v>
      </c>
      <c r="H286">
        <f ca="1"/>
        <v>0.47986400000000001</v>
      </c>
      <c r="I286">
        <f ca="1"/>
        <v>0</v>
      </c>
      <c r="J286">
        <f ca="1"/>
        <v>0</v>
      </c>
      <c r="K286">
        <f ca="1"/>
        <v>0</v>
      </c>
      <c r="L286">
        <f ca="1"/>
        <v>0</v>
      </c>
      <c r="M286">
        <f ca="1"/>
        <v>0.45648</v>
      </c>
      <c r="N286">
        <f ca="1"/>
        <v>0</v>
      </c>
      <c r="O286">
        <f ca="1"/>
        <v>0</v>
      </c>
      <c r="P286">
        <f ca="1"/>
        <v>0.93829399999999996</v>
      </c>
      <c r="Q286">
        <f ca="1"/>
        <v>0</v>
      </c>
      <c r="R286">
        <f ca="1"/>
        <v>0.50010699999999997</v>
      </c>
      <c r="S286">
        <f ca="1"/>
        <v>0</v>
      </c>
      <c r="T286">
        <f ca="1"/>
        <v>0</v>
      </c>
      <c r="U286">
        <f ca="1"/>
        <v>0.93829399999999996</v>
      </c>
      <c r="V286">
        <f ca="1"/>
        <v>0</v>
      </c>
    </row>
    <row r="287" spans="1:22" x14ac:dyDescent="0.3">
      <c r="A287" t="str">
        <f ca="1"/>
        <v>286</v>
      </c>
      <c r="B287" t="str">
        <f ca="1"/>
        <v>Muhanga_HS14_15</v>
      </c>
      <c r="C287">
        <f ca="1"/>
        <v>0.19520699999999999</v>
      </c>
      <c r="D287">
        <f ca="1"/>
        <v>0</v>
      </c>
      <c r="E287">
        <f ca="1"/>
        <v>0</v>
      </c>
      <c r="F287">
        <f ca="1"/>
        <v>0.40206599999999998</v>
      </c>
      <c r="G287">
        <f ca="1"/>
        <v>0</v>
      </c>
      <c r="H287">
        <f ca="1"/>
        <v>0.21565200000000001</v>
      </c>
      <c r="I287">
        <f ca="1"/>
        <v>0</v>
      </c>
      <c r="J287">
        <f ca="1"/>
        <v>0</v>
      </c>
      <c r="K287">
        <f ca="1"/>
        <v>0</v>
      </c>
      <c r="L287">
        <f ca="1"/>
        <v>0</v>
      </c>
      <c r="M287">
        <f ca="1"/>
        <v>0.307753</v>
      </c>
      <c r="N287">
        <f ca="1"/>
        <v>0.61623000000000006</v>
      </c>
      <c r="O287">
        <f ca="1"/>
        <v>0.49</v>
      </c>
      <c r="P287">
        <f ca="1"/>
        <v>0</v>
      </c>
      <c r="Q287">
        <f ca="1"/>
        <v>0</v>
      </c>
      <c r="R287">
        <f ca="1"/>
        <v>0.307753</v>
      </c>
      <c r="S287">
        <f ca="1"/>
        <v>0.61623000000000006</v>
      </c>
      <c r="T287">
        <f ca="1"/>
        <v>0.49</v>
      </c>
      <c r="U287">
        <f ca="1"/>
        <v>0</v>
      </c>
      <c r="V287">
        <f ca="1"/>
        <v>0</v>
      </c>
    </row>
    <row r="288" spans="1:22" x14ac:dyDescent="0.3">
      <c r="A288" t="str">
        <f ca="1"/>
        <v>287</v>
      </c>
      <c r="B288" t="str">
        <f ca="1"/>
        <v>Muhanga_HS15_15</v>
      </c>
      <c r="C288">
        <f ca="1"/>
        <v>0.22653899999999999</v>
      </c>
      <c r="D288">
        <f ca="1"/>
        <v>0</v>
      </c>
      <c r="E288">
        <f ca="1"/>
        <v>0</v>
      </c>
      <c r="F288">
        <f ca="1"/>
        <v>0.30007400000000001</v>
      </c>
      <c r="G288">
        <f ca="1"/>
        <v>0</v>
      </c>
      <c r="H288">
        <f ca="1"/>
        <v>0.23961499999999999</v>
      </c>
      <c r="I288">
        <f ca="1"/>
        <v>0</v>
      </c>
      <c r="J288">
        <f ca="1"/>
        <v>0</v>
      </c>
      <c r="K288">
        <f ca="1"/>
        <v>0</v>
      </c>
      <c r="L288">
        <f ca="1"/>
        <v>0</v>
      </c>
      <c r="M288">
        <f ca="1"/>
        <v>0.31137500000000001</v>
      </c>
      <c r="N288">
        <f ca="1"/>
        <v>0.56285200000000002</v>
      </c>
      <c r="O288">
        <f ca="1"/>
        <v>0.5</v>
      </c>
      <c r="P288">
        <f ca="1"/>
        <v>0</v>
      </c>
      <c r="Q288">
        <f ca="1"/>
        <v>0</v>
      </c>
      <c r="R288">
        <f ca="1"/>
        <v>0.31137500000000001</v>
      </c>
      <c r="S288">
        <f ca="1"/>
        <v>0.56285200000000002</v>
      </c>
      <c r="T288">
        <f ca="1"/>
        <v>0.5</v>
      </c>
      <c r="U288">
        <f ca="1"/>
        <v>0</v>
      </c>
      <c r="V288">
        <f ca="1"/>
        <v>0</v>
      </c>
    </row>
    <row r="289" spans="1:22" x14ac:dyDescent="0.3">
      <c r="A289" t="str">
        <f ca="1"/>
        <v>288</v>
      </c>
      <c r="B289" t="str">
        <f ca="1"/>
        <v>Muhanga_HS16_15</v>
      </c>
      <c r="C289">
        <f ca="1"/>
        <v>0.14605000000000001</v>
      </c>
      <c r="D289">
        <f ca="1"/>
        <v>0</v>
      </c>
      <c r="E289">
        <f ca="1"/>
        <v>0</v>
      </c>
      <c r="F289">
        <f ca="1"/>
        <v>0.32262099999999999</v>
      </c>
      <c r="G289">
        <f ca="1"/>
        <v>0</v>
      </c>
      <c r="H289">
        <f ca="1"/>
        <v>0.156331</v>
      </c>
      <c r="I289">
        <f ca="1"/>
        <v>0</v>
      </c>
      <c r="J289">
        <f ca="1"/>
        <v>0</v>
      </c>
      <c r="K289">
        <f ca="1"/>
        <v>0</v>
      </c>
      <c r="L289">
        <f ca="1"/>
        <v>0</v>
      </c>
      <c r="M289">
        <f ca="1"/>
        <v>0.199188</v>
      </c>
      <c r="N289">
        <f ca="1"/>
        <v>0.72160299999999999</v>
      </c>
      <c r="O289">
        <f ca="1"/>
        <v>0.51</v>
      </c>
      <c r="P289">
        <f ca="1"/>
        <v>0</v>
      </c>
      <c r="Q289">
        <f ca="1"/>
        <v>0</v>
      </c>
      <c r="R289">
        <f ca="1"/>
        <v>0.199188</v>
      </c>
      <c r="S289">
        <f ca="1"/>
        <v>0.72160299999999999</v>
      </c>
      <c r="T289">
        <f ca="1"/>
        <v>0.51</v>
      </c>
      <c r="U289">
        <f ca="1"/>
        <v>0</v>
      </c>
      <c r="V289">
        <f ca="1"/>
        <v>0</v>
      </c>
    </row>
    <row r="290" spans="1:22" x14ac:dyDescent="0.3">
      <c r="A290" t="str">
        <f ca="1"/>
        <v>289</v>
      </c>
      <c r="B290" t="str">
        <f ca="1"/>
        <v>Muhanga_HS17_15</v>
      </c>
      <c r="C290">
        <f ca="1"/>
        <v>0.624637</v>
      </c>
      <c r="D290">
        <f ca="1"/>
        <v>0</v>
      </c>
      <c r="E290">
        <f ca="1"/>
        <v>0</v>
      </c>
      <c r="F290">
        <f ca="1"/>
        <v>4.2111999999999997E-2</v>
      </c>
      <c r="G290">
        <f ca="1"/>
        <v>0.43</v>
      </c>
      <c r="H290">
        <f ca="1"/>
        <v>0.11712</v>
      </c>
      <c r="I290">
        <f ca="1"/>
        <v>0</v>
      </c>
      <c r="J290">
        <f ca="1"/>
        <v>0</v>
      </c>
      <c r="K290">
        <f ca="1"/>
        <v>0.99491099999999999</v>
      </c>
      <c r="L290">
        <f ca="1"/>
        <v>1.187E-2</v>
      </c>
      <c r="M290">
        <f ca="1"/>
        <v>0.39633800000000002</v>
      </c>
      <c r="N290">
        <f ca="1"/>
        <v>0.46111099999999999</v>
      </c>
      <c r="O290">
        <f ca="1"/>
        <v>0.6</v>
      </c>
      <c r="P290">
        <f ca="1"/>
        <v>0</v>
      </c>
      <c r="Q290">
        <f ca="1"/>
        <v>0</v>
      </c>
      <c r="R290">
        <f ca="1"/>
        <v>0.43547200000000003</v>
      </c>
      <c r="S290">
        <f ca="1"/>
        <v>0.42327100000000001</v>
      </c>
      <c r="T290">
        <f ca="1"/>
        <v>0.57999999999999996</v>
      </c>
      <c r="U290">
        <f ca="1"/>
        <v>0</v>
      </c>
      <c r="V290">
        <f ca="1"/>
        <v>0</v>
      </c>
    </row>
    <row r="291" spans="1:22" x14ac:dyDescent="0.3">
      <c r="A291" t="str">
        <f ca="1"/>
        <v>290</v>
      </c>
      <c r="B291" t="str">
        <f ca="1"/>
        <v>Muhanga_HS1_15</v>
      </c>
      <c r="C291">
        <f ca="1"/>
        <v>0.61536999999999997</v>
      </c>
      <c r="D291">
        <f ca="1"/>
        <v>0</v>
      </c>
      <c r="E291">
        <f ca="1"/>
        <v>0</v>
      </c>
      <c r="F291">
        <f ca="1"/>
        <v>0.22037000000000001</v>
      </c>
      <c r="G291">
        <f ca="1"/>
        <v>0</v>
      </c>
      <c r="H291">
        <f ca="1"/>
        <v>0.71476700000000004</v>
      </c>
      <c r="I291">
        <f ca="1"/>
        <v>0</v>
      </c>
      <c r="J291">
        <f ca="1"/>
        <v>0</v>
      </c>
      <c r="K291">
        <f ca="1"/>
        <v>0</v>
      </c>
      <c r="L291">
        <f ca="1"/>
        <v>0</v>
      </c>
      <c r="M291">
        <f ca="1"/>
        <v>0.52764500000000003</v>
      </c>
      <c r="N291">
        <f ca="1"/>
        <v>0</v>
      </c>
      <c r="O291">
        <f ca="1"/>
        <v>0</v>
      </c>
      <c r="P291">
        <f ca="1"/>
        <v>0.97437200000000002</v>
      </c>
      <c r="Q291">
        <f ca="1"/>
        <v>0</v>
      </c>
      <c r="R291">
        <f ca="1"/>
        <v>0.60326999999999997</v>
      </c>
      <c r="S291">
        <f ca="1"/>
        <v>0</v>
      </c>
      <c r="T291">
        <f ca="1"/>
        <v>0</v>
      </c>
      <c r="U291">
        <f ca="1"/>
        <v>0.97437200000000002</v>
      </c>
      <c r="V291">
        <f ca="1"/>
        <v>0</v>
      </c>
    </row>
    <row r="292" spans="1:22" x14ac:dyDescent="0.3">
      <c r="A292" t="str">
        <f ca="1"/>
        <v>291</v>
      </c>
      <c r="B292" t="str">
        <f ca="1"/>
        <v>Muhanga_HS2_15</v>
      </c>
      <c r="C292">
        <f ca="1"/>
        <v>1.8454280000000001</v>
      </c>
      <c r="D292">
        <f ca="1"/>
        <v>0.57265900000000003</v>
      </c>
      <c r="E292">
        <f ca="1"/>
        <v>4.9709999999999997E-2</v>
      </c>
      <c r="F292">
        <f ca="1"/>
        <v>0.385656</v>
      </c>
      <c r="G292">
        <f ca="1"/>
        <v>0.88947699999999996</v>
      </c>
      <c r="H292">
        <f ca="1"/>
        <v>0.67759999999999998</v>
      </c>
      <c r="I292">
        <f ca="1"/>
        <v>0</v>
      </c>
      <c r="J292">
        <f ca="1"/>
        <v>0</v>
      </c>
      <c r="K292">
        <f ca="1"/>
        <v>0.99868500000000004</v>
      </c>
      <c r="L292">
        <f ca="1"/>
        <v>0.75920399999999999</v>
      </c>
      <c r="M292">
        <f ca="1"/>
        <v>0.74573299999999998</v>
      </c>
      <c r="N292">
        <f ca="1"/>
        <v>0</v>
      </c>
      <c r="O292">
        <f ca="1"/>
        <v>0</v>
      </c>
      <c r="P292">
        <f ca="1"/>
        <v>0.99824599999999997</v>
      </c>
      <c r="Q292">
        <f ca="1"/>
        <v>0.99019400000000002</v>
      </c>
      <c r="R292">
        <f ca="1"/>
        <v>1.1206119999999999</v>
      </c>
      <c r="S292">
        <f ca="1"/>
        <v>0</v>
      </c>
      <c r="T292">
        <f ca="1"/>
        <v>0</v>
      </c>
      <c r="U292">
        <f ca="1"/>
        <v>0.99959900000000002</v>
      </c>
      <c r="V292">
        <f ca="1"/>
        <v>0.91914499999999999</v>
      </c>
    </row>
    <row r="293" spans="1:22" x14ac:dyDescent="0.3">
      <c r="A293" t="str">
        <f ca="1"/>
        <v>292</v>
      </c>
      <c r="B293" t="str">
        <f ca="1"/>
        <v>Muhanga_HS3_15</v>
      </c>
      <c r="C293">
        <f ca="1"/>
        <v>0.61853400000000003</v>
      </c>
      <c r="D293">
        <f ca="1"/>
        <v>0.58645000000000003</v>
      </c>
      <c r="E293">
        <f ca="1"/>
        <v>0</v>
      </c>
      <c r="F293">
        <f ca="1"/>
        <v>0.655779</v>
      </c>
      <c r="G293">
        <f ca="1"/>
        <v>0.44444400000000001</v>
      </c>
      <c r="H293">
        <f ca="1"/>
        <v>0.3281</v>
      </c>
      <c r="I293">
        <f ca="1"/>
        <v>0</v>
      </c>
      <c r="J293">
        <f ca="1"/>
        <v>0</v>
      </c>
      <c r="K293">
        <f ca="1"/>
        <v>0.99587499999999995</v>
      </c>
      <c r="L293">
        <f ca="1"/>
        <v>0.31937900000000002</v>
      </c>
      <c r="M293">
        <f ca="1"/>
        <v>0.46900999999999998</v>
      </c>
      <c r="N293">
        <f ca="1"/>
        <v>0</v>
      </c>
      <c r="O293">
        <f ca="1"/>
        <v>0</v>
      </c>
      <c r="P293">
        <f ca="1"/>
        <v>0.98182800000000003</v>
      </c>
      <c r="Q293">
        <f ca="1"/>
        <v>0.891648</v>
      </c>
      <c r="R293">
        <f ca="1"/>
        <v>0.617645</v>
      </c>
      <c r="S293">
        <f ca="1"/>
        <v>0</v>
      </c>
      <c r="T293">
        <f ca="1"/>
        <v>0</v>
      </c>
      <c r="U293">
        <f ca="1"/>
        <v>0.986761</v>
      </c>
      <c r="V293">
        <f ca="1"/>
        <v>0.51156500000000005</v>
      </c>
    </row>
    <row r="294" spans="1:22" x14ac:dyDescent="0.3">
      <c r="A294" t="str">
        <f ca="1"/>
        <v>293</v>
      </c>
      <c r="B294" t="str">
        <f ca="1"/>
        <v>Muhanga_HS4_15</v>
      </c>
      <c r="C294">
        <f ca="1"/>
        <v>0.52163000000000004</v>
      </c>
      <c r="D294">
        <f ca="1"/>
        <v>0.37182700000000002</v>
      </c>
      <c r="E294">
        <f ca="1"/>
        <v>0</v>
      </c>
      <c r="F294">
        <f ca="1"/>
        <v>0.36532100000000001</v>
      </c>
      <c r="G294">
        <f ca="1"/>
        <v>0</v>
      </c>
      <c r="H294">
        <f ca="1"/>
        <v>0.64510000000000001</v>
      </c>
      <c r="I294">
        <f ca="1"/>
        <v>0</v>
      </c>
      <c r="J294">
        <f ca="1"/>
        <v>0</v>
      </c>
      <c r="K294">
        <f ca="1"/>
        <v>0</v>
      </c>
      <c r="L294">
        <f ca="1"/>
        <v>0</v>
      </c>
      <c r="M294">
        <f ca="1"/>
        <v>0.57846299999999995</v>
      </c>
      <c r="N294">
        <f ca="1"/>
        <v>0</v>
      </c>
      <c r="O294">
        <f ca="1"/>
        <v>0</v>
      </c>
      <c r="P294">
        <f ca="1"/>
        <v>0.95662000000000003</v>
      </c>
      <c r="Q294">
        <f ca="1"/>
        <v>0</v>
      </c>
      <c r="R294">
        <f ca="1"/>
        <v>0.66472299999999995</v>
      </c>
      <c r="S294">
        <f ca="1"/>
        <v>0</v>
      </c>
      <c r="T294">
        <f ca="1"/>
        <v>0</v>
      </c>
      <c r="U294">
        <f ca="1"/>
        <v>0.95662000000000003</v>
      </c>
      <c r="V294">
        <f ca="1"/>
        <v>0</v>
      </c>
    </row>
    <row r="295" spans="1:22" x14ac:dyDescent="0.3">
      <c r="A295" t="str">
        <f ca="1"/>
        <v>294</v>
      </c>
      <c r="B295" t="str">
        <f ca="1"/>
        <v>Muhanga_HS5_15</v>
      </c>
      <c r="C295">
        <f ca="1"/>
        <v>0.62171299999999996</v>
      </c>
      <c r="D295">
        <f ca="1"/>
        <v>0.35444599999999998</v>
      </c>
      <c r="E295">
        <f ca="1"/>
        <v>0.01</v>
      </c>
      <c r="F295">
        <f ca="1"/>
        <v>0.35577199999999998</v>
      </c>
      <c r="G295">
        <f ca="1"/>
        <v>0</v>
      </c>
      <c r="H295">
        <f ca="1"/>
        <v>0.80666700000000002</v>
      </c>
      <c r="I295">
        <f ca="1"/>
        <v>0</v>
      </c>
      <c r="J295">
        <f ca="1"/>
        <v>0</v>
      </c>
      <c r="K295">
        <f ca="1"/>
        <v>0</v>
      </c>
      <c r="L295">
        <f ca="1"/>
        <v>0</v>
      </c>
      <c r="M295">
        <f ca="1"/>
        <v>0.71973200000000004</v>
      </c>
      <c r="N295">
        <f ca="1"/>
        <v>0</v>
      </c>
      <c r="O295">
        <f ca="1"/>
        <v>0</v>
      </c>
      <c r="P295">
        <f ca="1"/>
        <v>0.97587599999999997</v>
      </c>
      <c r="Q295">
        <f ca="1"/>
        <v>0</v>
      </c>
      <c r="R295">
        <f ca="1"/>
        <v>0.83784199999999998</v>
      </c>
      <c r="S295">
        <f ca="1"/>
        <v>0</v>
      </c>
      <c r="T295">
        <f ca="1"/>
        <v>0</v>
      </c>
      <c r="U295">
        <f ca="1"/>
        <v>0.97587599999999997</v>
      </c>
      <c r="V295">
        <f ca="1"/>
        <v>0</v>
      </c>
    </row>
    <row r="296" spans="1:22" x14ac:dyDescent="0.3">
      <c r="A296" t="str">
        <f ca="1"/>
        <v>295</v>
      </c>
      <c r="B296" t="str">
        <f ca="1"/>
        <v>Muhanga_HS6_15</v>
      </c>
      <c r="C296">
        <f ca="1"/>
        <v>0.325845</v>
      </c>
      <c r="D296">
        <f ca="1"/>
        <v>0</v>
      </c>
      <c r="E296">
        <f ca="1"/>
        <v>0</v>
      </c>
      <c r="F296">
        <f ca="1"/>
        <v>0.33591500000000002</v>
      </c>
      <c r="G296">
        <f ca="1"/>
        <v>0</v>
      </c>
      <c r="H296">
        <f ca="1"/>
        <v>0.40715699999999999</v>
      </c>
      <c r="I296">
        <f ca="1"/>
        <v>0</v>
      </c>
      <c r="J296">
        <f ca="1"/>
        <v>0</v>
      </c>
      <c r="K296">
        <f ca="1"/>
        <v>0</v>
      </c>
      <c r="L296">
        <f ca="1"/>
        <v>0</v>
      </c>
      <c r="M296">
        <f ca="1"/>
        <v>0.27497700000000003</v>
      </c>
      <c r="N296">
        <f ca="1"/>
        <v>0</v>
      </c>
      <c r="O296">
        <f ca="1"/>
        <v>0</v>
      </c>
      <c r="P296">
        <f ca="1"/>
        <v>0.99622900000000003</v>
      </c>
      <c r="Q296">
        <f ca="1"/>
        <v>0</v>
      </c>
      <c r="R296">
        <f ca="1"/>
        <v>0.32875799999999999</v>
      </c>
      <c r="S296">
        <f ca="1"/>
        <v>0</v>
      </c>
      <c r="T296">
        <f ca="1"/>
        <v>0</v>
      </c>
      <c r="U296">
        <f ca="1"/>
        <v>0.99622900000000003</v>
      </c>
      <c r="V296">
        <f ca="1"/>
        <v>0</v>
      </c>
    </row>
    <row r="297" spans="1:22" x14ac:dyDescent="0.3">
      <c r="A297" t="str">
        <f ca="1"/>
        <v>296</v>
      </c>
      <c r="B297" t="str">
        <f ca="1"/>
        <v>Muhanga_HS7_15</v>
      </c>
      <c r="C297">
        <f ca="1"/>
        <v>0.19921800000000001</v>
      </c>
      <c r="D297">
        <f ca="1"/>
        <v>0</v>
      </c>
      <c r="E297">
        <f ca="1"/>
        <v>0</v>
      </c>
      <c r="F297">
        <f ca="1"/>
        <v>0.40330899999999997</v>
      </c>
      <c r="G297">
        <f ca="1"/>
        <v>0</v>
      </c>
      <c r="H297">
        <f ca="1"/>
        <v>0.208929</v>
      </c>
      <c r="I297">
        <f ca="1"/>
        <v>0</v>
      </c>
      <c r="J297">
        <f ca="1"/>
        <v>0</v>
      </c>
      <c r="K297">
        <f ca="1"/>
        <v>0</v>
      </c>
      <c r="L297">
        <f ca="1"/>
        <v>0</v>
      </c>
      <c r="M297">
        <f ca="1"/>
        <v>0.26686700000000002</v>
      </c>
      <c r="N297">
        <f ca="1"/>
        <v>0.54879699999999998</v>
      </c>
      <c r="O297">
        <f ca="1"/>
        <v>0.5</v>
      </c>
      <c r="P297">
        <f ca="1"/>
        <v>0</v>
      </c>
      <c r="Q297">
        <f ca="1"/>
        <v>0</v>
      </c>
      <c r="R297">
        <f ca="1"/>
        <v>0.26686700000000002</v>
      </c>
      <c r="S297">
        <f ca="1"/>
        <v>0.54879699999999998</v>
      </c>
      <c r="T297">
        <f ca="1"/>
        <v>0.5</v>
      </c>
      <c r="U297">
        <f ca="1"/>
        <v>0</v>
      </c>
      <c r="V297">
        <f ca="1"/>
        <v>0</v>
      </c>
    </row>
    <row r="298" spans="1:22" x14ac:dyDescent="0.3">
      <c r="A298" t="str">
        <f ca="1"/>
        <v>297</v>
      </c>
      <c r="B298" t="str">
        <f ca="1"/>
        <v>Muhanga_HS8_15</v>
      </c>
      <c r="C298">
        <f ca="1"/>
        <v>1.0936920000000001</v>
      </c>
      <c r="D298">
        <f ca="1"/>
        <v>0.384185</v>
      </c>
      <c r="E298">
        <f ca="1"/>
        <v>0.01</v>
      </c>
      <c r="F298">
        <f ca="1"/>
        <v>0.37967000000000001</v>
      </c>
      <c r="G298">
        <f ca="1"/>
        <v>0.95066399999999995</v>
      </c>
      <c r="H298">
        <f ca="1"/>
        <v>0.41619200000000001</v>
      </c>
      <c r="I298">
        <f ca="1"/>
        <v>0</v>
      </c>
      <c r="J298">
        <f ca="1"/>
        <v>0</v>
      </c>
      <c r="K298">
        <f ca="1"/>
        <v>0.99920200000000003</v>
      </c>
      <c r="L298">
        <f ca="1"/>
        <v>0.28310800000000003</v>
      </c>
      <c r="M298">
        <f ca="1"/>
        <v>0.493921</v>
      </c>
      <c r="N298">
        <f ca="1"/>
        <v>0</v>
      </c>
      <c r="O298">
        <f ca="1"/>
        <v>0</v>
      </c>
      <c r="P298">
        <f ca="1"/>
        <v>0.99189099999999997</v>
      </c>
      <c r="Q298">
        <f ca="1"/>
        <v>0.95135000000000003</v>
      </c>
      <c r="R298">
        <f ca="1"/>
        <v>0.71877899999999995</v>
      </c>
      <c r="S298">
        <f ca="1"/>
        <v>0</v>
      </c>
      <c r="T298">
        <f ca="1"/>
        <v>0</v>
      </c>
      <c r="U298">
        <f ca="1"/>
        <v>0.99144399999999999</v>
      </c>
      <c r="V298">
        <f ca="1"/>
        <v>0.70711000000000002</v>
      </c>
    </row>
    <row r="299" spans="1:22" x14ac:dyDescent="0.3">
      <c r="A299" t="str">
        <f ca="1"/>
        <v>298</v>
      </c>
      <c r="B299" t="str">
        <f ca="1"/>
        <v>Muhanga_HS9_15</v>
      </c>
      <c r="C299">
        <f ca="1"/>
        <v>0.54755699999999996</v>
      </c>
      <c r="D299">
        <f ca="1"/>
        <v>0</v>
      </c>
      <c r="E299">
        <f ca="1"/>
        <v>0</v>
      </c>
      <c r="F299">
        <f ca="1"/>
        <v>0.27632000000000001</v>
      </c>
      <c r="G299">
        <f ca="1"/>
        <v>0</v>
      </c>
      <c r="H299">
        <f ca="1"/>
        <v>0.62854900000000002</v>
      </c>
      <c r="I299">
        <f ca="1"/>
        <v>0</v>
      </c>
      <c r="J299">
        <f ca="1"/>
        <v>0</v>
      </c>
      <c r="K299">
        <f ca="1"/>
        <v>0</v>
      </c>
      <c r="L299">
        <f ca="1"/>
        <v>0</v>
      </c>
      <c r="M299">
        <f ca="1"/>
        <v>0.49063400000000001</v>
      </c>
      <c r="N299">
        <f ca="1"/>
        <v>0</v>
      </c>
      <c r="O299">
        <f ca="1"/>
        <v>0</v>
      </c>
      <c r="P299">
        <f ca="1"/>
        <v>0.97246299999999997</v>
      </c>
      <c r="Q299">
        <f ca="1"/>
        <v>0</v>
      </c>
      <c r="R299">
        <f ca="1"/>
        <v>0.54474999999999996</v>
      </c>
      <c r="S299">
        <f ca="1"/>
        <v>0</v>
      </c>
      <c r="T299">
        <f ca="1"/>
        <v>0</v>
      </c>
      <c r="U299">
        <f ca="1"/>
        <v>0.97246299999999997</v>
      </c>
      <c r="V299">
        <f ca="1"/>
        <v>0</v>
      </c>
    </row>
    <row r="300" spans="1:22" x14ac:dyDescent="0.3">
      <c r="A300" t="str">
        <f ca="1"/>
        <v>299</v>
      </c>
      <c r="B300" t="str">
        <f ca="1"/>
        <v>Mururu_II_15</v>
      </c>
      <c r="C300">
        <f ca="1"/>
        <v>0.61689000000000005</v>
      </c>
      <c r="D300">
        <f ca="1"/>
        <v>0</v>
      </c>
      <c r="E300">
        <f ca="1"/>
        <v>0</v>
      </c>
      <c r="F300">
        <f ca="1"/>
        <v>7.2964000000000001E-2</v>
      </c>
      <c r="G300">
        <f ca="1"/>
        <v>0.16279099999999999</v>
      </c>
      <c r="H300">
        <f ca="1"/>
        <v>0.22567100000000001</v>
      </c>
      <c r="I300">
        <f ca="1"/>
        <v>0</v>
      </c>
      <c r="J300">
        <f ca="1"/>
        <v>0</v>
      </c>
      <c r="K300">
        <f ca="1"/>
        <v>0.99947900000000001</v>
      </c>
      <c r="L300">
        <f ca="1"/>
        <v>0.18883900000000001</v>
      </c>
      <c r="M300">
        <f ca="1"/>
        <v>0.30260900000000002</v>
      </c>
      <c r="N300">
        <f ca="1"/>
        <v>0</v>
      </c>
      <c r="O300">
        <f ca="1"/>
        <v>0</v>
      </c>
      <c r="P300">
        <f ca="1"/>
        <v>0.99857200000000002</v>
      </c>
      <c r="Q300">
        <f ca="1"/>
        <v>0.630166</v>
      </c>
      <c r="R300">
        <f ca="1"/>
        <v>0.43381799999999998</v>
      </c>
      <c r="S300">
        <f ca="1"/>
        <v>0</v>
      </c>
      <c r="T300">
        <f ca="1"/>
        <v>0</v>
      </c>
      <c r="U300">
        <f ca="1"/>
        <v>0.99507100000000004</v>
      </c>
      <c r="V300">
        <f ca="1"/>
        <v>0.485292</v>
      </c>
    </row>
    <row r="301" spans="1:22" x14ac:dyDescent="0.3">
      <c r="A301" t="str">
        <f ca="1"/>
        <v>300</v>
      </c>
      <c r="B301" t="str">
        <f ca="1"/>
        <v>Mururu_I_15</v>
      </c>
      <c r="C301">
        <f ca="1"/>
        <v>9.2981999999999995E-2</v>
      </c>
      <c r="D301">
        <f ca="1"/>
        <v>0</v>
      </c>
      <c r="E301">
        <f ca="1"/>
        <v>0</v>
      </c>
      <c r="F301">
        <f ca="1"/>
        <v>0.13014100000000001</v>
      </c>
      <c r="G301">
        <f ca="1"/>
        <v>0</v>
      </c>
      <c r="H301">
        <f ca="1"/>
        <v>4.8548000000000001E-2</v>
      </c>
      <c r="I301">
        <f ca="1"/>
        <v>0</v>
      </c>
      <c r="J301">
        <f ca="1"/>
        <v>0</v>
      </c>
      <c r="K301">
        <f ca="1"/>
        <v>0.99991300000000005</v>
      </c>
      <c r="L301">
        <f ca="1"/>
        <v>0.116351</v>
      </c>
      <c r="M301">
        <f ca="1"/>
        <v>6.4786999999999997E-2</v>
      </c>
      <c r="N301">
        <f ca="1"/>
        <v>0</v>
      </c>
      <c r="O301">
        <f ca="1"/>
        <v>0</v>
      </c>
      <c r="P301">
        <f ca="1"/>
        <v>0.99844200000000005</v>
      </c>
      <c r="Q301">
        <f ca="1"/>
        <v>0.94664199999999998</v>
      </c>
      <c r="R301">
        <f ca="1"/>
        <v>9.1108999999999996E-2</v>
      </c>
      <c r="S301">
        <f ca="1"/>
        <v>0</v>
      </c>
      <c r="T301">
        <f ca="1"/>
        <v>0</v>
      </c>
      <c r="U301">
        <f ca="1"/>
        <v>1</v>
      </c>
      <c r="V301">
        <f ca="1"/>
        <v>0.593391</v>
      </c>
    </row>
    <row r="302" spans="1:22" x14ac:dyDescent="0.3">
      <c r="A302" t="str">
        <f ca="1"/>
        <v>301</v>
      </c>
      <c r="B302" t="str">
        <f ca="1"/>
        <v>Musanze_15</v>
      </c>
      <c r="C302">
        <f ca="1"/>
        <v>0.39021099999999997</v>
      </c>
      <c r="D302">
        <f ca="1"/>
        <v>0.267984</v>
      </c>
      <c r="E302">
        <f ca="1"/>
        <v>0</v>
      </c>
      <c r="F302">
        <f ca="1"/>
        <v>0.52926899999999999</v>
      </c>
      <c r="G302">
        <f ca="1"/>
        <v>0.53448300000000004</v>
      </c>
      <c r="H302">
        <f ca="1"/>
        <v>0.33272200000000002</v>
      </c>
      <c r="I302">
        <f ca="1"/>
        <v>0.51888900000000004</v>
      </c>
      <c r="J302">
        <f ca="1"/>
        <v>0.56999999999999995</v>
      </c>
      <c r="K302">
        <f ca="1"/>
        <v>0</v>
      </c>
      <c r="L302">
        <f ca="1"/>
        <v>0</v>
      </c>
      <c r="M302">
        <f ca="1"/>
        <v>0.31327500000000003</v>
      </c>
      <c r="N302">
        <f ca="1"/>
        <v>0.62498200000000004</v>
      </c>
      <c r="O302">
        <f ca="1"/>
        <v>0.57999999999999996</v>
      </c>
      <c r="P302">
        <f ca="1"/>
        <v>0</v>
      </c>
      <c r="Q302">
        <f ca="1"/>
        <v>0</v>
      </c>
      <c r="R302">
        <f ca="1"/>
        <v>0.247062</v>
      </c>
      <c r="S302">
        <f ca="1"/>
        <v>0</v>
      </c>
      <c r="T302">
        <f ca="1"/>
        <v>0</v>
      </c>
      <c r="U302">
        <f ca="1"/>
        <v>0.99704300000000001</v>
      </c>
      <c r="V302">
        <f ca="1"/>
        <v>0.50808900000000001</v>
      </c>
    </row>
    <row r="303" spans="1:22" x14ac:dyDescent="0.3">
      <c r="A303" t="str">
        <f ca="1"/>
        <v>302</v>
      </c>
      <c r="B303" t="str">
        <f ca="1"/>
        <v>Musanze_HS0_15</v>
      </c>
      <c r="C303">
        <f ca="1"/>
        <v>0.92436799999999997</v>
      </c>
      <c r="D303">
        <f ca="1"/>
        <v>0</v>
      </c>
      <c r="E303">
        <f ca="1"/>
        <v>0</v>
      </c>
      <c r="F303">
        <f ca="1"/>
        <v>0.65983700000000001</v>
      </c>
      <c r="G303">
        <f ca="1"/>
        <v>0.74358999999999997</v>
      </c>
      <c r="H303">
        <f ca="1"/>
        <v>0.43797700000000001</v>
      </c>
      <c r="I303">
        <f ca="1"/>
        <v>0</v>
      </c>
      <c r="J303">
        <f ca="1"/>
        <v>0</v>
      </c>
      <c r="K303">
        <f ca="1"/>
        <v>0.99745099999999998</v>
      </c>
      <c r="L303">
        <f ca="1"/>
        <v>0.24624199999999999</v>
      </c>
      <c r="M303">
        <f ca="1"/>
        <v>0.54990399999999995</v>
      </c>
      <c r="N303">
        <f ca="1"/>
        <v>0</v>
      </c>
      <c r="O303">
        <f ca="1"/>
        <v>0</v>
      </c>
      <c r="P303">
        <f ca="1"/>
        <v>0.98956500000000003</v>
      </c>
      <c r="Q303">
        <f ca="1"/>
        <v>0.70725000000000005</v>
      </c>
      <c r="R303">
        <f ca="1"/>
        <v>0.72545899999999996</v>
      </c>
      <c r="S303">
        <f ca="1"/>
        <v>0</v>
      </c>
      <c r="T303">
        <f ca="1"/>
        <v>0</v>
      </c>
      <c r="U303">
        <f ca="1"/>
        <v>0.99492899999999995</v>
      </c>
      <c r="V303">
        <f ca="1"/>
        <v>0.43401800000000001</v>
      </c>
    </row>
    <row r="304" spans="1:22" x14ac:dyDescent="0.3">
      <c r="A304" t="str">
        <f ca="1"/>
        <v>303</v>
      </c>
      <c r="B304" t="str">
        <f ca="1"/>
        <v>Musanze_HS10_15</v>
      </c>
      <c r="C304">
        <f ca="1"/>
        <v>0.51208900000000002</v>
      </c>
      <c r="D304">
        <f ca="1"/>
        <v>0</v>
      </c>
      <c r="E304">
        <f ca="1"/>
        <v>0</v>
      </c>
      <c r="F304">
        <f ca="1"/>
        <v>0.30224699999999999</v>
      </c>
      <c r="G304">
        <f ca="1"/>
        <v>0.954955</v>
      </c>
      <c r="H304">
        <f ca="1"/>
        <v>0.18651899999999999</v>
      </c>
      <c r="I304">
        <f ca="1"/>
        <v>0</v>
      </c>
      <c r="J304">
        <f ca="1"/>
        <v>0</v>
      </c>
      <c r="K304">
        <f ca="1"/>
        <v>0.99990999999999997</v>
      </c>
      <c r="L304">
        <f ca="1"/>
        <v>0.14202699999999999</v>
      </c>
      <c r="M304">
        <f ca="1"/>
        <v>0.22644900000000001</v>
      </c>
      <c r="N304">
        <f ca="1"/>
        <v>0</v>
      </c>
      <c r="O304">
        <f ca="1"/>
        <v>0</v>
      </c>
      <c r="P304">
        <f ca="1"/>
        <v>0.99945099999999998</v>
      </c>
      <c r="Q304">
        <f ca="1"/>
        <v>0.92407399999999995</v>
      </c>
      <c r="R304">
        <f ca="1"/>
        <v>0.30391800000000002</v>
      </c>
      <c r="S304">
        <f ca="1"/>
        <v>0</v>
      </c>
      <c r="T304">
        <f ca="1"/>
        <v>0</v>
      </c>
      <c r="U304">
        <f ca="1"/>
        <v>0.99978</v>
      </c>
      <c r="V304">
        <f ca="1"/>
        <v>0.547176</v>
      </c>
    </row>
    <row r="305" spans="1:22" x14ac:dyDescent="0.3">
      <c r="A305" t="str">
        <f ca="1"/>
        <v>304</v>
      </c>
      <c r="B305" t="str">
        <f ca="1"/>
        <v>Musanze_HS11_15</v>
      </c>
      <c r="C305">
        <f ca="1"/>
        <v>0.62697800000000004</v>
      </c>
      <c r="D305">
        <f ca="1"/>
        <v>0</v>
      </c>
      <c r="E305">
        <f ca="1"/>
        <v>0</v>
      </c>
      <c r="F305">
        <f ca="1"/>
        <v>0.33934399999999998</v>
      </c>
      <c r="G305">
        <f ca="1"/>
        <v>0.49450499999999997</v>
      </c>
      <c r="H305">
        <f ca="1"/>
        <v>0.29629699999999998</v>
      </c>
      <c r="I305">
        <f ca="1"/>
        <v>0</v>
      </c>
      <c r="J305">
        <f ca="1"/>
        <v>0</v>
      </c>
      <c r="K305">
        <f ca="1"/>
        <v>0.99568199999999996</v>
      </c>
      <c r="L305">
        <f ca="1"/>
        <v>3.7873999999999998E-2</v>
      </c>
      <c r="M305">
        <f ca="1"/>
        <v>0.41811799999999999</v>
      </c>
      <c r="N305">
        <f ca="1"/>
        <v>0</v>
      </c>
      <c r="O305">
        <f ca="1"/>
        <v>0</v>
      </c>
      <c r="P305">
        <f ca="1"/>
        <v>0.995842</v>
      </c>
      <c r="Q305">
        <f ca="1"/>
        <v>0.772733</v>
      </c>
      <c r="R305">
        <f ca="1"/>
        <v>0.50911799999999996</v>
      </c>
      <c r="S305">
        <f ca="1"/>
        <v>0</v>
      </c>
      <c r="T305">
        <f ca="1"/>
        <v>0</v>
      </c>
      <c r="U305">
        <f ca="1"/>
        <v>0.99617900000000004</v>
      </c>
      <c r="V305">
        <f ca="1"/>
        <v>0.25404900000000002</v>
      </c>
    </row>
    <row r="306" spans="1:22" x14ac:dyDescent="0.3">
      <c r="A306" t="str">
        <f ca="1"/>
        <v>305</v>
      </c>
      <c r="B306" t="str">
        <f ca="1"/>
        <v>Musanze_HS12_15</v>
      </c>
      <c r="C306">
        <f ca="1"/>
        <v>0.85309900000000005</v>
      </c>
      <c r="D306">
        <f ca="1"/>
        <v>0</v>
      </c>
      <c r="E306">
        <f ca="1"/>
        <v>0</v>
      </c>
      <c r="F306">
        <f ca="1"/>
        <v>0.35878300000000002</v>
      </c>
      <c r="G306">
        <f ca="1"/>
        <v>0</v>
      </c>
      <c r="H306">
        <f ca="1"/>
        <v>1.0405139999999999</v>
      </c>
      <c r="I306">
        <f ca="1"/>
        <v>0</v>
      </c>
      <c r="J306">
        <f ca="1"/>
        <v>0</v>
      </c>
      <c r="K306">
        <f ca="1"/>
        <v>0</v>
      </c>
      <c r="L306">
        <f ca="1"/>
        <v>0</v>
      </c>
      <c r="M306">
        <f ca="1"/>
        <v>0.62514800000000004</v>
      </c>
      <c r="N306">
        <f ca="1"/>
        <v>0</v>
      </c>
      <c r="O306">
        <f ca="1"/>
        <v>0</v>
      </c>
      <c r="P306">
        <f ca="1"/>
        <v>0.99518600000000002</v>
      </c>
      <c r="Q306">
        <f ca="1"/>
        <v>4.4041999999999998E-2</v>
      </c>
      <c r="R306">
        <f ca="1"/>
        <v>0.73496499999999998</v>
      </c>
      <c r="S306">
        <f ca="1"/>
        <v>0</v>
      </c>
      <c r="T306">
        <f ca="1"/>
        <v>0</v>
      </c>
      <c r="U306">
        <f ca="1"/>
        <v>0.99425799999999998</v>
      </c>
      <c r="V306">
        <f ca="1"/>
        <v>5.4140000000000004E-3</v>
      </c>
    </row>
    <row r="307" spans="1:22" x14ac:dyDescent="0.3">
      <c r="A307" t="str">
        <f ca="1"/>
        <v>306</v>
      </c>
      <c r="B307" t="str">
        <f ca="1"/>
        <v>Musanze_HS13_15</v>
      </c>
      <c r="C307">
        <f ca="1"/>
        <v>0.28665499999999999</v>
      </c>
      <c r="D307">
        <f ca="1"/>
        <v>0</v>
      </c>
      <c r="E307">
        <f ca="1"/>
        <v>0</v>
      </c>
      <c r="F307">
        <f ca="1"/>
        <v>0.25420399999999999</v>
      </c>
      <c r="G307">
        <f ca="1"/>
        <v>0</v>
      </c>
      <c r="H307">
        <f ca="1"/>
        <v>0.30040600000000001</v>
      </c>
      <c r="I307">
        <f ca="1"/>
        <v>0</v>
      </c>
      <c r="J307">
        <f ca="1"/>
        <v>0</v>
      </c>
      <c r="K307">
        <f ca="1"/>
        <v>0</v>
      </c>
      <c r="L307">
        <f ca="1"/>
        <v>0</v>
      </c>
      <c r="M307">
        <f ca="1"/>
        <v>0.368114</v>
      </c>
      <c r="N307">
        <f ca="1"/>
        <v>0.47189599999999998</v>
      </c>
      <c r="O307">
        <f ca="1"/>
        <v>0.49</v>
      </c>
      <c r="P307">
        <f ca="1"/>
        <v>0</v>
      </c>
      <c r="Q307">
        <f ca="1"/>
        <v>0</v>
      </c>
      <c r="R307">
        <f ca="1"/>
        <v>0.368114</v>
      </c>
      <c r="S307">
        <f ca="1"/>
        <v>0.47189599999999998</v>
      </c>
      <c r="T307">
        <f ca="1"/>
        <v>0.49</v>
      </c>
      <c r="U307">
        <f ca="1"/>
        <v>0</v>
      </c>
      <c r="V307">
        <f ca="1"/>
        <v>0</v>
      </c>
    </row>
    <row r="308" spans="1:22" x14ac:dyDescent="0.3">
      <c r="A308" t="str">
        <f ca="1"/>
        <v>307</v>
      </c>
      <c r="B308" t="str">
        <f ca="1"/>
        <v>Musanze_HS1_15</v>
      </c>
      <c r="C308">
        <f ca="1"/>
        <v>0.78067600000000004</v>
      </c>
      <c r="D308">
        <f ca="1"/>
        <v>0.87926800000000005</v>
      </c>
      <c r="E308">
        <f ca="1"/>
        <v>1.0258E-2</v>
      </c>
      <c r="F308">
        <f ca="1"/>
        <v>0.42871799999999999</v>
      </c>
      <c r="G308">
        <f ca="1"/>
        <v>0.94874999999999998</v>
      </c>
      <c r="H308">
        <f ca="1"/>
        <v>0.30069000000000001</v>
      </c>
      <c r="I308">
        <f ca="1"/>
        <v>0</v>
      </c>
      <c r="J308">
        <f ca="1"/>
        <v>0</v>
      </c>
      <c r="K308">
        <f ca="1"/>
        <v>0.99284399999999995</v>
      </c>
      <c r="L308">
        <f ca="1"/>
        <v>0.30063600000000001</v>
      </c>
      <c r="M308">
        <f ca="1"/>
        <v>0.28378700000000001</v>
      </c>
      <c r="N308">
        <f ca="1"/>
        <v>0</v>
      </c>
      <c r="O308">
        <f ca="1"/>
        <v>0</v>
      </c>
      <c r="P308">
        <f ca="1"/>
        <v>0.99240399999999995</v>
      </c>
      <c r="Q308">
        <f ca="1"/>
        <v>0.97061799999999998</v>
      </c>
      <c r="R308">
        <f ca="1"/>
        <v>0.43049999999999999</v>
      </c>
      <c r="S308">
        <f ca="1"/>
        <v>0</v>
      </c>
      <c r="T308">
        <f ca="1"/>
        <v>0</v>
      </c>
      <c r="U308">
        <f ca="1"/>
        <v>0.99135700000000004</v>
      </c>
      <c r="V308">
        <f ca="1"/>
        <v>0.741124</v>
      </c>
    </row>
    <row r="309" spans="1:22" x14ac:dyDescent="0.3">
      <c r="A309" t="str">
        <f ca="1"/>
        <v>308</v>
      </c>
      <c r="B309" t="str">
        <f ca="1"/>
        <v>Musanze_HS2_15</v>
      </c>
      <c r="C309">
        <f ca="1"/>
        <v>1.9806950000000001</v>
      </c>
      <c r="D309">
        <f ca="1"/>
        <v>0.55161199999999999</v>
      </c>
      <c r="E309">
        <f ca="1"/>
        <v>7.0790000000000002E-3</v>
      </c>
      <c r="F309">
        <f ca="1"/>
        <v>0.65979699999999997</v>
      </c>
      <c r="G309">
        <f ca="1"/>
        <v>1</v>
      </c>
      <c r="H309">
        <f ca="1"/>
        <v>0.726163</v>
      </c>
      <c r="I309">
        <f ca="1"/>
        <v>0</v>
      </c>
      <c r="J309">
        <f ca="1"/>
        <v>0</v>
      </c>
      <c r="K309">
        <f ca="1"/>
        <v>0.99823799999999996</v>
      </c>
      <c r="L309">
        <f ca="1"/>
        <v>0.94328999999999996</v>
      </c>
      <c r="M309">
        <f ca="1"/>
        <v>0.59216299999999999</v>
      </c>
      <c r="N309">
        <f ca="1"/>
        <v>0</v>
      </c>
      <c r="O309">
        <f ca="1"/>
        <v>0</v>
      </c>
      <c r="P309">
        <f ca="1"/>
        <v>0.99875599999999998</v>
      </c>
      <c r="Q309">
        <f ca="1"/>
        <v>0.99836400000000003</v>
      </c>
      <c r="R309">
        <f ca="1"/>
        <v>0.97975699999999999</v>
      </c>
      <c r="S309">
        <f ca="1"/>
        <v>0</v>
      </c>
      <c r="T309">
        <f ca="1"/>
        <v>0</v>
      </c>
      <c r="U309">
        <f ca="1"/>
        <v>0.99865199999999998</v>
      </c>
      <c r="V309">
        <f ca="1"/>
        <v>0.98078799999999999</v>
      </c>
    </row>
    <row r="310" spans="1:22" x14ac:dyDescent="0.3">
      <c r="A310" t="str">
        <f ca="1"/>
        <v>309</v>
      </c>
      <c r="B310" t="str">
        <f ca="1"/>
        <v>Musanze_HS3_15</v>
      </c>
      <c r="C310">
        <f ca="1"/>
        <v>0.57657000000000003</v>
      </c>
      <c r="D310">
        <f ca="1"/>
        <v>0.385573</v>
      </c>
      <c r="E310">
        <f ca="1"/>
        <v>5.0679999999999996E-3</v>
      </c>
      <c r="F310">
        <f ca="1"/>
        <v>0.54708000000000001</v>
      </c>
      <c r="G310">
        <f ca="1"/>
        <v>0.54861099999999996</v>
      </c>
      <c r="H310">
        <f ca="1"/>
        <v>0.24029400000000001</v>
      </c>
      <c r="I310">
        <f ca="1"/>
        <v>0</v>
      </c>
      <c r="J310">
        <f ca="1"/>
        <v>0</v>
      </c>
      <c r="K310">
        <f ca="1"/>
        <v>0.99859799999999999</v>
      </c>
      <c r="L310">
        <f ca="1"/>
        <v>0.56570600000000004</v>
      </c>
      <c r="M310">
        <f ca="1"/>
        <v>0.21942500000000001</v>
      </c>
      <c r="N310">
        <f ca="1"/>
        <v>0</v>
      </c>
      <c r="O310">
        <f ca="1"/>
        <v>0</v>
      </c>
      <c r="P310">
        <f ca="1"/>
        <v>0.99910600000000005</v>
      </c>
      <c r="Q310">
        <f ca="1"/>
        <v>0.984344</v>
      </c>
      <c r="R310">
        <f ca="1"/>
        <v>0.33339299999999999</v>
      </c>
      <c r="S310">
        <f ca="1"/>
        <v>0</v>
      </c>
      <c r="T310">
        <f ca="1"/>
        <v>0</v>
      </c>
      <c r="U310">
        <f ca="1"/>
        <v>0.99791700000000005</v>
      </c>
      <c r="V310">
        <f ca="1"/>
        <v>0.844638</v>
      </c>
    </row>
    <row r="311" spans="1:22" x14ac:dyDescent="0.3">
      <c r="A311" t="str">
        <f ca="1"/>
        <v>310</v>
      </c>
      <c r="B311" t="str">
        <f ca="1"/>
        <v>Musanze_HS4_15</v>
      </c>
      <c r="C311">
        <f ca="1"/>
        <v>1.153964</v>
      </c>
      <c r="D311">
        <f ca="1"/>
        <v>0</v>
      </c>
      <c r="E311">
        <f ca="1"/>
        <v>0</v>
      </c>
      <c r="F311">
        <f ca="1"/>
        <v>0.22387199999999999</v>
      </c>
      <c r="G311">
        <f ca="1"/>
        <v>0.84818899999999997</v>
      </c>
      <c r="H311">
        <f ca="1"/>
        <v>0.405997</v>
      </c>
      <c r="I311">
        <f ca="1"/>
        <v>0</v>
      </c>
      <c r="J311">
        <f ca="1"/>
        <v>0</v>
      </c>
      <c r="K311">
        <f ca="1"/>
        <v>0.99902599999999997</v>
      </c>
      <c r="L311">
        <f ca="1"/>
        <v>0.113445</v>
      </c>
      <c r="M311">
        <f ca="1"/>
        <v>0.48855199999999999</v>
      </c>
      <c r="N311">
        <f ca="1"/>
        <v>0</v>
      </c>
      <c r="O311">
        <f ca="1"/>
        <v>0</v>
      </c>
      <c r="P311">
        <f ca="1"/>
        <v>0.997448</v>
      </c>
      <c r="Q311">
        <f ca="1"/>
        <v>0.77158499999999997</v>
      </c>
      <c r="R311">
        <f ca="1"/>
        <v>0.66045500000000001</v>
      </c>
      <c r="S311">
        <f ca="1"/>
        <v>0</v>
      </c>
      <c r="T311">
        <f ca="1"/>
        <v>0</v>
      </c>
      <c r="U311">
        <f ca="1"/>
        <v>0.99870300000000001</v>
      </c>
      <c r="V311">
        <f ca="1"/>
        <v>0.49790400000000001</v>
      </c>
    </row>
    <row r="312" spans="1:22" x14ac:dyDescent="0.3">
      <c r="A312" t="str">
        <f ca="1"/>
        <v>311</v>
      </c>
      <c r="B312" t="str">
        <f ca="1"/>
        <v>Musanze_HS5_15</v>
      </c>
      <c r="C312">
        <f ca="1"/>
        <v>1.5698209999999999</v>
      </c>
      <c r="D312">
        <f ca="1"/>
        <v>0.51463800000000004</v>
      </c>
      <c r="E312">
        <f ca="1"/>
        <v>1.9587E-2</v>
      </c>
      <c r="F312">
        <f ca="1"/>
        <v>0.32425999999999999</v>
      </c>
      <c r="G312">
        <f ca="1"/>
        <v>0.87020600000000004</v>
      </c>
      <c r="H312">
        <f ca="1"/>
        <v>0.58988300000000005</v>
      </c>
      <c r="I312">
        <f ca="1"/>
        <v>0</v>
      </c>
      <c r="J312">
        <f ca="1"/>
        <v>0</v>
      </c>
      <c r="K312">
        <f ca="1"/>
        <v>0.99478</v>
      </c>
      <c r="L312">
        <f ca="1"/>
        <v>0.227411</v>
      </c>
      <c r="M312">
        <f ca="1"/>
        <v>0.61287899999999995</v>
      </c>
      <c r="N312">
        <f ca="1"/>
        <v>0</v>
      </c>
      <c r="O312">
        <f ca="1"/>
        <v>0</v>
      </c>
      <c r="P312">
        <f ca="1"/>
        <v>0.98804499999999995</v>
      </c>
      <c r="Q312">
        <f ca="1"/>
        <v>0.93521399999999999</v>
      </c>
      <c r="R312">
        <f ca="1"/>
        <v>0.81779999999999997</v>
      </c>
      <c r="S312">
        <f ca="1"/>
        <v>0</v>
      </c>
      <c r="T312">
        <f ca="1"/>
        <v>0</v>
      </c>
      <c r="U312">
        <f ca="1"/>
        <v>0.99231000000000003</v>
      </c>
      <c r="V312">
        <f ca="1"/>
        <v>0.599912</v>
      </c>
    </row>
    <row r="313" spans="1:22" x14ac:dyDescent="0.3">
      <c r="A313" t="str">
        <f ca="1"/>
        <v>312</v>
      </c>
      <c r="B313" t="str">
        <f ca="1"/>
        <v>Musanze_HS6_15</v>
      </c>
      <c r="C313">
        <f ca="1"/>
        <v>0.50530900000000001</v>
      </c>
      <c r="D313">
        <f ca="1"/>
        <v>0.45183600000000002</v>
      </c>
      <c r="E313">
        <f ca="1"/>
        <v>0</v>
      </c>
      <c r="F313">
        <f ca="1"/>
        <v>0.22164400000000001</v>
      </c>
      <c r="G313">
        <f ca="1"/>
        <v>0</v>
      </c>
      <c r="H313">
        <f ca="1"/>
        <v>0.57340500000000005</v>
      </c>
      <c r="I313">
        <f ca="1"/>
        <v>0</v>
      </c>
      <c r="J313">
        <f ca="1"/>
        <v>0</v>
      </c>
      <c r="K313">
        <f ca="1"/>
        <v>0</v>
      </c>
      <c r="L313">
        <f ca="1"/>
        <v>0</v>
      </c>
      <c r="M313">
        <f ca="1"/>
        <v>0.38128499999999999</v>
      </c>
      <c r="N313">
        <f ca="1"/>
        <v>0</v>
      </c>
      <c r="O313">
        <f ca="1"/>
        <v>0</v>
      </c>
      <c r="P313">
        <f ca="1"/>
        <v>0.99157499999999998</v>
      </c>
      <c r="Q313">
        <f ca="1"/>
        <v>0</v>
      </c>
      <c r="R313">
        <f ca="1"/>
        <v>0.420684</v>
      </c>
      <c r="S313">
        <f ca="1"/>
        <v>0</v>
      </c>
      <c r="T313">
        <f ca="1"/>
        <v>0</v>
      </c>
      <c r="U313">
        <f ca="1"/>
        <v>0.99157499999999998</v>
      </c>
      <c r="V313">
        <f ca="1"/>
        <v>0</v>
      </c>
    </row>
    <row r="314" spans="1:22" x14ac:dyDescent="0.3">
      <c r="A314" t="str">
        <f ca="1"/>
        <v>313</v>
      </c>
      <c r="B314" t="str">
        <f ca="1"/>
        <v>Musanze_HS7_15</v>
      </c>
      <c r="C314">
        <f ca="1"/>
        <v>0.46587899999999999</v>
      </c>
      <c r="D314">
        <f ca="1"/>
        <v>0</v>
      </c>
      <c r="E314">
        <f ca="1"/>
        <v>0</v>
      </c>
      <c r="F314">
        <f ca="1"/>
        <v>0.302346</v>
      </c>
      <c r="G314">
        <f ca="1"/>
        <v>0</v>
      </c>
      <c r="H314">
        <f ca="1"/>
        <v>0.52407099999999995</v>
      </c>
      <c r="I314">
        <f ca="1"/>
        <v>0</v>
      </c>
      <c r="J314">
        <f ca="1"/>
        <v>0</v>
      </c>
      <c r="K314">
        <f ca="1"/>
        <v>0</v>
      </c>
      <c r="L314">
        <f ca="1"/>
        <v>0</v>
      </c>
      <c r="M314">
        <f ca="1"/>
        <v>0.32318999999999998</v>
      </c>
      <c r="N314">
        <f ca="1"/>
        <v>0</v>
      </c>
      <c r="O314">
        <f ca="1"/>
        <v>0</v>
      </c>
      <c r="P314">
        <f ca="1"/>
        <v>0.99197400000000002</v>
      </c>
      <c r="Q314">
        <f ca="1"/>
        <v>2.504E-2</v>
      </c>
      <c r="R314">
        <f ca="1"/>
        <v>0.36668099999999998</v>
      </c>
      <c r="S314">
        <f ca="1"/>
        <v>0</v>
      </c>
      <c r="T314">
        <f ca="1"/>
        <v>0</v>
      </c>
      <c r="U314">
        <f ca="1"/>
        <v>0.99199599999999999</v>
      </c>
      <c r="V314">
        <f ca="1"/>
        <v>2.8549999999999999E-3</v>
      </c>
    </row>
    <row r="315" spans="1:22" x14ac:dyDescent="0.3">
      <c r="A315" t="str">
        <f ca="1"/>
        <v>314</v>
      </c>
      <c r="B315" t="str">
        <f ca="1"/>
        <v>Musanze_HS8_15</v>
      </c>
      <c r="C315">
        <f ca="1"/>
        <v>0.37410700000000002</v>
      </c>
      <c r="D315">
        <f ca="1"/>
        <v>0</v>
      </c>
      <c r="E315">
        <f ca="1"/>
        <v>0</v>
      </c>
      <c r="F315">
        <f ca="1"/>
        <v>0.196328</v>
      </c>
      <c r="G315">
        <f ca="1"/>
        <v>0.47619</v>
      </c>
      <c r="H315">
        <f ca="1"/>
        <v>0.21363199999999999</v>
      </c>
      <c r="I315">
        <f ca="1"/>
        <v>1.0326850000000001</v>
      </c>
      <c r="J315">
        <f ca="1"/>
        <v>0.54</v>
      </c>
      <c r="K315">
        <f ca="1"/>
        <v>0</v>
      </c>
      <c r="L315">
        <f ca="1"/>
        <v>0</v>
      </c>
      <c r="M315">
        <f ca="1"/>
        <v>0.216556</v>
      </c>
      <c r="N315">
        <f ca="1"/>
        <v>0</v>
      </c>
      <c r="O315">
        <f ca="1"/>
        <v>0</v>
      </c>
      <c r="P315">
        <f ca="1"/>
        <v>0.99460599999999999</v>
      </c>
      <c r="Q315">
        <f ca="1"/>
        <v>0.708561</v>
      </c>
      <c r="R315">
        <f ca="1"/>
        <v>0.247894</v>
      </c>
      <c r="S315">
        <f ca="1"/>
        <v>0</v>
      </c>
      <c r="T315">
        <f ca="1"/>
        <v>0</v>
      </c>
      <c r="U315">
        <f ca="1"/>
        <v>0.99488799999999999</v>
      </c>
      <c r="V315">
        <f ca="1"/>
        <v>0.20871999999999999</v>
      </c>
    </row>
    <row r="316" spans="1:22" x14ac:dyDescent="0.3">
      <c r="A316" t="str">
        <f ca="1"/>
        <v>315</v>
      </c>
      <c r="B316" t="str">
        <f ca="1"/>
        <v>Musanze_HS9_15</v>
      </c>
      <c r="C316">
        <f ca="1"/>
        <v>0.74265599999999998</v>
      </c>
      <c r="D316">
        <f ca="1"/>
        <v>0</v>
      </c>
      <c r="E316">
        <f ca="1"/>
        <v>0</v>
      </c>
      <c r="F316">
        <f ca="1"/>
        <v>0.25301699999999999</v>
      </c>
      <c r="G316">
        <f ca="1"/>
        <v>0.28873199999999999</v>
      </c>
      <c r="H316">
        <f ca="1"/>
        <v>0.329569</v>
      </c>
      <c r="I316">
        <f ca="1"/>
        <v>0</v>
      </c>
      <c r="J316">
        <f ca="1"/>
        <v>0</v>
      </c>
      <c r="K316">
        <f ca="1"/>
        <v>0.99863000000000002</v>
      </c>
      <c r="L316">
        <f ca="1"/>
        <v>4.4284999999999998E-2</v>
      </c>
      <c r="M316">
        <f ca="1"/>
        <v>0.48841699999999999</v>
      </c>
      <c r="N316">
        <f ca="1"/>
        <v>0</v>
      </c>
      <c r="O316">
        <f ca="1"/>
        <v>0</v>
      </c>
      <c r="P316">
        <f ca="1"/>
        <v>0.98994700000000002</v>
      </c>
      <c r="Q316">
        <f ca="1"/>
        <v>0.81933</v>
      </c>
      <c r="R316">
        <f ca="1"/>
        <v>0.60936299999999999</v>
      </c>
      <c r="S316">
        <f ca="1"/>
        <v>0</v>
      </c>
      <c r="T316">
        <f ca="1"/>
        <v>0</v>
      </c>
      <c r="U316">
        <f ca="1"/>
        <v>0.99223899999999998</v>
      </c>
      <c r="V316">
        <f ca="1"/>
        <v>0.30422900000000003</v>
      </c>
    </row>
    <row r="317" spans="1:22" x14ac:dyDescent="0.3">
      <c r="A317" t="str">
        <f ca="1"/>
        <v>316</v>
      </c>
      <c r="B317" t="str">
        <f ca="1"/>
        <v>Musanze_IP_15</v>
      </c>
      <c r="C317">
        <f ca="1"/>
        <v>0.37378</v>
      </c>
      <c r="D317">
        <f ca="1"/>
        <v>0</v>
      </c>
      <c r="E317">
        <f ca="1"/>
        <v>0</v>
      </c>
      <c r="F317">
        <f ca="1"/>
        <v>0.60585299999999997</v>
      </c>
      <c r="G317">
        <f ca="1"/>
        <v>0.59259300000000004</v>
      </c>
      <c r="H317">
        <f ca="1"/>
        <v>0.12121700000000001</v>
      </c>
      <c r="I317">
        <f ca="1"/>
        <v>0</v>
      </c>
      <c r="J317">
        <f ca="1"/>
        <v>0</v>
      </c>
      <c r="K317">
        <f ca="1"/>
        <v>0.99721499999999996</v>
      </c>
      <c r="L317">
        <f ca="1"/>
        <v>0.179095</v>
      </c>
      <c r="M317">
        <f ca="1"/>
        <v>0.149867</v>
      </c>
      <c r="N317">
        <f ca="1"/>
        <v>0</v>
      </c>
      <c r="O317">
        <f ca="1"/>
        <v>0</v>
      </c>
      <c r="P317">
        <f ca="1"/>
        <v>0.99922</v>
      </c>
      <c r="Q317">
        <f ca="1"/>
        <v>0.39227499999999998</v>
      </c>
      <c r="R317">
        <f ca="1"/>
        <v>0.18762400000000001</v>
      </c>
      <c r="S317">
        <f ca="1"/>
        <v>0</v>
      </c>
      <c r="T317">
        <f ca="1"/>
        <v>0</v>
      </c>
      <c r="U317">
        <f ca="1"/>
        <v>0.99974300000000005</v>
      </c>
      <c r="V317">
        <f ca="1"/>
        <v>0.237287</v>
      </c>
    </row>
    <row r="318" spans="1:22" x14ac:dyDescent="0.3">
      <c r="A318" t="str">
        <f ca="1"/>
        <v>317</v>
      </c>
      <c r="B318" t="str">
        <f ca="1"/>
        <v>Musha_15</v>
      </c>
      <c r="C318">
        <f ca="1"/>
        <v>0.48291299999999998</v>
      </c>
      <c r="D318">
        <f ca="1"/>
        <v>0.39146700000000001</v>
      </c>
      <c r="E318">
        <f ca="1"/>
        <v>6.5389999999999997E-3</v>
      </c>
      <c r="F318">
        <f ca="1"/>
        <v>0.23428399999999999</v>
      </c>
      <c r="G318">
        <f ca="1"/>
        <v>0.71812100000000001</v>
      </c>
      <c r="H318">
        <f ca="1"/>
        <v>0.37372899999999998</v>
      </c>
      <c r="I318">
        <f ca="1"/>
        <v>0.46748400000000001</v>
      </c>
      <c r="J318">
        <f ca="1"/>
        <v>0.53</v>
      </c>
      <c r="K318">
        <f ca="1"/>
        <v>0</v>
      </c>
      <c r="L318">
        <f ca="1"/>
        <v>0</v>
      </c>
      <c r="M318">
        <f ca="1"/>
        <v>0.23743</v>
      </c>
      <c r="N318">
        <f ca="1"/>
        <v>0</v>
      </c>
      <c r="O318">
        <f ca="1"/>
        <v>0</v>
      </c>
      <c r="P318">
        <f ca="1"/>
        <v>0.97760100000000005</v>
      </c>
      <c r="Q318">
        <f ca="1"/>
        <v>0.91788599999999998</v>
      </c>
      <c r="R318">
        <f ca="1"/>
        <v>0.32203300000000001</v>
      </c>
      <c r="S318">
        <f ca="1"/>
        <v>0</v>
      </c>
      <c r="T318">
        <f ca="1"/>
        <v>0</v>
      </c>
      <c r="U318">
        <f ca="1"/>
        <v>0.98612699999999998</v>
      </c>
      <c r="V318">
        <f ca="1"/>
        <v>0.60797400000000001</v>
      </c>
    </row>
    <row r="319" spans="1:22" x14ac:dyDescent="0.3">
      <c r="A319" t="str">
        <f ca="1"/>
        <v>318</v>
      </c>
      <c r="B319" t="str">
        <f ca="1"/>
        <v>Ndera_15</v>
      </c>
      <c r="C319">
        <f ca="1"/>
        <v>1.1400440000000001</v>
      </c>
      <c r="D319">
        <f ca="1"/>
        <v>0.837538</v>
      </c>
      <c r="E319">
        <f ca="1"/>
        <v>0</v>
      </c>
      <c r="F319">
        <f ca="1"/>
        <v>0.46608100000000002</v>
      </c>
      <c r="G319">
        <f ca="1"/>
        <v>0.99475100000000005</v>
      </c>
      <c r="H319">
        <f ca="1"/>
        <v>0.33819199999999999</v>
      </c>
      <c r="I319">
        <f ca="1"/>
        <v>0</v>
      </c>
      <c r="J319">
        <f ca="1"/>
        <v>0</v>
      </c>
      <c r="K319">
        <f ca="1"/>
        <v>0.99999300000000002</v>
      </c>
      <c r="L319">
        <f ca="1"/>
        <v>0.91982699999999995</v>
      </c>
      <c r="M319">
        <f ca="1"/>
        <v>0.23943300000000001</v>
      </c>
      <c r="N319">
        <f ca="1"/>
        <v>0</v>
      </c>
      <c r="O319">
        <f ca="1"/>
        <v>0</v>
      </c>
      <c r="P319">
        <f ca="1"/>
        <v>0.99367899999999998</v>
      </c>
      <c r="Q319">
        <f ca="1"/>
        <v>0.99796499999999999</v>
      </c>
      <c r="R319">
        <f ca="1"/>
        <v>0.41828500000000002</v>
      </c>
      <c r="S319">
        <f ca="1"/>
        <v>0</v>
      </c>
      <c r="T319">
        <f ca="1"/>
        <v>0</v>
      </c>
      <c r="U319">
        <f ca="1"/>
        <v>0.999359</v>
      </c>
      <c r="V319">
        <f ca="1"/>
        <v>0.98392999999999997</v>
      </c>
    </row>
    <row r="320" spans="1:22" x14ac:dyDescent="0.3">
      <c r="A320" t="str">
        <f ca="1"/>
        <v>319</v>
      </c>
      <c r="B320" t="str">
        <f ca="1"/>
        <v>Ngoma_HS0_15</v>
      </c>
      <c r="C320">
        <f ca="1"/>
        <v>1.0093369999999999</v>
      </c>
      <c r="D320">
        <f ca="1"/>
        <v>0.43475900000000001</v>
      </c>
      <c r="E320">
        <f ca="1"/>
        <v>0.01</v>
      </c>
      <c r="F320">
        <f ca="1"/>
        <v>6.6854999999999998E-2</v>
      </c>
      <c r="G320">
        <f ca="1"/>
        <v>0.106061</v>
      </c>
      <c r="H320">
        <f ca="1"/>
        <v>0.45277499999999998</v>
      </c>
      <c r="I320">
        <f ca="1"/>
        <v>0</v>
      </c>
      <c r="J320">
        <f ca="1"/>
        <v>0</v>
      </c>
      <c r="K320">
        <f ca="1"/>
        <v>0.99027399999999999</v>
      </c>
      <c r="L320">
        <f ca="1"/>
        <v>1.7944000000000002E-2</v>
      </c>
      <c r="M320">
        <f ca="1"/>
        <v>0.70836299999999996</v>
      </c>
      <c r="N320">
        <f ca="1"/>
        <v>0</v>
      </c>
      <c r="O320">
        <f ca="1"/>
        <v>0</v>
      </c>
      <c r="P320">
        <f ca="1"/>
        <v>0.98211999999999999</v>
      </c>
      <c r="Q320">
        <f ca="1"/>
        <v>0.58969499999999997</v>
      </c>
      <c r="R320">
        <f ca="1"/>
        <v>1.0677430000000001</v>
      </c>
      <c r="S320">
        <f ca="1"/>
        <v>0.398565</v>
      </c>
      <c r="T320">
        <f ca="1"/>
        <v>0.48</v>
      </c>
      <c r="U320">
        <f ca="1"/>
        <v>0.65273199999999998</v>
      </c>
      <c r="V320">
        <f ca="1"/>
        <v>0.18854899999999999</v>
      </c>
    </row>
    <row r="321" spans="1:22" x14ac:dyDescent="0.3">
      <c r="A321" t="str">
        <f ca="1"/>
        <v>320</v>
      </c>
      <c r="B321" t="str">
        <f ca="1"/>
        <v>Ngoma_HS10_15</v>
      </c>
      <c r="C321">
        <f ca="1"/>
        <v>0.92564000000000002</v>
      </c>
      <c r="D321">
        <f ca="1"/>
        <v>0</v>
      </c>
      <c r="E321">
        <f ca="1"/>
        <v>0</v>
      </c>
      <c r="F321">
        <f ca="1"/>
        <v>0.19456899999999999</v>
      </c>
      <c r="G321">
        <f ca="1"/>
        <v>0.28799999999999998</v>
      </c>
      <c r="H321">
        <f ca="1"/>
        <v>1.439303</v>
      </c>
      <c r="I321">
        <f ca="1"/>
        <v>0</v>
      </c>
      <c r="J321">
        <f ca="1"/>
        <v>0</v>
      </c>
      <c r="K321">
        <f ca="1"/>
        <v>0</v>
      </c>
      <c r="L321">
        <f ca="1"/>
        <v>0</v>
      </c>
      <c r="M321">
        <f ca="1"/>
        <v>0.76405000000000001</v>
      </c>
      <c r="N321">
        <f ca="1"/>
        <v>0</v>
      </c>
      <c r="O321">
        <f ca="1"/>
        <v>0</v>
      </c>
      <c r="P321">
        <f ca="1"/>
        <v>0.98021999999999998</v>
      </c>
      <c r="Q321">
        <f ca="1"/>
        <v>0.26194400000000001</v>
      </c>
      <c r="R321">
        <f ca="1"/>
        <v>0.93184199999999995</v>
      </c>
      <c r="S321">
        <f ca="1"/>
        <v>0</v>
      </c>
      <c r="T321">
        <f ca="1"/>
        <v>0</v>
      </c>
      <c r="U321">
        <f ca="1"/>
        <v>0.98256200000000005</v>
      </c>
      <c r="V321">
        <f ca="1"/>
        <v>6.8110000000000004E-2</v>
      </c>
    </row>
    <row r="322" spans="1:22" x14ac:dyDescent="0.3">
      <c r="A322" t="str">
        <f ca="1"/>
        <v>321</v>
      </c>
      <c r="B322" t="str">
        <f ca="1"/>
        <v>Ngoma_HS11_15</v>
      </c>
      <c r="C322">
        <f ca="1"/>
        <v>0.55288999999999999</v>
      </c>
      <c r="D322">
        <f ca="1"/>
        <v>0</v>
      </c>
      <c r="E322">
        <f ca="1"/>
        <v>0</v>
      </c>
      <c r="F322">
        <f ca="1"/>
        <v>0.244447</v>
      </c>
      <c r="G322">
        <f ca="1"/>
        <v>0</v>
      </c>
      <c r="H322">
        <f ca="1"/>
        <v>0.629139</v>
      </c>
      <c r="I322">
        <f ca="1"/>
        <v>0</v>
      </c>
      <c r="J322">
        <f ca="1"/>
        <v>0</v>
      </c>
      <c r="K322">
        <f ca="1"/>
        <v>0</v>
      </c>
      <c r="L322">
        <f ca="1"/>
        <v>0</v>
      </c>
      <c r="M322">
        <f ca="1"/>
        <v>0.62737200000000004</v>
      </c>
      <c r="N322">
        <f ca="1"/>
        <v>0.42669800000000002</v>
      </c>
      <c r="O322">
        <f ca="1"/>
        <v>0.49</v>
      </c>
      <c r="P322">
        <f ca="1"/>
        <v>0.54962</v>
      </c>
      <c r="Q322">
        <f ca="1"/>
        <v>0</v>
      </c>
      <c r="R322">
        <f ca="1"/>
        <v>0.68596500000000005</v>
      </c>
      <c r="S322">
        <f ca="1"/>
        <v>0.42669800000000002</v>
      </c>
      <c r="T322">
        <f ca="1"/>
        <v>0.49</v>
      </c>
      <c r="U322">
        <f ca="1"/>
        <v>0.54962</v>
      </c>
      <c r="V322">
        <f ca="1"/>
        <v>0</v>
      </c>
    </row>
    <row r="323" spans="1:22" x14ac:dyDescent="0.3">
      <c r="A323" t="str">
        <f ca="1"/>
        <v>322</v>
      </c>
      <c r="B323" t="str">
        <f ca="1"/>
        <v>Ngoma_HS12_15</v>
      </c>
      <c r="C323">
        <f ca="1"/>
        <v>0.47575600000000001</v>
      </c>
      <c r="D323">
        <f ca="1"/>
        <v>0</v>
      </c>
      <c r="E323">
        <f ca="1"/>
        <v>0</v>
      </c>
      <c r="F323">
        <f ca="1"/>
        <v>0.12712799999999999</v>
      </c>
      <c r="G323">
        <f ca="1"/>
        <v>0</v>
      </c>
      <c r="H323">
        <f ca="1"/>
        <v>0.55285700000000004</v>
      </c>
      <c r="I323">
        <f ca="1"/>
        <v>0</v>
      </c>
      <c r="J323">
        <f ca="1"/>
        <v>0</v>
      </c>
      <c r="K323">
        <f ca="1"/>
        <v>0</v>
      </c>
      <c r="L323">
        <f ca="1"/>
        <v>0</v>
      </c>
      <c r="M323">
        <f ca="1"/>
        <v>0.40727000000000002</v>
      </c>
      <c r="N323">
        <f ca="1"/>
        <v>0</v>
      </c>
      <c r="O323">
        <f ca="1"/>
        <v>0</v>
      </c>
      <c r="P323">
        <f ca="1"/>
        <v>0.99296700000000004</v>
      </c>
      <c r="Q323">
        <f ca="1"/>
        <v>0</v>
      </c>
      <c r="R323">
        <f ca="1"/>
        <v>0.47772799999999999</v>
      </c>
      <c r="S323">
        <f ca="1"/>
        <v>0</v>
      </c>
      <c r="T323">
        <f ca="1"/>
        <v>0</v>
      </c>
      <c r="U323">
        <f ca="1"/>
        <v>0.99296700000000004</v>
      </c>
      <c r="V323">
        <f ca="1"/>
        <v>0</v>
      </c>
    </row>
    <row r="324" spans="1:22" x14ac:dyDescent="0.3">
      <c r="A324" t="str">
        <f ca="1"/>
        <v>323</v>
      </c>
      <c r="B324" t="str">
        <f ca="1"/>
        <v>Ngoma_HS13_15</v>
      </c>
      <c r="C324">
        <f ca="1"/>
        <v>0.455789</v>
      </c>
      <c r="D324">
        <f ca="1"/>
        <v>0</v>
      </c>
      <c r="E324">
        <f ca="1"/>
        <v>0</v>
      </c>
      <c r="F324">
        <f ca="1"/>
        <v>0.256332</v>
      </c>
      <c r="G324">
        <f ca="1"/>
        <v>0</v>
      </c>
      <c r="H324">
        <f ca="1"/>
        <v>0.551373</v>
      </c>
      <c r="I324">
        <f ca="1"/>
        <v>0</v>
      </c>
      <c r="J324">
        <f ca="1"/>
        <v>0</v>
      </c>
      <c r="K324">
        <f ca="1"/>
        <v>0</v>
      </c>
      <c r="L324">
        <f ca="1"/>
        <v>0</v>
      </c>
      <c r="M324">
        <f ca="1"/>
        <v>0.37442399999999998</v>
      </c>
      <c r="N324">
        <f ca="1"/>
        <v>0</v>
      </c>
      <c r="O324">
        <f ca="1"/>
        <v>0</v>
      </c>
      <c r="P324">
        <f ca="1"/>
        <v>0.99617900000000004</v>
      </c>
      <c r="Q324">
        <f ca="1"/>
        <v>1.9657999999999998E-2</v>
      </c>
      <c r="R324">
        <f ca="1"/>
        <v>0.44496200000000002</v>
      </c>
      <c r="S324">
        <f ca="1"/>
        <v>0</v>
      </c>
      <c r="T324">
        <f ca="1"/>
        <v>0</v>
      </c>
      <c r="U324">
        <f ca="1"/>
        <v>0.99618700000000004</v>
      </c>
      <c r="V324">
        <f ca="1"/>
        <v>2.1679999999999998E-3</v>
      </c>
    </row>
    <row r="325" spans="1:22" x14ac:dyDescent="0.3">
      <c r="A325" t="str">
        <f ca="1"/>
        <v>324</v>
      </c>
      <c r="B325" t="str">
        <f ca="1"/>
        <v>Ngoma_HS14_15</v>
      </c>
      <c r="C325">
        <f ca="1"/>
        <v>6.7627000000000007E-2</v>
      </c>
      <c r="D325">
        <f ca="1"/>
        <v>0</v>
      </c>
      <c r="E325">
        <f ca="1"/>
        <v>0</v>
      </c>
      <c r="F325">
        <f ca="1"/>
        <v>3.5393000000000001E-2</v>
      </c>
      <c r="G325">
        <f ca="1"/>
        <v>0</v>
      </c>
      <c r="H325">
        <f ca="1"/>
        <v>6.2754000000000004E-2</v>
      </c>
      <c r="I325">
        <f ca="1"/>
        <v>0</v>
      </c>
      <c r="J325">
        <f ca="1"/>
        <v>0</v>
      </c>
      <c r="K325">
        <f ca="1"/>
        <v>0</v>
      </c>
      <c r="L325">
        <f ca="1"/>
        <v>0</v>
      </c>
      <c r="M325">
        <f ca="1"/>
        <v>8.7985999999999995E-2</v>
      </c>
      <c r="N325">
        <f ca="1"/>
        <v>0.46854600000000002</v>
      </c>
      <c r="O325">
        <f ca="1"/>
        <v>0.5</v>
      </c>
      <c r="P325">
        <f ca="1"/>
        <v>0</v>
      </c>
      <c r="Q325">
        <f ca="1"/>
        <v>0</v>
      </c>
      <c r="R325">
        <f ca="1"/>
        <v>8.7985999999999995E-2</v>
      </c>
      <c r="S325">
        <f ca="1"/>
        <v>0.46854600000000002</v>
      </c>
      <c r="T325">
        <f ca="1"/>
        <v>0.5</v>
      </c>
      <c r="U325">
        <f ca="1"/>
        <v>0</v>
      </c>
      <c r="V325">
        <f ca="1"/>
        <v>0</v>
      </c>
    </row>
    <row r="326" spans="1:22" x14ac:dyDescent="0.3">
      <c r="A326" t="str">
        <f ca="1"/>
        <v>325</v>
      </c>
      <c r="B326" t="str">
        <f ca="1"/>
        <v>Ngoma_HS1_15</v>
      </c>
      <c r="C326">
        <f ca="1"/>
        <v>1.1353850000000001</v>
      </c>
      <c r="D326">
        <f ca="1"/>
        <v>0</v>
      </c>
      <c r="E326">
        <f ca="1"/>
        <v>0</v>
      </c>
      <c r="F326">
        <f ca="1"/>
        <v>1.3708E-2</v>
      </c>
      <c r="G326">
        <f ca="1"/>
        <v>0</v>
      </c>
      <c r="H326">
        <f ca="1"/>
        <v>0.96498099999999998</v>
      </c>
      <c r="I326">
        <f ca="1"/>
        <v>0</v>
      </c>
      <c r="J326">
        <f ca="1"/>
        <v>0</v>
      </c>
      <c r="K326">
        <f ca="1"/>
        <v>0.27564100000000002</v>
      </c>
      <c r="L326">
        <f ca="1"/>
        <v>0</v>
      </c>
      <c r="M326">
        <f ca="1"/>
        <v>0.55027300000000001</v>
      </c>
      <c r="N326">
        <f ca="1"/>
        <v>0.47527999999999998</v>
      </c>
      <c r="O326">
        <f ca="1"/>
        <v>0.59</v>
      </c>
      <c r="P326">
        <f ca="1"/>
        <v>0.399698</v>
      </c>
      <c r="Q326">
        <f ca="1"/>
        <v>0</v>
      </c>
      <c r="R326">
        <f ca="1"/>
        <v>0.593024</v>
      </c>
      <c r="S326">
        <f ca="1"/>
        <v>0.47527999999999998</v>
      </c>
      <c r="T326">
        <f ca="1"/>
        <v>0.59</v>
      </c>
      <c r="U326">
        <f ca="1"/>
        <v>0.399698</v>
      </c>
      <c r="V326">
        <f ca="1"/>
        <v>0</v>
      </c>
    </row>
    <row r="327" spans="1:22" x14ac:dyDescent="0.3">
      <c r="A327" t="str">
        <f ca="1"/>
        <v>326</v>
      </c>
      <c r="B327" t="str">
        <f ca="1"/>
        <v>Ngoma_HS2_15</v>
      </c>
      <c r="C327">
        <f ca="1"/>
        <v>0.62550300000000003</v>
      </c>
      <c r="D327">
        <f ca="1"/>
        <v>0</v>
      </c>
      <c r="E327">
        <f ca="1"/>
        <v>0</v>
      </c>
      <c r="F327">
        <f ca="1"/>
        <v>0.23006299999999999</v>
      </c>
      <c r="G327">
        <f ca="1"/>
        <v>0</v>
      </c>
      <c r="H327">
        <f ca="1"/>
        <v>0.673072</v>
      </c>
      <c r="I327">
        <f ca="1"/>
        <v>0</v>
      </c>
      <c r="J327">
        <f ca="1"/>
        <v>0</v>
      </c>
      <c r="K327">
        <f ca="1"/>
        <v>0</v>
      </c>
      <c r="L327">
        <f ca="1"/>
        <v>0</v>
      </c>
      <c r="M327">
        <f ca="1"/>
        <v>0.66342900000000005</v>
      </c>
      <c r="N327">
        <f ca="1"/>
        <v>0.43190000000000001</v>
      </c>
      <c r="O327">
        <f ca="1"/>
        <v>0.543771</v>
      </c>
      <c r="P327">
        <f ca="1"/>
        <v>0</v>
      </c>
      <c r="Q327">
        <f ca="1"/>
        <v>0</v>
      </c>
      <c r="R327">
        <f ca="1"/>
        <v>0.66342900000000005</v>
      </c>
      <c r="S327">
        <f ca="1"/>
        <v>0.43190000000000001</v>
      </c>
      <c r="T327">
        <f ca="1"/>
        <v>0.543771</v>
      </c>
      <c r="U327">
        <f ca="1"/>
        <v>0</v>
      </c>
      <c r="V327">
        <f ca="1"/>
        <v>0</v>
      </c>
    </row>
    <row r="328" spans="1:22" x14ac:dyDescent="0.3">
      <c r="A328" t="str">
        <f ca="1"/>
        <v>327</v>
      </c>
      <c r="B328" t="str">
        <f ca="1"/>
        <v>Ngoma_HS3_15</v>
      </c>
      <c r="C328">
        <f ca="1"/>
        <v>0.90327900000000005</v>
      </c>
      <c r="D328">
        <f ca="1"/>
        <v>0</v>
      </c>
      <c r="E328">
        <f ca="1"/>
        <v>0</v>
      </c>
      <c r="F328">
        <f ca="1"/>
        <v>0.117992</v>
      </c>
      <c r="G328">
        <f ca="1"/>
        <v>0</v>
      </c>
      <c r="H328">
        <f ca="1"/>
        <v>1.0575349999999999</v>
      </c>
      <c r="I328">
        <f ca="1"/>
        <v>0</v>
      </c>
      <c r="J328">
        <f ca="1"/>
        <v>0</v>
      </c>
      <c r="K328">
        <f ca="1"/>
        <v>0</v>
      </c>
      <c r="L328">
        <f ca="1"/>
        <v>0</v>
      </c>
      <c r="M328">
        <f ca="1"/>
        <v>0.69271000000000005</v>
      </c>
      <c r="N328">
        <f ca="1"/>
        <v>0</v>
      </c>
      <c r="O328">
        <f ca="1"/>
        <v>0</v>
      </c>
      <c r="P328">
        <f ca="1"/>
        <v>0.984352</v>
      </c>
      <c r="Q328">
        <f ca="1"/>
        <v>0</v>
      </c>
      <c r="R328">
        <f ca="1"/>
        <v>0.82219900000000001</v>
      </c>
      <c r="S328">
        <f ca="1"/>
        <v>0</v>
      </c>
      <c r="T328">
        <f ca="1"/>
        <v>0</v>
      </c>
      <c r="U328">
        <f ca="1"/>
        <v>0.984352</v>
      </c>
      <c r="V328">
        <f ca="1"/>
        <v>0</v>
      </c>
    </row>
    <row r="329" spans="1:22" x14ac:dyDescent="0.3">
      <c r="A329" t="str">
        <f ca="1"/>
        <v>328</v>
      </c>
      <c r="B329" t="str">
        <f ca="1"/>
        <v>Ngoma_HS4_15</v>
      </c>
      <c r="C329">
        <f ca="1"/>
        <v>1.284465</v>
      </c>
      <c r="D329">
        <f ca="1"/>
        <v>0</v>
      </c>
      <c r="E329">
        <f ca="1"/>
        <v>0</v>
      </c>
      <c r="F329">
        <f ca="1"/>
        <v>0.120088</v>
      </c>
      <c r="G329">
        <f ca="1"/>
        <v>0</v>
      </c>
      <c r="H329">
        <f ca="1"/>
        <v>1.3862410000000001</v>
      </c>
      <c r="I329">
        <f ca="1"/>
        <v>0</v>
      </c>
      <c r="J329">
        <f ca="1"/>
        <v>0</v>
      </c>
      <c r="K329">
        <f ca="1"/>
        <v>0</v>
      </c>
      <c r="L329">
        <f ca="1"/>
        <v>0</v>
      </c>
      <c r="M329">
        <f ca="1"/>
        <v>0.898312</v>
      </c>
      <c r="N329">
        <f ca="1"/>
        <v>0.48564800000000002</v>
      </c>
      <c r="O329">
        <f ca="1"/>
        <v>0.62</v>
      </c>
      <c r="P329">
        <f ca="1"/>
        <v>0.46614800000000001</v>
      </c>
      <c r="Q329">
        <f ca="1"/>
        <v>0</v>
      </c>
      <c r="R329">
        <f ca="1"/>
        <v>0.97285299999999997</v>
      </c>
      <c r="S329">
        <f ca="1"/>
        <v>0.48564800000000002</v>
      </c>
      <c r="T329">
        <f ca="1"/>
        <v>0.62</v>
      </c>
      <c r="U329">
        <f ca="1"/>
        <v>0.46614800000000001</v>
      </c>
      <c r="V329">
        <f ca="1"/>
        <v>0</v>
      </c>
    </row>
    <row r="330" spans="1:22" x14ac:dyDescent="0.3">
      <c r="A330" t="str">
        <f ca="1"/>
        <v>329</v>
      </c>
      <c r="B330" t="str">
        <f ca="1"/>
        <v>Ngoma_HS5_15</v>
      </c>
      <c r="C330">
        <f ca="1"/>
        <v>0.61112200000000005</v>
      </c>
      <c r="D330">
        <f ca="1"/>
        <v>0.19154299999999999</v>
      </c>
      <c r="E330">
        <f ca="1"/>
        <v>0</v>
      </c>
      <c r="F330">
        <f ca="1"/>
        <v>0.14439099999999999</v>
      </c>
      <c r="G330">
        <f ca="1"/>
        <v>0</v>
      </c>
      <c r="H330">
        <f ca="1"/>
        <v>0.28923500000000002</v>
      </c>
      <c r="I330">
        <f ca="1"/>
        <v>0</v>
      </c>
      <c r="J330">
        <f ca="1"/>
        <v>0</v>
      </c>
      <c r="K330">
        <f ca="1"/>
        <v>0.89263999999999999</v>
      </c>
      <c r="L330">
        <f ca="1"/>
        <v>0</v>
      </c>
      <c r="M330">
        <f ca="1"/>
        <v>0.372525</v>
      </c>
      <c r="N330">
        <f ca="1"/>
        <v>0</v>
      </c>
      <c r="O330">
        <f ca="1"/>
        <v>0</v>
      </c>
      <c r="P330">
        <f ca="1"/>
        <v>0.991892</v>
      </c>
      <c r="Q330">
        <f ca="1"/>
        <v>0</v>
      </c>
      <c r="R330">
        <f ca="1"/>
        <v>0.45295600000000003</v>
      </c>
      <c r="S330">
        <f ca="1"/>
        <v>0</v>
      </c>
      <c r="T330">
        <f ca="1"/>
        <v>0</v>
      </c>
      <c r="U330">
        <f ca="1"/>
        <v>0.991892</v>
      </c>
      <c r="V330">
        <f ca="1"/>
        <v>0</v>
      </c>
    </row>
    <row r="331" spans="1:22" x14ac:dyDescent="0.3">
      <c r="A331" t="str">
        <f ca="1"/>
        <v>330</v>
      </c>
      <c r="B331" t="str">
        <f ca="1"/>
        <v>Ngoma_HS6_15</v>
      </c>
      <c r="C331">
        <f ca="1"/>
        <v>0.93306999999999995</v>
      </c>
      <c r="D331">
        <f ca="1"/>
        <v>0</v>
      </c>
      <c r="E331">
        <f ca="1"/>
        <v>0</v>
      </c>
      <c r="F331">
        <f ca="1"/>
        <v>0.37324299999999999</v>
      </c>
      <c r="G331">
        <f ca="1"/>
        <v>0</v>
      </c>
      <c r="H331">
        <f ca="1"/>
        <v>1.2788889999999999</v>
      </c>
      <c r="I331">
        <f ca="1"/>
        <v>0</v>
      </c>
      <c r="J331">
        <f ca="1"/>
        <v>0</v>
      </c>
      <c r="K331">
        <f ca="1"/>
        <v>0</v>
      </c>
      <c r="L331">
        <f ca="1"/>
        <v>0</v>
      </c>
      <c r="M331">
        <f ca="1"/>
        <v>0.58245599999999997</v>
      </c>
      <c r="N331">
        <f ca="1"/>
        <v>0</v>
      </c>
      <c r="O331">
        <f ca="1"/>
        <v>0</v>
      </c>
      <c r="P331">
        <f ca="1"/>
        <v>0.997224</v>
      </c>
      <c r="Q331">
        <f ca="1"/>
        <v>0</v>
      </c>
      <c r="R331">
        <f ca="1"/>
        <v>0.70392900000000003</v>
      </c>
      <c r="S331">
        <f ca="1"/>
        <v>0</v>
      </c>
      <c r="T331">
        <f ca="1"/>
        <v>0</v>
      </c>
      <c r="U331">
        <f ca="1"/>
        <v>0.997224</v>
      </c>
      <c r="V331">
        <f ca="1"/>
        <v>0</v>
      </c>
    </row>
    <row r="332" spans="1:22" x14ac:dyDescent="0.3">
      <c r="A332" t="str">
        <f ca="1"/>
        <v>331</v>
      </c>
      <c r="B332" t="str">
        <f ca="1"/>
        <v>Ngoma_HS7_15</v>
      </c>
      <c r="C332">
        <f ca="1"/>
        <v>1.2752950000000001</v>
      </c>
      <c r="D332">
        <f ca="1"/>
        <v>0.470694</v>
      </c>
      <c r="E332">
        <f ca="1"/>
        <v>0</v>
      </c>
      <c r="F332">
        <f ca="1"/>
        <v>0.42431799999999997</v>
      </c>
      <c r="G332">
        <f ca="1"/>
        <v>0.121019</v>
      </c>
      <c r="H332">
        <f ca="1"/>
        <v>0.32141399999999998</v>
      </c>
      <c r="I332">
        <f ca="1"/>
        <v>0</v>
      </c>
      <c r="J332">
        <f ca="1"/>
        <v>0</v>
      </c>
      <c r="K332">
        <f ca="1"/>
        <v>0.99512400000000001</v>
      </c>
      <c r="L332">
        <f ca="1"/>
        <v>3.1099999999999999E-3</v>
      </c>
      <c r="M332">
        <f ca="1"/>
        <v>0.73997800000000002</v>
      </c>
      <c r="N332">
        <f ca="1"/>
        <v>0.39241700000000002</v>
      </c>
      <c r="O332">
        <f ca="1"/>
        <v>0.56999999999999995</v>
      </c>
      <c r="P332">
        <f ca="1"/>
        <v>0.65967299999999995</v>
      </c>
      <c r="Q332">
        <f ca="1"/>
        <v>0</v>
      </c>
      <c r="R332">
        <f ca="1"/>
        <v>0.85570000000000002</v>
      </c>
      <c r="S332">
        <f ca="1"/>
        <v>0.36286299999999999</v>
      </c>
      <c r="T332">
        <f ca="1"/>
        <v>0.56000000000000005</v>
      </c>
      <c r="U332">
        <f ca="1"/>
        <v>0.62898500000000002</v>
      </c>
      <c r="V332">
        <f ca="1"/>
        <v>0</v>
      </c>
    </row>
    <row r="333" spans="1:22" x14ac:dyDescent="0.3">
      <c r="A333" t="str">
        <f ca="1"/>
        <v>332</v>
      </c>
      <c r="B333" t="str">
        <f ca="1"/>
        <v>Ngoma_HS8_15</v>
      </c>
      <c r="C333">
        <f ca="1"/>
        <v>0.93444799999999995</v>
      </c>
      <c r="D333">
        <f ca="1"/>
        <v>0.30860700000000002</v>
      </c>
      <c r="E333">
        <f ca="1"/>
        <v>0</v>
      </c>
      <c r="F333">
        <f ca="1"/>
        <v>0.27424599999999999</v>
      </c>
      <c r="G333">
        <f ca="1"/>
        <v>0.101449</v>
      </c>
      <c r="H333">
        <f ca="1"/>
        <v>1.2417279999999999</v>
      </c>
      <c r="I333">
        <f ca="1"/>
        <v>0</v>
      </c>
      <c r="J333">
        <f ca="1"/>
        <v>0</v>
      </c>
      <c r="K333">
        <f ca="1"/>
        <v>0</v>
      </c>
      <c r="L333">
        <f ca="1"/>
        <v>0</v>
      </c>
      <c r="M333">
        <f ca="1"/>
        <v>0.66537100000000005</v>
      </c>
      <c r="N333">
        <f ca="1"/>
        <v>0</v>
      </c>
      <c r="O333">
        <f ca="1"/>
        <v>0</v>
      </c>
      <c r="P333">
        <f ca="1"/>
        <v>0.99382000000000004</v>
      </c>
      <c r="Q333">
        <f ca="1"/>
        <v>0.23263900000000001</v>
      </c>
      <c r="R333">
        <f ca="1"/>
        <v>0.78641000000000005</v>
      </c>
      <c r="S333">
        <f ca="1"/>
        <v>0</v>
      </c>
      <c r="T333">
        <f ca="1"/>
        <v>0</v>
      </c>
      <c r="U333">
        <f ca="1"/>
        <v>0.992753</v>
      </c>
      <c r="V333">
        <f ca="1"/>
        <v>3.6246E-2</v>
      </c>
    </row>
    <row r="334" spans="1:22" x14ac:dyDescent="0.3">
      <c r="A334" t="str">
        <f ca="1"/>
        <v>333</v>
      </c>
      <c r="B334" t="str">
        <f ca="1"/>
        <v>Ngoma_HS9_15</v>
      </c>
      <c r="C334">
        <f ca="1"/>
        <v>2.2088939999999999</v>
      </c>
      <c r="D334">
        <f ca="1"/>
        <v>0.51278500000000005</v>
      </c>
      <c r="E334">
        <f ca="1"/>
        <v>8.6261000000000004E-2</v>
      </c>
      <c r="F334">
        <f ca="1"/>
        <v>0.15062900000000001</v>
      </c>
      <c r="G334">
        <f ca="1"/>
        <v>2.0767999999999998E-2</v>
      </c>
      <c r="H334">
        <f ca="1"/>
        <v>0.67053300000000005</v>
      </c>
      <c r="I334">
        <f ca="1"/>
        <v>0</v>
      </c>
      <c r="J334">
        <f ca="1"/>
        <v>0</v>
      </c>
      <c r="K334">
        <f ca="1"/>
        <v>0.997027</v>
      </c>
      <c r="L334">
        <f ca="1"/>
        <v>8.1411999999999998E-2</v>
      </c>
      <c r="M334">
        <f ca="1"/>
        <v>0.91587700000000005</v>
      </c>
      <c r="N334">
        <f ca="1"/>
        <v>0</v>
      </c>
      <c r="O334">
        <f ca="1"/>
        <v>0</v>
      </c>
      <c r="P334">
        <f ca="1"/>
        <v>0.98855800000000005</v>
      </c>
      <c r="Q334">
        <f ca="1"/>
        <v>0.69733400000000001</v>
      </c>
      <c r="R334">
        <f ca="1"/>
        <v>1.206996</v>
      </c>
      <c r="S334">
        <f ca="1"/>
        <v>0</v>
      </c>
      <c r="T334">
        <f ca="1"/>
        <v>0</v>
      </c>
      <c r="U334">
        <f ca="1"/>
        <v>0.99267000000000005</v>
      </c>
      <c r="V334">
        <f ca="1"/>
        <v>0.36073499999999997</v>
      </c>
    </row>
    <row r="335" spans="1:22" x14ac:dyDescent="0.3">
      <c r="A335" t="str">
        <f ca="1"/>
        <v>334</v>
      </c>
      <c r="B335" t="str">
        <f ca="1"/>
        <v>Ngororero_HS0_15</v>
      </c>
      <c r="C335">
        <f ca="1"/>
        <v>0.37664599999999998</v>
      </c>
      <c r="D335">
        <f ca="1"/>
        <v>0</v>
      </c>
      <c r="E335">
        <f ca="1"/>
        <v>0</v>
      </c>
      <c r="F335">
        <f ca="1"/>
        <v>0.12123100000000001</v>
      </c>
      <c r="G335">
        <f ca="1"/>
        <v>0</v>
      </c>
      <c r="H335">
        <f ca="1"/>
        <v>0.38308300000000001</v>
      </c>
      <c r="I335">
        <f ca="1"/>
        <v>0</v>
      </c>
      <c r="J335">
        <f ca="1"/>
        <v>0</v>
      </c>
      <c r="K335">
        <f ca="1"/>
        <v>0</v>
      </c>
      <c r="L335">
        <f ca="1"/>
        <v>0</v>
      </c>
      <c r="M335">
        <f ca="1"/>
        <v>0.40341900000000003</v>
      </c>
      <c r="N335">
        <f ca="1"/>
        <v>0.48322999999999999</v>
      </c>
      <c r="O335">
        <f ca="1"/>
        <v>0.53</v>
      </c>
      <c r="P335">
        <f ca="1"/>
        <v>0</v>
      </c>
      <c r="Q335">
        <f ca="1"/>
        <v>0</v>
      </c>
      <c r="R335">
        <f ca="1"/>
        <v>0.40341900000000003</v>
      </c>
      <c r="S335">
        <f ca="1"/>
        <v>0.48322999999999999</v>
      </c>
      <c r="T335">
        <f ca="1"/>
        <v>0.53</v>
      </c>
      <c r="U335">
        <f ca="1"/>
        <v>0</v>
      </c>
      <c r="V335">
        <f ca="1"/>
        <v>0</v>
      </c>
    </row>
    <row r="336" spans="1:22" x14ac:dyDescent="0.3">
      <c r="A336" t="str">
        <f ca="1"/>
        <v>335</v>
      </c>
      <c r="B336" t="str">
        <f ca="1"/>
        <v>Ngororero_HS10_15</v>
      </c>
      <c r="C336">
        <f ca="1"/>
        <v>0.34783199999999997</v>
      </c>
      <c r="D336">
        <f ca="1"/>
        <v>0</v>
      </c>
      <c r="E336">
        <f ca="1"/>
        <v>0</v>
      </c>
      <c r="F336">
        <f ca="1"/>
        <v>0.65752299999999997</v>
      </c>
      <c r="G336">
        <f ca="1"/>
        <v>0</v>
      </c>
      <c r="H336">
        <f ca="1"/>
        <v>0.49154500000000001</v>
      </c>
      <c r="I336">
        <f ca="1"/>
        <v>0</v>
      </c>
      <c r="J336">
        <f ca="1"/>
        <v>0</v>
      </c>
      <c r="K336">
        <f ca="1"/>
        <v>0</v>
      </c>
      <c r="L336">
        <f ca="1"/>
        <v>0</v>
      </c>
      <c r="M336">
        <f ca="1"/>
        <v>0.458754</v>
      </c>
      <c r="N336">
        <f ca="1"/>
        <v>0.47974499999999998</v>
      </c>
      <c r="O336">
        <f ca="1"/>
        <v>0.54</v>
      </c>
      <c r="P336">
        <f ca="1"/>
        <v>0</v>
      </c>
      <c r="Q336">
        <f ca="1"/>
        <v>0</v>
      </c>
      <c r="R336">
        <f ca="1"/>
        <v>0.458754</v>
      </c>
      <c r="S336">
        <f ca="1"/>
        <v>0.47974499999999998</v>
      </c>
      <c r="T336">
        <f ca="1"/>
        <v>0.54</v>
      </c>
      <c r="U336">
        <f ca="1"/>
        <v>0</v>
      </c>
      <c r="V336">
        <f ca="1"/>
        <v>0</v>
      </c>
    </row>
    <row r="337" spans="1:22" x14ac:dyDescent="0.3">
      <c r="A337" t="str">
        <f ca="1"/>
        <v>336</v>
      </c>
      <c r="B337" t="str">
        <f ca="1"/>
        <v>Ngororero_HS11_15</v>
      </c>
      <c r="C337">
        <f ca="1"/>
        <v>0.308805</v>
      </c>
      <c r="D337">
        <f ca="1"/>
        <v>0</v>
      </c>
      <c r="E337">
        <f ca="1"/>
        <v>0</v>
      </c>
      <c r="F337">
        <f ca="1"/>
        <v>0.15141099999999999</v>
      </c>
      <c r="G337">
        <f ca="1"/>
        <v>0</v>
      </c>
      <c r="H337">
        <f ca="1"/>
        <v>0.30535400000000001</v>
      </c>
      <c r="I337">
        <f ca="1"/>
        <v>0</v>
      </c>
      <c r="J337">
        <f ca="1"/>
        <v>0</v>
      </c>
      <c r="K337">
        <f ca="1"/>
        <v>0</v>
      </c>
      <c r="L337">
        <f ca="1"/>
        <v>0</v>
      </c>
      <c r="M337">
        <f ca="1"/>
        <v>0.43629600000000002</v>
      </c>
      <c r="N337">
        <f ca="1"/>
        <v>0.56274900000000005</v>
      </c>
      <c r="O337">
        <f ca="1"/>
        <v>0.48</v>
      </c>
      <c r="P337">
        <f ca="1"/>
        <v>0</v>
      </c>
      <c r="Q337">
        <f ca="1"/>
        <v>0</v>
      </c>
      <c r="R337">
        <f ca="1"/>
        <v>0.43629600000000002</v>
      </c>
      <c r="S337">
        <f ca="1"/>
        <v>0.56274900000000005</v>
      </c>
      <c r="T337">
        <f ca="1"/>
        <v>0.48</v>
      </c>
      <c r="U337">
        <f ca="1"/>
        <v>0</v>
      </c>
      <c r="V337">
        <f ca="1"/>
        <v>0</v>
      </c>
    </row>
    <row r="338" spans="1:22" x14ac:dyDescent="0.3">
      <c r="A338" t="str">
        <f ca="1"/>
        <v>337</v>
      </c>
      <c r="B338" t="str">
        <f ca="1"/>
        <v>Ngororero_HS12_15</v>
      </c>
      <c r="C338">
        <f ca="1"/>
        <v>0.10283</v>
      </c>
      <c r="D338">
        <f ca="1"/>
        <v>0</v>
      </c>
      <c r="E338">
        <f ca="1"/>
        <v>0</v>
      </c>
      <c r="F338">
        <f ca="1"/>
        <v>0.47176299999999999</v>
      </c>
      <c r="G338">
        <f ca="1"/>
        <v>0</v>
      </c>
      <c r="H338">
        <f ca="1"/>
        <v>0.115083</v>
      </c>
      <c r="I338">
        <f ca="1"/>
        <v>0</v>
      </c>
      <c r="J338">
        <f ca="1"/>
        <v>0</v>
      </c>
      <c r="K338">
        <f ca="1"/>
        <v>0</v>
      </c>
      <c r="L338">
        <f ca="1"/>
        <v>0</v>
      </c>
      <c r="M338">
        <f ca="1"/>
        <v>0.168131</v>
      </c>
      <c r="N338">
        <f ca="1"/>
        <v>0.53567399999999998</v>
      </c>
      <c r="O338">
        <f ca="1"/>
        <v>0.5</v>
      </c>
      <c r="P338">
        <f ca="1"/>
        <v>0</v>
      </c>
      <c r="Q338">
        <f ca="1"/>
        <v>0</v>
      </c>
      <c r="R338">
        <f ca="1"/>
        <v>0.168131</v>
      </c>
      <c r="S338">
        <f ca="1"/>
        <v>0.53567399999999998</v>
      </c>
      <c r="T338">
        <f ca="1"/>
        <v>0.5</v>
      </c>
      <c r="U338">
        <f ca="1"/>
        <v>0</v>
      </c>
      <c r="V338">
        <f ca="1"/>
        <v>0</v>
      </c>
    </row>
    <row r="339" spans="1:22" x14ac:dyDescent="0.3">
      <c r="A339" t="str">
        <f ca="1"/>
        <v>338</v>
      </c>
      <c r="B339" t="str">
        <f ca="1"/>
        <v>Ngororero_HS13_15</v>
      </c>
      <c r="C339">
        <f ca="1"/>
        <v>0.139208</v>
      </c>
      <c r="D339">
        <f ca="1"/>
        <v>0</v>
      </c>
      <c r="E339">
        <f ca="1"/>
        <v>0</v>
      </c>
      <c r="F339">
        <f ca="1"/>
        <v>0.11930200000000001</v>
      </c>
      <c r="G339">
        <f ca="1"/>
        <v>0</v>
      </c>
      <c r="H339">
        <f ca="1"/>
        <v>0.140568</v>
      </c>
      <c r="I339">
        <f ca="1"/>
        <v>0</v>
      </c>
      <c r="J339">
        <f ca="1"/>
        <v>0</v>
      </c>
      <c r="K339">
        <f ca="1"/>
        <v>0</v>
      </c>
      <c r="L339">
        <f ca="1"/>
        <v>0</v>
      </c>
      <c r="M339">
        <f ca="1"/>
        <v>0.19853599999999999</v>
      </c>
      <c r="N339">
        <f ca="1"/>
        <v>0.58528899999999995</v>
      </c>
      <c r="O339">
        <f ca="1"/>
        <v>0.5</v>
      </c>
      <c r="P339">
        <f ca="1"/>
        <v>0</v>
      </c>
      <c r="Q339">
        <f ca="1"/>
        <v>0</v>
      </c>
      <c r="R339">
        <f ca="1"/>
        <v>0.19853599999999999</v>
      </c>
      <c r="S339">
        <f ca="1"/>
        <v>0.58528899999999995</v>
      </c>
      <c r="T339">
        <f ca="1"/>
        <v>0.5</v>
      </c>
      <c r="U339">
        <f ca="1"/>
        <v>0</v>
      </c>
      <c r="V339">
        <f ca="1"/>
        <v>0</v>
      </c>
    </row>
    <row r="340" spans="1:22" x14ac:dyDescent="0.3">
      <c r="A340" t="str">
        <f ca="1"/>
        <v>339</v>
      </c>
      <c r="B340" t="str">
        <f ca="1"/>
        <v>Ngororero_HS14_15</v>
      </c>
      <c r="C340">
        <f ca="1"/>
        <v>0.39757599999999998</v>
      </c>
      <c r="D340">
        <f ca="1"/>
        <v>0</v>
      </c>
      <c r="E340">
        <f ca="1"/>
        <v>0</v>
      </c>
      <c r="F340">
        <f ca="1"/>
        <v>0.28257500000000002</v>
      </c>
      <c r="G340">
        <f ca="1"/>
        <v>0</v>
      </c>
      <c r="H340">
        <f ca="1"/>
        <v>0.44361099999999998</v>
      </c>
      <c r="I340">
        <f ca="1"/>
        <v>0</v>
      </c>
      <c r="J340">
        <f ca="1"/>
        <v>0</v>
      </c>
      <c r="K340">
        <f ca="1"/>
        <v>0</v>
      </c>
      <c r="L340">
        <f ca="1"/>
        <v>0</v>
      </c>
      <c r="M340">
        <f ca="1"/>
        <v>0.48966999999999999</v>
      </c>
      <c r="N340">
        <f ca="1"/>
        <v>0.54075799999999996</v>
      </c>
      <c r="O340">
        <f ca="1"/>
        <v>0.52</v>
      </c>
      <c r="P340">
        <f ca="1"/>
        <v>0</v>
      </c>
      <c r="Q340">
        <f ca="1"/>
        <v>0</v>
      </c>
      <c r="R340">
        <f ca="1"/>
        <v>0.48966999999999999</v>
      </c>
      <c r="S340">
        <f ca="1"/>
        <v>0.54075799999999996</v>
      </c>
      <c r="T340">
        <f ca="1"/>
        <v>0.52</v>
      </c>
      <c r="U340">
        <f ca="1"/>
        <v>0</v>
      </c>
      <c r="V340">
        <f ca="1"/>
        <v>0</v>
      </c>
    </row>
    <row r="341" spans="1:22" x14ac:dyDescent="0.3">
      <c r="A341" t="str">
        <f ca="1"/>
        <v>340</v>
      </c>
      <c r="B341" t="str">
        <f ca="1"/>
        <v>Ngororero_HS15_15</v>
      </c>
      <c r="C341">
        <f ca="1"/>
        <v>0.26736700000000002</v>
      </c>
      <c r="D341">
        <f ca="1"/>
        <v>0</v>
      </c>
      <c r="E341">
        <f ca="1"/>
        <v>0</v>
      </c>
      <c r="F341">
        <f ca="1"/>
        <v>0.50097400000000003</v>
      </c>
      <c r="G341">
        <f ca="1"/>
        <v>0</v>
      </c>
      <c r="H341">
        <f ca="1"/>
        <v>0.30340099999999998</v>
      </c>
      <c r="I341">
        <f ca="1"/>
        <v>0</v>
      </c>
      <c r="J341">
        <f ca="1"/>
        <v>0</v>
      </c>
      <c r="K341">
        <f ca="1"/>
        <v>0</v>
      </c>
      <c r="L341">
        <f ca="1"/>
        <v>0</v>
      </c>
      <c r="M341">
        <f ca="1"/>
        <v>0.46165600000000001</v>
      </c>
      <c r="N341">
        <f ca="1"/>
        <v>0.531864</v>
      </c>
      <c r="O341">
        <f ca="1"/>
        <v>0.48</v>
      </c>
      <c r="P341">
        <f ca="1"/>
        <v>0</v>
      </c>
      <c r="Q341">
        <f ca="1"/>
        <v>0</v>
      </c>
      <c r="R341">
        <f ca="1"/>
        <v>0.46165600000000001</v>
      </c>
      <c r="S341">
        <f ca="1"/>
        <v>0.531864</v>
      </c>
      <c r="T341">
        <f ca="1"/>
        <v>0.48</v>
      </c>
      <c r="U341">
        <f ca="1"/>
        <v>0</v>
      </c>
      <c r="V341">
        <f ca="1"/>
        <v>0</v>
      </c>
    </row>
    <row r="342" spans="1:22" x14ac:dyDescent="0.3">
      <c r="A342" t="str">
        <f ca="1"/>
        <v>341</v>
      </c>
      <c r="B342" t="str">
        <f ca="1"/>
        <v>Ngororero_HS16_15</v>
      </c>
      <c r="C342">
        <f ca="1"/>
        <v>0.34646199999999999</v>
      </c>
      <c r="D342">
        <f ca="1"/>
        <v>0</v>
      </c>
      <c r="E342">
        <f ca="1"/>
        <v>0</v>
      </c>
      <c r="F342">
        <f ca="1"/>
        <v>0.30463000000000001</v>
      </c>
      <c r="G342">
        <f ca="1"/>
        <v>0</v>
      </c>
      <c r="H342">
        <f ca="1"/>
        <v>0.39030799999999999</v>
      </c>
      <c r="I342">
        <f ca="1"/>
        <v>0</v>
      </c>
      <c r="J342">
        <f ca="1"/>
        <v>0</v>
      </c>
      <c r="K342">
        <f ca="1"/>
        <v>0</v>
      </c>
      <c r="L342">
        <f ca="1"/>
        <v>0</v>
      </c>
      <c r="M342">
        <f ca="1"/>
        <v>0.45910099999999998</v>
      </c>
      <c r="N342">
        <f ca="1"/>
        <v>0.49662699999999999</v>
      </c>
      <c r="O342">
        <f ca="1"/>
        <v>0.51</v>
      </c>
      <c r="P342">
        <f ca="1"/>
        <v>0</v>
      </c>
      <c r="Q342">
        <f ca="1"/>
        <v>0</v>
      </c>
      <c r="R342">
        <f ca="1"/>
        <v>0.45910099999999998</v>
      </c>
      <c r="S342">
        <f ca="1"/>
        <v>0.49662699999999999</v>
      </c>
      <c r="T342">
        <f ca="1"/>
        <v>0.51</v>
      </c>
      <c r="U342">
        <f ca="1"/>
        <v>0</v>
      </c>
      <c r="V342">
        <f ca="1"/>
        <v>0</v>
      </c>
    </row>
    <row r="343" spans="1:22" x14ac:dyDescent="0.3">
      <c r="A343" t="str">
        <f ca="1"/>
        <v>342</v>
      </c>
      <c r="B343" t="str">
        <f ca="1"/>
        <v>Ngororero_HS17_15</v>
      </c>
      <c r="C343">
        <f ca="1"/>
        <v>0.12792400000000001</v>
      </c>
      <c r="D343">
        <f ca="1"/>
        <v>0</v>
      </c>
      <c r="E343">
        <f ca="1"/>
        <v>0</v>
      </c>
      <c r="F343">
        <f ca="1"/>
        <v>0.37225799999999998</v>
      </c>
      <c r="G343">
        <f ca="1"/>
        <v>0</v>
      </c>
      <c r="H343">
        <f ca="1"/>
        <v>0.13753499999999999</v>
      </c>
      <c r="I343">
        <f ca="1"/>
        <v>0</v>
      </c>
      <c r="J343">
        <f ca="1"/>
        <v>0</v>
      </c>
      <c r="K343">
        <f ca="1"/>
        <v>0</v>
      </c>
      <c r="L343">
        <f ca="1"/>
        <v>0</v>
      </c>
      <c r="M343">
        <f ca="1"/>
        <v>0.19159200000000001</v>
      </c>
      <c r="N343">
        <f ca="1"/>
        <v>0.57453200000000004</v>
      </c>
      <c r="O343">
        <f ca="1"/>
        <v>0.5</v>
      </c>
      <c r="P343">
        <f ca="1"/>
        <v>0</v>
      </c>
      <c r="Q343">
        <f ca="1"/>
        <v>0</v>
      </c>
      <c r="R343">
        <f ca="1"/>
        <v>0.19203700000000001</v>
      </c>
      <c r="S343">
        <f ca="1"/>
        <v>0.57204999999999995</v>
      </c>
      <c r="T343">
        <f ca="1"/>
        <v>0.5</v>
      </c>
      <c r="U343">
        <f ca="1"/>
        <v>0</v>
      </c>
      <c r="V343">
        <f ca="1"/>
        <v>0</v>
      </c>
    </row>
    <row r="344" spans="1:22" x14ac:dyDescent="0.3">
      <c r="A344" t="str">
        <f ca="1"/>
        <v>343</v>
      </c>
      <c r="B344" t="str">
        <f ca="1"/>
        <v>Ngororero_HS18_15</v>
      </c>
      <c r="C344">
        <f ca="1"/>
        <v>0.244391</v>
      </c>
      <c r="D344">
        <f ca="1"/>
        <v>0</v>
      </c>
      <c r="E344">
        <f ca="1"/>
        <v>0</v>
      </c>
      <c r="F344">
        <f ca="1"/>
        <v>0.50340099999999999</v>
      </c>
      <c r="G344">
        <f ca="1"/>
        <v>0</v>
      </c>
      <c r="H344">
        <f ca="1"/>
        <v>0.29080699999999998</v>
      </c>
      <c r="I344">
        <f ca="1"/>
        <v>0</v>
      </c>
      <c r="J344">
        <f ca="1"/>
        <v>0</v>
      </c>
      <c r="K344">
        <f ca="1"/>
        <v>0</v>
      </c>
      <c r="L344">
        <f ca="1"/>
        <v>0</v>
      </c>
      <c r="M344">
        <f ca="1"/>
        <v>0.34709899999999999</v>
      </c>
      <c r="N344">
        <f ca="1"/>
        <v>0.54630000000000001</v>
      </c>
      <c r="O344">
        <f ca="1"/>
        <v>0.5</v>
      </c>
      <c r="P344">
        <f ca="1"/>
        <v>0</v>
      </c>
      <c r="Q344">
        <f ca="1"/>
        <v>0</v>
      </c>
      <c r="R344">
        <f ca="1"/>
        <v>0.34709899999999999</v>
      </c>
      <c r="S344">
        <f ca="1"/>
        <v>0.54630000000000001</v>
      </c>
      <c r="T344">
        <f ca="1"/>
        <v>0.5</v>
      </c>
      <c r="U344">
        <f ca="1"/>
        <v>0</v>
      </c>
      <c r="V344">
        <f ca="1"/>
        <v>0</v>
      </c>
    </row>
    <row r="345" spans="1:22" x14ac:dyDescent="0.3">
      <c r="A345" t="str">
        <f ca="1"/>
        <v>344</v>
      </c>
      <c r="B345" t="str">
        <f ca="1"/>
        <v>Ngororero_HS19_15</v>
      </c>
      <c r="C345">
        <f ca="1"/>
        <v>0.41572399999999998</v>
      </c>
      <c r="D345">
        <f ca="1"/>
        <v>0</v>
      </c>
      <c r="E345">
        <f ca="1"/>
        <v>0</v>
      </c>
      <c r="F345">
        <f ca="1"/>
        <v>0.30582399999999998</v>
      </c>
      <c r="G345">
        <f ca="1"/>
        <v>0</v>
      </c>
      <c r="H345">
        <f ca="1"/>
        <v>0.48776999999999998</v>
      </c>
      <c r="I345">
        <f ca="1"/>
        <v>0</v>
      </c>
      <c r="J345">
        <f ca="1"/>
        <v>0</v>
      </c>
      <c r="K345">
        <f ca="1"/>
        <v>0</v>
      </c>
      <c r="L345">
        <f ca="1"/>
        <v>0</v>
      </c>
      <c r="M345">
        <f ca="1"/>
        <v>0.39970299999999997</v>
      </c>
      <c r="N345">
        <f ca="1"/>
        <v>0.47876200000000002</v>
      </c>
      <c r="O345">
        <f ca="1"/>
        <v>0.55000000000000004</v>
      </c>
      <c r="P345">
        <f ca="1"/>
        <v>0</v>
      </c>
      <c r="Q345">
        <f ca="1"/>
        <v>0</v>
      </c>
      <c r="R345">
        <f ca="1"/>
        <v>0.39970299999999997</v>
      </c>
      <c r="S345">
        <f ca="1"/>
        <v>0.47876200000000002</v>
      </c>
      <c r="T345">
        <f ca="1"/>
        <v>0.55000000000000004</v>
      </c>
      <c r="U345">
        <f ca="1"/>
        <v>0</v>
      </c>
      <c r="V345">
        <f ca="1"/>
        <v>0</v>
      </c>
    </row>
    <row r="346" spans="1:22" x14ac:dyDescent="0.3">
      <c r="A346" t="str">
        <f ca="1"/>
        <v>345</v>
      </c>
      <c r="B346" t="str">
        <f ca="1"/>
        <v>Ngororero_HS1_15</v>
      </c>
      <c r="C346">
        <f ca="1"/>
        <v>0.80751300000000004</v>
      </c>
      <c r="D346">
        <f ca="1"/>
        <v>0.40262999999999999</v>
      </c>
      <c r="E346">
        <f ca="1"/>
        <v>0</v>
      </c>
      <c r="F346">
        <f ca="1"/>
        <v>0.25255</v>
      </c>
      <c r="G346">
        <f ca="1"/>
        <v>8.9834999999999998E-2</v>
      </c>
      <c r="H346">
        <f ca="1"/>
        <v>0.35212900000000003</v>
      </c>
      <c r="I346">
        <f ca="1"/>
        <v>0</v>
      </c>
      <c r="J346">
        <f ca="1"/>
        <v>0</v>
      </c>
      <c r="K346">
        <f ca="1"/>
        <v>0.99232699999999996</v>
      </c>
      <c r="L346">
        <f ca="1"/>
        <v>0.13758400000000001</v>
      </c>
      <c r="M346">
        <f ca="1"/>
        <v>0.54178499999999996</v>
      </c>
      <c r="N346">
        <f ca="1"/>
        <v>0</v>
      </c>
      <c r="O346">
        <f ca="1"/>
        <v>0</v>
      </c>
      <c r="P346">
        <f ca="1"/>
        <v>0.98409800000000003</v>
      </c>
      <c r="Q346">
        <f ca="1"/>
        <v>0.56250100000000003</v>
      </c>
      <c r="R346">
        <f ca="1"/>
        <v>0.64406799999999997</v>
      </c>
      <c r="S346">
        <f ca="1"/>
        <v>0</v>
      </c>
      <c r="T346">
        <f ca="1"/>
        <v>0</v>
      </c>
      <c r="U346">
        <f ca="1"/>
        <v>0.98749399999999998</v>
      </c>
      <c r="V346">
        <f ca="1"/>
        <v>0.29113499999999998</v>
      </c>
    </row>
    <row r="347" spans="1:22" x14ac:dyDescent="0.3">
      <c r="A347" t="str">
        <f ca="1"/>
        <v>346</v>
      </c>
      <c r="B347" t="str">
        <f ca="1"/>
        <v>Ngororero_HS20_15</v>
      </c>
      <c r="C347">
        <f ca="1"/>
        <v>0.29790100000000003</v>
      </c>
      <c r="D347">
        <f ca="1"/>
        <v>0</v>
      </c>
      <c r="E347">
        <f ca="1"/>
        <v>0</v>
      </c>
      <c r="F347">
        <f ca="1"/>
        <v>0.29333500000000001</v>
      </c>
      <c r="G347">
        <f ca="1"/>
        <v>0</v>
      </c>
      <c r="H347">
        <f ca="1"/>
        <v>0.32303900000000002</v>
      </c>
      <c r="I347">
        <f ca="1"/>
        <v>0</v>
      </c>
      <c r="J347">
        <f ca="1"/>
        <v>0</v>
      </c>
      <c r="K347">
        <f ca="1"/>
        <v>0</v>
      </c>
      <c r="L347">
        <f ca="1"/>
        <v>0</v>
      </c>
      <c r="M347">
        <f ca="1"/>
        <v>0.41760199999999997</v>
      </c>
      <c r="N347">
        <f ca="1"/>
        <v>0.58328800000000003</v>
      </c>
      <c r="O347">
        <f ca="1"/>
        <v>0.49</v>
      </c>
      <c r="P347">
        <f ca="1"/>
        <v>0</v>
      </c>
      <c r="Q347">
        <f ca="1"/>
        <v>0</v>
      </c>
      <c r="R347">
        <f ca="1"/>
        <v>0.41760199999999997</v>
      </c>
      <c r="S347">
        <f ca="1"/>
        <v>0.58328800000000003</v>
      </c>
      <c r="T347">
        <f ca="1"/>
        <v>0.49</v>
      </c>
      <c r="U347">
        <f ca="1"/>
        <v>0</v>
      </c>
      <c r="V347">
        <f ca="1"/>
        <v>0</v>
      </c>
    </row>
    <row r="348" spans="1:22" x14ac:dyDescent="0.3">
      <c r="A348" t="str">
        <f ca="1"/>
        <v>347</v>
      </c>
      <c r="B348" t="str">
        <f ca="1"/>
        <v>Ngororero_HS21_15</v>
      </c>
      <c r="C348">
        <f ca="1"/>
        <v>0.29892099999999999</v>
      </c>
      <c r="D348">
        <f ca="1"/>
        <v>0</v>
      </c>
      <c r="E348">
        <f ca="1"/>
        <v>0</v>
      </c>
      <c r="F348">
        <f ca="1"/>
        <v>0.30563299999999999</v>
      </c>
      <c r="G348">
        <f ca="1"/>
        <v>0</v>
      </c>
      <c r="H348">
        <f ca="1"/>
        <v>0.40729500000000002</v>
      </c>
      <c r="I348">
        <f ca="1"/>
        <v>0</v>
      </c>
      <c r="J348">
        <f ca="1"/>
        <v>0</v>
      </c>
      <c r="K348">
        <f ca="1"/>
        <v>0</v>
      </c>
      <c r="L348">
        <f ca="1"/>
        <v>0</v>
      </c>
      <c r="M348">
        <f ca="1"/>
        <v>0.41820200000000002</v>
      </c>
      <c r="N348">
        <f ca="1"/>
        <v>0.51666599999999996</v>
      </c>
      <c r="O348">
        <f ca="1"/>
        <v>0.49</v>
      </c>
      <c r="P348">
        <f ca="1"/>
        <v>0</v>
      </c>
      <c r="Q348">
        <f ca="1"/>
        <v>0</v>
      </c>
      <c r="R348">
        <f ca="1"/>
        <v>0.428651</v>
      </c>
      <c r="S348">
        <f ca="1"/>
        <v>0.49147600000000002</v>
      </c>
      <c r="T348">
        <f ca="1"/>
        <v>0.49</v>
      </c>
      <c r="U348">
        <f ca="1"/>
        <v>0</v>
      </c>
      <c r="V348">
        <f ca="1"/>
        <v>0</v>
      </c>
    </row>
    <row r="349" spans="1:22" x14ac:dyDescent="0.3">
      <c r="A349" t="str">
        <f ca="1"/>
        <v>348</v>
      </c>
      <c r="B349" t="str">
        <f ca="1"/>
        <v>Ngororero_HS22_15</v>
      </c>
      <c r="C349">
        <f ca="1"/>
        <v>0.112415</v>
      </c>
      <c r="D349">
        <f ca="1"/>
        <v>0</v>
      </c>
      <c r="E349">
        <f ca="1"/>
        <v>0</v>
      </c>
      <c r="F349">
        <f ca="1"/>
        <v>0.49994</v>
      </c>
      <c r="G349">
        <f ca="1"/>
        <v>0</v>
      </c>
      <c r="H349">
        <f ca="1"/>
        <v>0.12941</v>
      </c>
      <c r="I349">
        <f ca="1"/>
        <v>0</v>
      </c>
      <c r="J349">
        <f ca="1"/>
        <v>0</v>
      </c>
      <c r="K349">
        <f ca="1"/>
        <v>0</v>
      </c>
      <c r="L349">
        <f ca="1"/>
        <v>0</v>
      </c>
      <c r="M349">
        <f ca="1"/>
        <v>0.173843</v>
      </c>
      <c r="N349">
        <f ca="1"/>
        <v>0.54328100000000001</v>
      </c>
      <c r="O349">
        <f ca="1"/>
        <v>0.5</v>
      </c>
      <c r="P349">
        <f ca="1"/>
        <v>0</v>
      </c>
      <c r="Q349">
        <f ca="1"/>
        <v>0</v>
      </c>
      <c r="R349">
        <f ca="1"/>
        <v>0.173843</v>
      </c>
      <c r="S349">
        <f ca="1"/>
        <v>0.54328100000000001</v>
      </c>
      <c r="T349">
        <f ca="1"/>
        <v>0.5</v>
      </c>
      <c r="U349">
        <f ca="1"/>
        <v>0</v>
      </c>
      <c r="V349">
        <f ca="1"/>
        <v>0</v>
      </c>
    </row>
    <row r="350" spans="1:22" x14ac:dyDescent="0.3">
      <c r="A350" t="str">
        <f ca="1"/>
        <v>349</v>
      </c>
      <c r="B350" t="str">
        <f ca="1"/>
        <v>Ngororero_HS2_15</v>
      </c>
      <c r="C350">
        <f ca="1"/>
        <v>0.32972000000000001</v>
      </c>
      <c r="D350">
        <f ca="1"/>
        <v>0</v>
      </c>
      <c r="E350">
        <f ca="1"/>
        <v>0</v>
      </c>
      <c r="F350">
        <f ca="1"/>
        <v>0.36052600000000001</v>
      </c>
      <c r="G350">
        <f ca="1"/>
        <v>0</v>
      </c>
      <c r="H350">
        <f ca="1"/>
        <v>0.43314900000000001</v>
      </c>
      <c r="I350">
        <f ca="1"/>
        <v>0</v>
      </c>
      <c r="J350">
        <f ca="1"/>
        <v>0</v>
      </c>
      <c r="K350">
        <f ca="1"/>
        <v>0</v>
      </c>
      <c r="L350">
        <f ca="1"/>
        <v>0</v>
      </c>
      <c r="M350">
        <f ca="1"/>
        <v>0.43166500000000002</v>
      </c>
      <c r="N350">
        <f ca="1"/>
        <v>0</v>
      </c>
      <c r="O350">
        <f ca="1"/>
        <v>0</v>
      </c>
      <c r="P350">
        <f ca="1"/>
        <v>0.98734599999999995</v>
      </c>
      <c r="Q350">
        <f ca="1"/>
        <v>0</v>
      </c>
      <c r="R350">
        <f ca="1"/>
        <v>0.50940399999999997</v>
      </c>
      <c r="S350">
        <f ca="1"/>
        <v>0</v>
      </c>
      <c r="T350">
        <f ca="1"/>
        <v>0</v>
      </c>
      <c r="U350">
        <f ca="1"/>
        <v>0.98734599999999995</v>
      </c>
      <c r="V350">
        <f ca="1"/>
        <v>0</v>
      </c>
    </row>
    <row r="351" spans="1:22" x14ac:dyDescent="0.3">
      <c r="A351" t="str">
        <f ca="1"/>
        <v>350</v>
      </c>
      <c r="B351" t="str">
        <f ca="1"/>
        <v>Ngororero_HS3_15</v>
      </c>
      <c r="C351">
        <f ca="1"/>
        <v>0.30186000000000002</v>
      </c>
      <c r="D351">
        <f ca="1"/>
        <v>0</v>
      </c>
      <c r="E351">
        <f ca="1"/>
        <v>0</v>
      </c>
      <c r="F351">
        <f ca="1"/>
        <v>0.45007399999999997</v>
      </c>
      <c r="G351">
        <f ca="1"/>
        <v>0</v>
      </c>
      <c r="H351">
        <f ca="1"/>
        <v>0.41842200000000002</v>
      </c>
      <c r="I351">
        <f ca="1"/>
        <v>0</v>
      </c>
      <c r="J351">
        <f ca="1"/>
        <v>0</v>
      </c>
      <c r="K351">
        <f ca="1"/>
        <v>0</v>
      </c>
      <c r="L351">
        <f ca="1"/>
        <v>0</v>
      </c>
      <c r="M351">
        <f ca="1"/>
        <v>0.470831</v>
      </c>
      <c r="N351">
        <f ca="1"/>
        <v>0</v>
      </c>
      <c r="O351">
        <f ca="1"/>
        <v>0</v>
      </c>
      <c r="P351">
        <f ca="1"/>
        <v>0.97584700000000002</v>
      </c>
      <c r="Q351">
        <f ca="1"/>
        <v>0</v>
      </c>
      <c r="R351">
        <f ca="1"/>
        <v>0.55960299999999996</v>
      </c>
      <c r="S351">
        <f ca="1"/>
        <v>0</v>
      </c>
      <c r="T351">
        <f ca="1"/>
        <v>0</v>
      </c>
      <c r="U351">
        <f ca="1"/>
        <v>0.97584700000000002</v>
      </c>
      <c r="V351">
        <f ca="1"/>
        <v>0</v>
      </c>
    </row>
    <row r="352" spans="1:22" x14ac:dyDescent="0.3">
      <c r="A352" t="str">
        <f ca="1"/>
        <v>351</v>
      </c>
      <c r="B352" t="str">
        <f ca="1"/>
        <v>Ngororero_HS4_15</v>
      </c>
      <c r="C352">
        <f ca="1"/>
        <v>0.18559200000000001</v>
      </c>
      <c r="D352">
        <f ca="1"/>
        <v>0</v>
      </c>
      <c r="E352">
        <f ca="1"/>
        <v>0</v>
      </c>
      <c r="F352">
        <f ca="1"/>
        <v>0.66777299999999995</v>
      </c>
      <c r="G352">
        <f ca="1"/>
        <v>0</v>
      </c>
      <c r="H352">
        <f ca="1"/>
        <v>0.26563900000000001</v>
      </c>
      <c r="I352">
        <f ca="1"/>
        <v>0</v>
      </c>
      <c r="J352">
        <f ca="1"/>
        <v>0</v>
      </c>
      <c r="K352">
        <f ca="1"/>
        <v>0</v>
      </c>
      <c r="L352">
        <f ca="1"/>
        <v>0</v>
      </c>
      <c r="M352">
        <f ca="1"/>
        <v>0.28355799999999998</v>
      </c>
      <c r="N352">
        <f ca="1"/>
        <v>0.55298400000000003</v>
      </c>
      <c r="O352">
        <f ca="1"/>
        <v>0.53</v>
      </c>
      <c r="P352">
        <f ca="1"/>
        <v>0</v>
      </c>
      <c r="Q352">
        <f ca="1"/>
        <v>0</v>
      </c>
      <c r="R352">
        <f ca="1"/>
        <v>0.28355799999999998</v>
      </c>
      <c r="S352">
        <f ca="1"/>
        <v>0.55298400000000003</v>
      </c>
      <c r="T352">
        <f ca="1"/>
        <v>0.53</v>
      </c>
      <c r="U352">
        <f ca="1"/>
        <v>0</v>
      </c>
      <c r="V352">
        <f ca="1"/>
        <v>0</v>
      </c>
    </row>
    <row r="353" spans="1:22" x14ac:dyDescent="0.3">
      <c r="A353" t="str">
        <f ca="1"/>
        <v>352</v>
      </c>
      <c r="B353" t="str">
        <f ca="1"/>
        <v>Ngororero_HS5_15</v>
      </c>
      <c r="C353">
        <f ca="1"/>
        <v>0.46600799999999998</v>
      </c>
      <c r="D353">
        <f ca="1"/>
        <v>0</v>
      </c>
      <c r="E353">
        <f ca="1"/>
        <v>0</v>
      </c>
      <c r="F353">
        <f ca="1"/>
        <v>0.14277999999999999</v>
      </c>
      <c r="G353">
        <f ca="1"/>
        <v>0</v>
      </c>
      <c r="H353">
        <f ca="1"/>
        <v>0.55448699999999995</v>
      </c>
      <c r="I353">
        <f ca="1"/>
        <v>0</v>
      </c>
      <c r="J353">
        <f ca="1"/>
        <v>0</v>
      </c>
      <c r="K353">
        <f ca="1"/>
        <v>0</v>
      </c>
      <c r="L353">
        <f ca="1"/>
        <v>0</v>
      </c>
      <c r="M353">
        <f ca="1"/>
        <v>0.59794599999999998</v>
      </c>
      <c r="N353">
        <f ca="1"/>
        <v>0</v>
      </c>
      <c r="O353">
        <f ca="1"/>
        <v>0</v>
      </c>
      <c r="P353">
        <f ca="1"/>
        <v>0.95496000000000003</v>
      </c>
      <c r="Q353">
        <f ca="1"/>
        <v>0</v>
      </c>
      <c r="R353">
        <f ca="1"/>
        <v>0.680593</v>
      </c>
      <c r="S353">
        <f ca="1"/>
        <v>0</v>
      </c>
      <c r="T353">
        <f ca="1"/>
        <v>0</v>
      </c>
      <c r="U353">
        <f ca="1"/>
        <v>0.95496000000000003</v>
      </c>
      <c r="V353">
        <f ca="1"/>
        <v>0</v>
      </c>
    </row>
    <row r="354" spans="1:22" x14ac:dyDescent="0.3">
      <c r="A354" t="str">
        <f ca="1"/>
        <v>353</v>
      </c>
      <c r="B354" t="str">
        <f ca="1"/>
        <v>Ngororero_HS6_15</v>
      </c>
      <c r="C354">
        <f ca="1"/>
        <v>0.89625299999999997</v>
      </c>
      <c r="D354">
        <f ca="1"/>
        <v>0</v>
      </c>
      <c r="E354">
        <f ca="1"/>
        <v>0</v>
      </c>
      <c r="F354">
        <f ca="1"/>
        <v>0.372118</v>
      </c>
      <c r="G354">
        <f ca="1"/>
        <v>0</v>
      </c>
      <c r="H354">
        <f ca="1"/>
        <v>1.223835</v>
      </c>
      <c r="I354">
        <f ca="1"/>
        <v>0</v>
      </c>
      <c r="J354">
        <f ca="1"/>
        <v>0</v>
      </c>
      <c r="K354">
        <f ca="1"/>
        <v>0</v>
      </c>
      <c r="L354">
        <f ca="1"/>
        <v>0</v>
      </c>
      <c r="M354">
        <f ca="1"/>
        <v>0.63483900000000004</v>
      </c>
      <c r="N354">
        <f ca="1"/>
        <v>0</v>
      </c>
      <c r="O354">
        <f ca="1"/>
        <v>0</v>
      </c>
      <c r="P354">
        <f ca="1"/>
        <v>0.98703700000000005</v>
      </c>
      <c r="Q354">
        <f ca="1"/>
        <v>3.6205000000000001E-2</v>
      </c>
      <c r="R354">
        <f ca="1"/>
        <v>0.74882199999999999</v>
      </c>
      <c r="S354">
        <f ca="1"/>
        <v>0</v>
      </c>
      <c r="T354">
        <f ca="1"/>
        <v>0</v>
      </c>
      <c r="U354">
        <f ca="1"/>
        <v>0.98716499999999996</v>
      </c>
      <c r="V354">
        <f ca="1"/>
        <v>9.5329999999999998E-3</v>
      </c>
    </row>
    <row r="355" spans="1:22" x14ac:dyDescent="0.3">
      <c r="A355" t="str">
        <f ca="1"/>
        <v>354</v>
      </c>
      <c r="B355" t="str">
        <f ca="1"/>
        <v>Ngororero_HS7_15</v>
      </c>
      <c r="C355">
        <f ca="1"/>
        <v>0.78739300000000001</v>
      </c>
      <c r="D355">
        <f ca="1"/>
        <v>0.71276399999999995</v>
      </c>
      <c r="E355">
        <f ca="1"/>
        <v>0</v>
      </c>
      <c r="F355">
        <f ca="1"/>
        <v>0.45716400000000001</v>
      </c>
      <c r="G355">
        <f ca="1"/>
        <v>0.53982300000000005</v>
      </c>
      <c r="H355">
        <f ca="1"/>
        <v>0.36092800000000003</v>
      </c>
      <c r="I355">
        <f ca="1"/>
        <v>0</v>
      </c>
      <c r="J355">
        <f ca="1"/>
        <v>0</v>
      </c>
      <c r="K355">
        <f ca="1"/>
        <v>0.98831800000000003</v>
      </c>
      <c r="L355">
        <f ca="1"/>
        <v>0.147872</v>
      </c>
      <c r="M355">
        <f ca="1"/>
        <v>0.523312</v>
      </c>
      <c r="N355">
        <f ca="1"/>
        <v>0</v>
      </c>
      <c r="O355">
        <f ca="1"/>
        <v>0</v>
      </c>
      <c r="P355">
        <f ca="1"/>
        <v>0.98311800000000005</v>
      </c>
      <c r="Q355">
        <f ca="1"/>
        <v>0.39285900000000001</v>
      </c>
      <c r="R355">
        <f ca="1"/>
        <v>0.64747299999999997</v>
      </c>
      <c r="S355">
        <f ca="1"/>
        <v>0</v>
      </c>
      <c r="T355">
        <f ca="1"/>
        <v>0</v>
      </c>
      <c r="U355">
        <f ca="1"/>
        <v>0.986537</v>
      </c>
      <c r="V355">
        <f ca="1"/>
        <v>0.26552199999999998</v>
      </c>
    </row>
    <row r="356" spans="1:22" x14ac:dyDescent="0.3">
      <c r="A356" t="str">
        <f ca="1"/>
        <v>355</v>
      </c>
      <c r="B356" t="str">
        <f ca="1"/>
        <v>Ngororero_HS8_15</v>
      </c>
      <c r="C356">
        <f ca="1"/>
        <v>0.54119799999999996</v>
      </c>
      <c r="D356">
        <f ca="1"/>
        <v>0</v>
      </c>
      <c r="E356">
        <f ca="1"/>
        <v>0</v>
      </c>
      <c r="F356">
        <f ca="1"/>
        <v>0.37549900000000003</v>
      </c>
      <c r="G356">
        <f ca="1"/>
        <v>0.48051899999999997</v>
      </c>
      <c r="H356">
        <f ca="1"/>
        <v>0.598298</v>
      </c>
      <c r="I356">
        <f ca="1"/>
        <v>0.55373300000000003</v>
      </c>
      <c r="J356">
        <f ca="1"/>
        <v>0.52</v>
      </c>
      <c r="K356">
        <f ca="1"/>
        <v>0</v>
      </c>
      <c r="L356">
        <f ca="1"/>
        <v>0</v>
      </c>
      <c r="M356">
        <f ca="1"/>
        <v>0.44808999999999999</v>
      </c>
      <c r="N356">
        <f ca="1"/>
        <v>0</v>
      </c>
      <c r="O356">
        <f ca="1"/>
        <v>0</v>
      </c>
      <c r="P356">
        <f ca="1"/>
        <v>0.98762099999999997</v>
      </c>
      <c r="Q356">
        <f ca="1"/>
        <v>0.64771599999999996</v>
      </c>
      <c r="R356">
        <f ca="1"/>
        <v>0.56854700000000002</v>
      </c>
      <c r="S356">
        <f ca="1"/>
        <v>0</v>
      </c>
      <c r="T356">
        <f ca="1"/>
        <v>0</v>
      </c>
      <c r="U356">
        <f ca="1"/>
        <v>0.98170500000000005</v>
      </c>
      <c r="V356">
        <f ca="1"/>
        <v>0.184367</v>
      </c>
    </row>
    <row r="357" spans="1:22" x14ac:dyDescent="0.3">
      <c r="A357" t="str">
        <f ca="1"/>
        <v>356</v>
      </c>
      <c r="B357" t="str">
        <f ca="1"/>
        <v>Ngororero_HS9_15</v>
      </c>
      <c r="C357">
        <f ca="1"/>
        <v>0.42560799999999999</v>
      </c>
      <c r="D357">
        <f ca="1"/>
        <v>0.30646600000000002</v>
      </c>
      <c r="E357">
        <f ca="1"/>
        <v>0</v>
      </c>
      <c r="F357">
        <f ca="1"/>
        <v>0.59199599999999997</v>
      </c>
      <c r="G357">
        <f ca="1"/>
        <v>0</v>
      </c>
      <c r="H357">
        <f ca="1"/>
        <v>0.61665499999999995</v>
      </c>
      <c r="I357">
        <f ca="1"/>
        <v>0</v>
      </c>
      <c r="J357">
        <f ca="1"/>
        <v>0</v>
      </c>
      <c r="K357">
        <f ca="1"/>
        <v>0</v>
      </c>
      <c r="L357">
        <f ca="1"/>
        <v>0</v>
      </c>
      <c r="M357">
        <f ca="1"/>
        <v>0.45149899999999998</v>
      </c>
      <c r="N357">
        <f ca="1"/>
        <v>0</v>
      </c>
      <c r="O357">
        <f ca="1"/>
        <v>0</v>
      </c>
      <c r="P357">
        <f ca="1"/>
        <v>0.97346600000000005</v>
      </c>
      <c r="Q357">
        <f ca="1"/>
        <v>0</v>
      </c>
      <c r="R357">
        <f ca="1"/>
        <v>0.51231099999999996</v>
      </c>
      <c r="S357">
        <f ca="1"/>
        <v>0</v>
      </c>
      <c r="T357">
        <f ca="1"/>
        <v>0</v>
      </c>
      <c r="U357">
        <f ca="1"/>
        <v>0.97346600000000005</v>
      </c>
      <c r="V357">
        <f ca="1"/>
        <v>0</v>
      </c>
    </row>
    <row r="358" spans="1:22" x14ac:dyDescent="0.3">
      <c r="A358" t="str">
        <f ca="1"/>
        <v>357</v>
      </c>
      <c r="B358" t="str">
        <f ca="1"/>
        <v>Ntendezi_15</v>
      </c>
      <c r="C358">
        <f ca="1"/>
        <v>0.463667</v>
      </c>
      <c r="D358">
        <f ca="1"/>
        <v>0</v>
      </c>
      <c r="E358">
        <f ca="1"/>
        <v>0</v>
      </c>
      <c r="F358">
        <f ca="1"/>
        <v>0.13965900000000001</v>
      </c>
      <c r="G358">
        <f ca="1"/>
        <v>0</v>
      </c>
      <c r="H358">
        <f ca="1"/>
        <v>0.53025199999999995</v>
      </c>
      <c r="I358">
        <f ca="1"/>
        <v>0</v>
      </c>
      <c r="J358">
        <f ca="1"/>
        <v>0</v>
      </c>
      <c r="K358">
        <f ca="1"/>
        <v>0</v>
      </c>
      <c r="L358">
        <f ca="1"/>
        <v>0</v>
      </c>
      <c r="M358">
        <f ca="1"/>
        <v>0.104168</v>
      </c>
      <c r="N358">
        <f ca="1"/>
        <v>0</v>
      </c>
      <c r="O358">
        <f ca="1"/>
        <v>0</v>
      </c>
      <c r="P358">
        <f ca="1"/>
        <v>0.995035</v>
      </c>
      <c r="Q358">
        <f ca="1"/>
        <v>4.3545E-2</v>
      </c>
      <c r="R358">
        <f ca="1"/>
        <v>0.27789700000000001</v>
      </c>
      <c r="S358">
        <f ca="1"/>
        <v>0.43397400000000003</v>
      </c>
      <c r="T358">
        <f ca="1"/>
        <v>0.62</v>
      </c>
      <c r="U358">
        <f ca="1"/>
        <v>0</v>
      </c>
      <c r="V358">
        <f ca="1"/>
        <v>0</v>
      </c>
    </row>
    <row r="359" spans="1:22" x14ac:dyDescent="0.3">
      <c r="A359" t="str">
        <f ca="1"/>
        <v>358</v>
      </c>
      <c r="B359" t="str">
        <f ca="1"/>
        <v>Nyabihu_15</v>
      </c>
      <c r="C359">
        <f ca="1"/>
        <v>1.487311</v>
      </c>
      <c r="D359">
        <f ca="1"/>
        <v>0.99421899999999996</v>
      </c>
      <c r="E359">
        <f ca="1"/>
        <v>0</v>
      </c>
      <c r="F359">
        <f ca="1"/>
        <v>0.31343900000000002</v>
      </c>
      <c r="G359">
        <f ca="1"/>
        <v>0.40963899999999998</v>
      </c>
      <c r="H359">
        <f ca="1"/>
        <v>0.51624499999999995</v>
      </c>
      <c r="I359">
        <f ca="1"/>
        <v>0</v>
      </c>
      <c r="J359">
        <f ca="1"/>
        <v>0</v>
      </c>
      <c r="K359">
        <f ca="1"/>
        <v>0.99580100000000005</v>
      </c>
      <c r="L359">
        <f ca="1"/>
        <v>0.129691</v>
      </c>
      <c r="M359">
        <f ca="1"/>
        <v>0.64747399999999999</v>
      </c>
      <c r="N359">
        <f ca="1"/>
        <v>0</v>
      </c>
      <c r="O359">
        <f ca="1"/>
        <v>0</v>
      </c>
      <c r="P359">
        <f ca="1"/>
        <v>0.99053899999999995</v>
      </c>
      <c r="Q359">
        <f ca="1"/>
        <v>0.820909</v>
      </c>
      <c r="R359">
        <f ca="1"/>
        <v>0.99431400000000003</v>
      </c>
      <c r="S359">
        <f ca="1"/>
        <v>0.46237400000000001</v>
      </c>
      <c r="T359">
        <f ca="1"/>
        <v>0.49</v>
      </c>
      <c r="U359">
        <f ca="1"/>
        <v>0.74036900000000005</v>
      </c>
      <c r="V359">
        <f ca="1"/>
        <v>0.53791199999999995</v>
      </c>
    </row>
    <row r="360" spans="1:22" x14ac:dyDescent="0.3">
      <c r="A360" t="str">
        <f ca="1"/>
        <v>359</v>
      </c>
      <c r="B360" t="str">
        <f ca="1"/>
        <v>Nyabihu_HS0_15</v>
      </c>
      <c r="C360">
        <f ca="1"/>
        <v>0.53866700000000001</v>
      </c>
      <c r="D360">
        <f ca="1"/>
        <v>0</v>
      </c>
      <c r="E360">
        <f ca="1"/>
        <v>0</v>
      </c>
      <c r="F360">
        <f ca="1"/>
        <v>0.66777500000000001</v>
      </c>
      <c r="G360">
        <f ca="1"/>
        <v>8.4699999999999999E-4</v>
      </c>
      <c r="H360">
        <f ca="1"/>
        <v>1.0098959999999999</v>
      </c>
      <c r="I360">
        <f ca="1"/>
        <v>0</v>
      </c>
      <c r="J360">
        <f ca="1"/>
        <v>0</v>
      </c>
      <c r="K360">
        <f ca="1"/>
        <v>0</v>
      </c>
      <c r="L360">
        <f ca="1"/>
        <v>0</v>
      </c>
      <c r="M360">
        <f ca="1"/>
        <v>0.46266000000000002</v>
      </c>
      <c r="N360">
        <f ca="1"/>
        <v>0</v>
      </c>
      <c r="O360">
        <f ca="1"/>
        <v>0</v>
      </c>
      <c r="P360">
        <f ca="1"/>
        <v>0.98946299999999998</v>
      </c>
      <c r="Q360">
        <f ca="1"/>
        <v>0.18959500000000001</v>
      </c>
      <c r="R360">
        <f ca="1"/>
        <v>0.52621799999999996</v>
      </c>
      <c r="S360">
        <f ca="1"/>
        <v>0</v>
      </c>
      <c r="T360">
        <f ca="1"/>
        <v>0</v>
      </c>
      <c r="U360">
        <f ca="1"/>
        <v>0.98968699999999998</v>
      </c>
      <c r="V360">
        <f ca="1"/>
        <v>5.2178000000000002E-2</v>
      </c>
    </row>
    <row r="361" spans="1:22" x14ac:dyDescent="0.3">
      <c r="A361" t="str">
        <f ca="1"/>
        <v>360</v>
      </c>
      <c r="B361" t="str">
        <f ca="1"/>
        <v>Nyabihu_HS10_15</v>
      </c>
      <c r="C361">
        <f ca="1"/>
        <v>0.43820300000000001</v>
      </c>
      <c r="D361">
        <f ca="1"/>
        <v>0</v>
      </c>
      <c r="E361">
        <f ca="1"/>
        <v>0</v>
      </c>
      <c r="F361">
        <f ca="1"/>
        <v>0.39937099999999998</v>
      </c>
      <c r="G361">
        <f ca="1"/>
        <v>0</v>
      </c>
      <c r="H361">
        <f ca="1"/>
        <v>0.624973</v>
      </c>
      <c r="I361">
        <f ca="1"/>
        <v>0</v>
      </c>
      <c r="J361">
        <f ca="1"/>
        <v>0</v>
      </c>
      <c r="K361">
        <f ca="1"/>
        <v>0</v>
      </c>
      <c r="L361">
        <f ca="1"/>
        <v>0</v>
      </c>
      <c r="M361">
        <f ca="1"/>
        <v>0.31263999999999997</v>
      </c>
      <c r="N361">
        <f ca="1"/>
        <v>0</v>
      </c>
      <c r="O361">
        <f ca="1"/>
        <v>0</v>
      </c>
      <c r="P361">
        <f ca="1"/>
        <v>0.99408200000000002</v>
      </c>
      <c r="Q361">
        <f ca="1"/>
        <v>0.32119599999999998</v>
      </c>
      <c r="R361">
        <f ca="1"/>
        <v>0.346474</v>
      </c>
      <c r="S361">
        <f ca="1"/>
        <v>0</v>
      </c>
      <c r="T361">
        <f ca="1"/>
        <v>0</v>
      </c>
      <c r="U361">
        <f ca="1"/>
        <v>0.99435499999999999</v>
      </c>
      <c r="V361">
        <f ca="1"/>
        <v>4.7004999999999998E-2</v>
      </c>
    </row>
    <row r="362" spans="1:22" x14ac:dyDescent="0.3">
      <c r="A362" t="str">
        <f ca="1"/>
        <v>361</v>
      </c>
      <c r="B362" t="str">
        <f ca="1"/>
        <v>Nyabihu_HS1_15</v>
      </c>
      <c r="C362">
        <f ca="1"/>
        <v>0.26776899999999998</v>
      </c>
      <c r="D362">
        <f ca="1"/>
        <v>0</v>
      </c>
      <c r="E362">
        <f ca="1"/>
        <v>0</v>
      </c>
      <c r="F362">
        <f ca="1"/>
        <v>0.37038100000000002</v>
      </c>
      <c r="G362">
        <f ca="1"/>
        <v>0</v>
      </c>
      <c r="H362">
        <f ca="1"/>
        <v>0.31895699999999999</v>
      </c>
      <c r="I362">
        <f ca="1"/>
        <v>0</v>
      </c>
      <c r="J362">
        <f ca="1"/>
        <v>0</v>
      </c>
      <c r="K362">
        <f ca="1"/>
        <v>0</v>
      </c>
      <c r="L362">
        <f ca="1"/>
        <v>0</v>
      </c>
      <c r="M362">
        <f ca="1"/>
        <v>0.25081399999999998</v>
      </c>
      <c r="N362">
        <f ca="1"/>
        <v>0</v>
      </c>
      <c r="O362">
        <f ca="1"/>
        <v>0</v>
      </c>
      <c r="P362">
        <f ca="1"/>
        <v>0.97328499999999996</v>
      </c>
      <c r="Q362">
        <f ca="1"/>
        <v>0</v>
      </c>
      <c r="R362">
        <f ca="1"/>
        <v>0.27589000000000002</v>
      </c>
      <c r="S362">
        <f ca="1"/>
        <v>0</v>
      </c>
      <c r="T362">
        <f ca="1"/>
        <v>0</v>
      </c>
      <c r="U362">
        <f ca="1"/>
        <v>0.97328499999999996</v>
      </c>
      <c r="V362">
        <f ca="1"/>
        <v>0</v>
      </c>
    </row>
    <row r="363" spans="1:22" x14ac:dyDescent="0.3">
      <c r="A363" t="str">
        <f ca="1"/>
        <v>362</v>
      </c>
      <c r="B363" t="str">
        <f ca="1"/>
        <v>Nyabihu_HS2_15</v>
      </c>
      <c r="C363">
        <f ca="1"/>
        <v>0.52378599999999997</v>
      </c>
      <c r="D363">
        <f ca="1"/>
        <v>0.33444000000000002</v>
      </c>
      <c r="E363">
        <f ca="1"/>
        <v>0.01</v>
      </c>
      <c r="F363">
        <f ca="1"/>
        <v>0.55640999999999996</v>
      </c>
      <c r="G363">
        <f ca="1"/>
        <v>0.76303299999999996</v>
      </c>
      <c r="H363">
        <f ca="1"/>
        <v>0.32000800000000001</v>
      </c>
      <c r="I363">
        <f ca="1"/>
        <v>0.76767799999999997</v>
      </c>
      <c r="J363">
        <f ca="1"/>
        <v>0.63</v>
      </c>
      <c r="K363">
        <f ca="1"/>
        <v>0</v>
      </c>
      <c r="L363">
        <f ca="1"/>
        <v>0</v>
      </c>
      <c r="M363">
        <f ca="1"/>
        <v>0.303593</v>
      </c>
      <c r="N363">
        <f ca="1"/>
        <v>0</v>
      </c>
      <c r="O363">
        <f ca="1"/>
        <v>0</v>
      </c>
      <c r="P363">
        <f ca="1"/>
        <v>0.99358800000000003</v>
      </c>
      <c r="Q363">
        <f ca="1"/>
        <v>0.69318000000000002</v>
      </c>
      <c r="R363">
        <f ca="1"/>
        <v>0.35723700000000003</v>
      </c>
      <c r="S363">
        <f ca="1"/>
        <v>0</v>
      </c>
      <c r="T363">
        <f ca="1"/>
        <v>0</v>
      </c>
      <c r="U363">
        <f ca="1"/>
        <v>0.99282700000000002</v>
      </c>
      <c r="V363">
        <f ca="1"/>
        <v>0.129582</v>
      </c>
    </row>
    <row r="364" spans="1:22" x14ac:dyDescent="0.3">
      <c r="A364" t="str">
        <f ca="1"/>
        <v>363</v>
      </c>
      <c r="B364" t="str">
        <f ca="1"/>
        <v>Nyabihu_HS3_15</v>
      </c>
      <c r="C364">
        <f ca="1"/>
        <v>1.0827439999999999</v>
      </c>
      <c r="D364">
        <f ca="1"/>
        <v>0</v>
      </c>
      <c r="E364">
        <f ca="1"/>
        <v>0</v>
      </c>
      <c r="F364">
        <f ca="1"/>
        <v>0.30505399999999999</v>
      </c>
      <c r="G364">
        <f ca="1"/>
        <v>0.48101300000000002</v>
      </c>
      <c r="H364">
        <f ca="1"/>
        <v>0.50184399999999996</v>
      </c>
      <c r="I364">
        <f ca="1"/>
        <v>0</v>
      </c>
      <c r="J364">
        <f ca="1"/>
        <v>0</v>
      </c>
      <c r="K364">
        <f ca="1"/>
        <v>0.99093699999999996</v>
      </c>
      <c r="L364">
        <f ca="1"/>
        <v>4.5511999999999997E-2</v>
      </c>
      <c r="M364">
        <f ca="1"/>
        <v>0.71998799999999996</v>
      </c>
      <c r="N364">
        <f ca="1"/>
        <v>0</v>
      </c>
      <c r="O364">
        <f ca="1"/>
        <v>0</v>
      </c>
      <c r="P364">
        <f ca="1"/>
        <v>0.979379</v>
      </c>
      <c r="Q364">
        <f ca="1"/>
        <v>0.83554799999999996</v>
      </c>
      <c r="R364">
        <f ca="1"/>
        <v>0.87764900000000001</v>
      </c>
      <c r="S364">
        <f ca="1"/>
        <v>0</v>
      </c>
      <c r="T364">
        <f ca="1"/>
        <v>0</v>
      </c>
      <c r="U364">
        <f ca="1"/>
        <v>0.98722500000000002</v>
      </c>
      <c r="V364">
        <f ca="1"/>
        <v>0.32693299999999997</v>
      </c>
    </row>
    <row r="365" spans="1:22" x14ac:dyDescent="0.3">
      <c r="A365" t="str">
        <f ca="1"/>
        <v>364</v>
      </c>
      <c r="B365" t="str">
        <f ca="1"/>
        <v>Nyabihu_HS4_15</v>
      </c>
      <c r="C365">
        <f ca="1"/>
        <v>1.175856</v>
      </c>
      <c r="D365">
        <f ca="1"/>
        <v>0.31515300000000002</v>
      </c>
      <c r="E365">
        <f ca="1"/>
        <v>5.5970000000000004E-3</v>
      </c>
      <c r="F365">
        <f ca="1"/>
        <v>0.26552599999999998</v>
      </c>
      <c r="G365">
        <f ca="1"/>
        <v>0.30377500000000002</v>
      </c>
      <c r="H365">
        <f ca="1"/>
        <v>0.51132599999999995</v>
      </c>
      <c r="I365">
        <f ca="1"/>
        <v>0</v>
      </c>
      <c r="J365">
        <f ca="1"/>
        <v>0</v>
      </c>
      <c r="K365">
        <f ca="1"/>
        <v>0.99544100000000002</v>
      </c>
      <c r="L365">
        <f ca="1"/>
        <v>0.35979100000000003</v>
      </c>
      <c r="M365">
        <f ca="1"/>
        <v>0.51213699999999995</v>
      </c>
      <c r="N365">
        <f ca="1"/>
        <v>0</v>
      </c>
      <c r="O365">
        <f ca="1"/>
        <v>0</v>
      </c>
      <c r="P365">
        <f ca="1"/>
        <v>0.97304299999999999</v>
      </c>
      <c r="Q365">
        <f ca="1"/>
        <v>0.96388799999999997</v>
      </c>
      <c r="R365">
        <f ca="1"/>
        <v>0.72361299999999995</v>
      </c>
      <c r="S365">
        <f ca="1"/>
        <v>0</v>
      </c>
      <c r="T365">
        <f ca="1"/>
        <v>0</v>
      </c>
      <c r="U365">
        <f ca="1"/>
        <v>0.99416599999999999</v>
      </c>
      <c r="V365">
        <f ca="1"/>
        <v>0.79322400000000004</v>
      </c>
    </row>
    <row r="366" spans="1:22" x14ac:dyDescent="0.3">
      <c r="A366" t="str">
        <f ca="1"/>
        <v>365</v>
      </c>
      <c r="B366" t="str">
        <f ca="1"/>
        <v>Nyabihu_HS5_15</v>
      </c>
      <c r="C366">
        <f ca="1"/>
        <v>0.565191</v>
      </c>
      <c r="D366">
        <f ca="1"/>
        <v>0.42844599999999999</v>
      </c>
      <c r="E366">
        <f ca="1"/>
        <v>7.1710000000000003E-3</v>
      </c>
      <c r="F366">
        <f ca="1"/>
        <v>0.58162800000000003</v>
      </c>
      <c r="G366">
        <f ca="1"/>
        <v>0.231707</v>
      </c>
      <c r="H366">
        <f ca="1"/>
        <v>0.25803900000000002</v>
      </c>
      <c r="I366">
        <f ca="1"/>
        <v>0</v>
      </c>
      <c r="J366">
        <f ca="1"/>
        <v>0</v>
      </c>
      <c r="K366">
        <f ca="1"/>
        <v>0.99399099999999996</v>
      </c>
      <c r="L366">
        <f ca="1"/>
        <v>0.13361200000000001</v>
      </c>
      <c r="M366">
        <f ca="1"/>
        <v>0.38604500000000003</v>
      </c>
      <c r="N366">
        <f ca="1"/>
        <v>0</v>
      </c>
      <c r="O366">
        <f ca="1"/>
        <v>0</v>
      </c>
      <c r="P366">
        <f ca="1"/>
        <v>0.99243400000000004</v>
      </c>
      <c r="Q366">
        <f ca="1"/>
        <v>0.77632500000000004</v>
      </c>
      <c r="R366">
        <f ca="1"/>
        <v>0.466499</v>
      </c>
      <c r="S366">
        <f ca="1"/>
        <v>0</v>
      </c>
      <c r="T366">
        <f ca="1"/>
        <v>0</v>
      </c>
      <c r="U366">
        <f ca="1"/>
        <v>0.99011800000000005</v>
      </c>
      <c r="V366">
        <f ca="1"/>
        <v>0.177763</v>
      </c>
    </row>
    <row r="367" spans="1:22" x14ac:dyDescent="0.3">
      <c r="A367" t="str">
        <f ca="1"/>
        <v>366</v>
      </c>
      <c r="B367" t="str">
        <f ca="1"/>
        <v>Nyabihu_HS6_15</v>
      </c>
      <c r="C367">
        <f ca="1"/>
        <v>0.37659399999999998</v>
      </c>
      <c r="D367">
        <f ca="1"/>
        <v>0.36040899999999998</v>
      </c>
      <c r="E367">
        <f ca="1"/>
        <v>0.01</v>
      </c>
      <c r="F367">
        <f ca="1"/>
        <v>0.29561300000000001</v>
      </c>
      <c r="G367">
        <f ca="1"/>
        <v>0</v>
      </c>
      <c r="H367">
        <f ca="1"/>
        <v>0.47737200000000002</v>
      </c>
      <c r="I367">
        <f ca="1"/>
        <v>0</v>
      </c>
      <c r="J367">
        <f ca="1"/>
        <v>0</v>
      </c>
      <c r="K367">
        <f ca="1"/>
        <v>0</v>
      </c>
      <c r="L367">
        <f ca="1"/>
        <v>0</v>
      </c>
      <c r="M367">
        <f ca="1"/>
        <v>0.26238499999999998</v>
      </c>
      <c r="N367">
        <f ca="1"/>
        <v>0</v>
      </c>
      <c r="O367">
        <f ca="1"/>
        <v>0</v>
      </c>
      <c r="P367">
        <f ca="1"/>
        <v>0.99502800000000002</v>
      </c>
      <c r="Q367">
        <f ca="1"/>
        <v>0.14074999999999999</v>
      </c>
      <c r="R367">
        <f ca="1"/>
        <v>0.29237999999999997</v>
      </c>
      <c r="S367">
        <f ca="1"/>
        <v>0</v>
      </c>
      <c r="T367">
        <f ca="1"/>
        <v>0</v>
      </c>
      <c r="U367">
        <f ca="1"/>
        <v>0.99022699999999997</v>
      </c>
      <c r="V367">
        <f ca="1"/>
        <v>1.6778000000000001E-2</v>
      </c>
    </row>
    <row r="368" spans="1:22" x14ac:dyDescent="0.3">
      <c r="A368" t="str">
        <f ca="1"/>
        <v>367</v>
      </c>
      <c r="B368" t="str">
        <f ca="1"/>
        <v>Nyabihu_HS7_15</v>
      </c>
      <c r="C368">
        <f ca="1"/>
        <v>0.40377299999999999</v>
      </c>
      <c r="D368">
        <f ca="1"/>
        <v>0</v>
      </c>
      <c r="E368">
        <f ca="1"/>
        <v>0</v>
      </c>
      <c r="F368">
        <f ca="1"/>
        <v>0.644177</v>
      </c>
      <c r="G368">
        <f ca="1"/>
        <v>0</v>
      </c>
      <c r="H368">
        <f ca="1"/>
        <v>0.60491700000000004</v>
      </c>
      <c r="I368">
        <f ca="1"/>
        <v>0</v>
      </c>
      <c r="J368">
        <f ca="1"/>
        <v>0</v>
      </c>
      <c r="K368">
        <f ca="1"/>
        <v>0</v>
      </c>
      <c r="L368">
        <f ca="1"/>
        <v>0</v>
      </c>
      <c r="M368">
        <f ca="1"/>
        <v>0.37975399999999998</v>
      </c>
      <c r="N368">
        <f ca="1"/>
        <v>0</v>
      </c>
      <c r="O368">
        <f ca="1"/>
        <v>0</v>
      </c>
      <c r="P368">
        <f ca="1"/>
        <v>0.98589499999999997</v>
      </c>
      <c r="Q368">
        <f ca="1"/>
        <v>0</v>
      </c>
      <c r="R368">
        <f ca="1"/>
        <v>0.42439399999999999</v>
      </c>
      <c r="S368">
        <f ca="1"/>
        <v>0</v>
      </c>
      <c r="T368">
        <f ca="1"/>
        <v>0</v>
      </c>
      <c r="U368">
        <f ca="1"/>
        <v>0.98589499999999997</v>
      </c>
      <c r="V368">
        <f ca="1"/>
        <v>0</v>
      </c>
    </row>
    <row r="369" spans="1:22" x14ac:dyDescent="0.3">
      <c r="A369" t="str">
        <f ca="1"/>
        <v>368</v>
      </c>
      <c r="B369" t="str">
        <f ca="1"/>
        <v>Nyabihu_HS8_15</v>
      </c>
      <c r="C369">
        <f ca="1"/>
        <v>0.44161099999999998</v>
      </c>
      <c r="D369">
        <f ca="1"/>
        <v>0</v>
      </c>
      <c r="E369">
        <f ca="1"/>
        <v>0</v>
      </c>
      <c r="F369">
        <f ca="1"/>
        <v>0.28420600000000001</v>
      </c>
      <c r="G369">
        <f ca="1"/>
        <v>0</v>
      </c>
      <c r="H369">
        <f ca="1"/>
        <v>0.49532399999999999</v>
      </c>
      <c r="I369">
        <f ca="1"/>
        <v>0</v>
      </c>
      <c r="J369">
        <f ca="1"/>
        <v>0</v>
      </c>
      <c r="K369">
        <f ca="1"/>
        <v>0</v>
      </c>
      <c r="L369">
        <f ca="1"/>
        <v>0</v>
      </c>
      <c r="M369">
        <f ca="1"/>
        <v>0.37655499999999997</v>
      </c>
      <c r="N369">
        <f ca="1"/>
        <v>0</v>
      </c>
      <c r="O369">
        <f ca="1"/>
        <v>0</v>
      </c>
      <c r="P369">
        <f ca="1"/>
        <v>0.97221599999999997</v>
      </c>
      <c r="Q369">
        <f ca="1"/>
        <v>0</v>
      </c>
      <c r="R369">
        <f ca="1"/>
        <v>0.40443200000000001</v>
      </c>
      <c r="S369">
        <f ca="1"/>
        <v>0</v>
      </c>
      <c r="T369">
        <f ca="1"/>
        <v>0</v>
      </c>
      <c r="U369">
        <f ca="1"/>
        <v>0.97221599999999997</v>
      </c>
      <c r="V369">
        <f ca="1"/>
        <v>0</v>
      </c>
    </row>
    <row r="370" spans="1:22" x14ac:dyDescent="0.3">
      <c r="A370" t="str">
        <f ca="1"/>
        <v>369</v>
      </c>
      <c r="B370" t="str">
        <f ca="1"/>
        <v>Nyabihu_HS9_15</v>
      </c>
      <c r="C370">
        <f ca="1"/>
        <v>0.186081</v>
      </c>
      <c r="D370">
        <f ca="1"/>
        <v>0</v>
      </c>
      <c r="E370">
        <f ca="1"/>
        <v>0</v>
      </c>
      <c r="F370">
        <f ca="1"/>
        <v>0.26568700000000001</v>
      </c>
      <c r="G370">
        <f ca="1"/>
        <v>0</v>
      </c>
      <c r="H370">
        <f ca="1"/>
        <v>0.18868399999999999</v>
      </c>
      <c r="I370">
        <f ca="1"/>
        <v>0</v>
      </c>
      <c r="J370">
        <f ca="1"/>
        <v>0</v>
      </c>
      <c r="K370">
        <f ca="1"/>
        <v>0</v>
      </c>
      <c r="L370">
        <f ca="1"/>
        <v>0</v>
      </c>
      <c r="M370">
        <f ca="1"/>
        <v>0.28776400000000002</v>
      </c>
      <c r="N370">
        <f ca="1"/>
        <v>0.57979499999999995</v>
      </c>
      <c r="O370">
        <f ca="1"/>
        <v>0.49</v>
      </c>
      <c r="P370">
        <f ca="1"/>
        <v>0</v>
      </c>
      <c r="Q370">
        <f ca="1"/>
        <v>0</v>
      </c>
      <c r="R370">
        <f ca="1"/>
        <v>0.28776400000000002</v>
      </c>
      <c r="S370">
        <f ca="1"/>
        <v>0.57979499999999995</v>
      </c>
      <c r="T370">
        <f ca="1"/>
        <v>0.49</v>
      </c>
      <c r="U370">
        <f ca="1"/>
        <v>0</v>
      </c>
      <c r="V370">
        <f ca="1"/>
        <v>0</v>
      </c>
    </row>
    <row r="371" spans="1:22" x14ac:dyDescent="0.3">
      <c r="A371" t="str">
        <f ca="1"/>
        <v>370</v>
      </c>
      <c r="B371" t="str">
        <f ca="1"/>
        <v>Nyagatare_HS0_15</v>
      </c>
      <c r="C371">
        <f ca="1"/>
        <v>0.23880899999999999</v>
      </c>
      <c r="D371">
        <f ca="1"/>
        <v>0</v>
      </c>
      <c r="E371">
        <f ca="1"/>
        <v>0</v>
      </c>
      <c r="F371">
        <f ca="1"/>
        <v>0.35087200000000002</v>
      </c>
      <c r="G371">
        <f ca="1"/>
        <v>0</v>
      </c>
      <c r="H371">
        <f ca="1"/>
        <v>0.29608099999999998</v>
      </c>
      <c r="I371">
        <f ca="1"/>
        <v>0</v>
      </c>
      <c r="J371">
        <f ca="1"/>
        <v>0</v>
      </c>
      <c r="K371">
        <f ca="1"/>
        <v>0</v>
      </c>
      <c r="L371">
        <f ca="1"/>
        <v>0</v>
      </c>
      <c r="M371">
        <f ca="1"/>
        <v>0.23724999999999999</v>
      </c>
      <c r="N371">
        <f ca="1"/>
        <v>0</v>
      </c>
      <c r="O371">
        <f ca="1"/>
        <v>0</v>
      </c>
      <c r="P371">
        <f ca="1"/>
        <v>0.99300299999999997</v>
      </c>
      <c r="Q371">
        <f ca="1"/>
        <v>0</v>
      </c>
      <c r="R371">
        <f ca="1"/>
        <v>0.278256</v>
      </c>
      <c r="S371">
        <f ca="1"/>
        <v>0</v>
      </c>
      <c r="T371">
        <f ca="1"/>
        <v>0</v>
      </c>
      <c r="U371">
        <f ca="1"/>
        <v>0.99300299999999997</v>
      </c>
      <c r="V371">
        <f ca="1"/>
        <v>0</v>
      </c>
    </row>
    <row r="372" spans="1:22" x14ac:dyDescent="0.3">
      <c r="A372" t="str">
        <f ca="1"/>
        <v>371</v>
      </c>
      <c r="B372" t="str">
        <f ca="1"/>
        <v>Nyagatare_HS10_15</v>
      </c>
      <c r="C372">
        <f ca="1"/>
        <v>1.0908869999999999</v>
      </c>
      <c r="D372">
        <f ca="1"/>
        <v>0</v>
      </c>
      <c r="E372">
        <f ca="1"/>
        <v>0</v>
      </c>
      <c r="F372">
        <f ca="1"/>
        <v>0.239898</v>
      </c>
      <c r="G372">
        <f ca="1"/>
        <v>0.84615399999999996</v>
      </c>
      <c r="H372">
        <f ca="1"/>
        <v>0.48653200000000002</v>
      </c>
      <c r="I372">
        <f ca="1"/>
        <v>0</v>
      </c>
      <c r="J372">
        <f ca="1"/>
        <v>0</v>
      </c>
      <c r="K372">
        <f ca="1"/>
        <v>0.99765300000000001</v>
      </c>
      <c r="L372">
        <f ca="1"/>
        <v>3.6974E-2</v>
      </c>
      <c r="M372">
        <f ca="1"/>
        <v>0.68402300000000005</v>
      </c>
      <c r="N372">
        <f ca="1"/>
        <v>0</v>
      </c>
      <c r="O372">
        <f ca="1"/>
        <v>0</v>
      </c>
      <c r="P372">
        <f ca="1"/>
        <v>0.995425</v>
      </c>
      <c r="Q372">
        <f ca="1"/>
        <v>0.788246</v>
      </c>
      <c r="R372">
        <f ca="1"/>
        <v>1.1951769999999999</v>
      </c>
      <c r="S372">
        <f ca="1"/>
        <v>0.40187099999999998</v>
      </c>
      <c r="T372">
        <f ca="1"/>
        <v>0.49</v>
      </c>
      <c r="U372">
        <f ca="1"/>
        <v>0.48957699999999998</v>
      </c>
      <c r="V372">
        <f ca="1"/>
        <v>0.16617000000000001</v>
      </c>
    </row>
    <row r="373" spans="1:22" x14ac:dyDescent="0.3">
      <c r="A373" t="str">
        <f ca="1"/>
        <v>372</v>
      </c>
      <c r="B373" t="str">
        <f ca="1"/>
        <v>Nyagatare_HS11_15</v>
      </c>
      <c r="C373">
        <f ca="1"/>
        <v>0.445519</v>
      </c>
      <c r="D373">
        <f ca="1"/>
        <v>0</v>
      </c>
      <c r="E373">
        <f ca="1"/>
        <v>0</v>
      </c>
      <c r="F373">
        <f ca="1"/>
        <v>6.5702999999999998E-2</v>
      </c>
      <c r="G373">
        <f ca="1"/>
        <v>0</v>
      </c>
      <c r="H373">
        <f ca="1"/>
        <v>0.47727700000000001</v>
      </c>
      <c r="I373">
        <f ca="1"/>
        <v>0</v>
      </c>
      <c r="J373">
        <f ca="1"/>
        <v>0</v>
      </c>
      <c r="K373">
        <f ca="1"/>
        <v>0</v>
      </c>
      <c r="L373">
        <f ca="1"/>
        <v>0</v>
      </c>
      <c r="M373">
        <f ca="1"/>
        <v>0.17724799999999999</v>
      </c>
      <c r="N373">
        <f ca="1"/>
        <v>0</v>
      </c>
      <c r="O373">
        <f ca="1"/>
        <v>0</v>
      </c>
      <c r="P373">
        <f ca="1"/>
        <v>0.99649600000000005</v>
      </c>
      <c r="Q373">
        <f ca="1"/>
        <v>0</v>
      </c>
      <c r="R373">
        <f ca="1"/>
        <v>0.20105300000000001</v>
      </c>
      <c r="S373">
        <f ca="1"/>
        <v>0</v>
      </c>
      <c r="T373">
        <f ca="1"/>
        <v>0</v>
      </c>
      <c r="U373">
        <f ca="1"/>
        <v>0.99649600000000005</v>
      </c>
      <c r="V373">
        <f ca="1"/>
        <v>0</v>
      </c>
    </row>
    <row r="374" spans="1:22" x14ac:dyDescent="0.3">
      <c r="A374" t="str">
        <f ca="1"/>
        <v>373</v>
      </c>
      <c r="B374" t="str">
        <f ca="1"/>
        <v>Nyagatare_HS12_15</v>
      </c>
      <c r="C374">
        <f ca="1"/>
        <v>0.58562400000000003</v>
      </c>
      <c r="D374">
        <f ca="1"/>
        <v>0.315687</v>
      </c>
      <c r="E374">
        <f ca="1"/>
        <v>0</v>
      </c>
      <c r="F374">
        <f ca="1"/>
        <v>0.16803299999999999</v>
      </c>
      <c r="G374">
        <f ca="1"/>
        <v>0.88149</v>
      </c>
      <c r="H374">
        <f ca="1"/>
        <v>0.33958100000000002</v>
      </c>
      <c r="I374">
        <f ca="1"/>
        <v>0</v>
      </c>
      <c r="J374">
        <f ca="1"/>
        <v>0</v>
      </c>
      <c r="K374">
        <f ca="1"/>
        <v>0.98906300000000003</v>
      </c>
      <c r="L374">
        <f ca="1"/>
        <v>3.0821999999999999E-2</v>
      </c>
      <c r="M374">
        <f ca="1"/>
        <v>0.49330299999999999</v>
      </c>
      <c r="N374">
        <f ca="1"/>
        <v>0</v>
      </c>
      <c r="O374">
        <f ca="1"/>
        <v>0</v>
      </c>
      <c r="P374">
        <f ca="1"/>
        <v>0.98801499999999998</v>
      </c>
      <c r="Q374">
        <f ca="1"/>
        <v>0.77149699999999999</v>
      </c>
      <c r="R374">
        <f ca="1"/>
        <v>0.61615299999999995</v>
      </c>
      <c r="S374">
        <f ca="1"/>
        <v>0</v>
      </c>
      <c r="T374">
        <f ca="1"/>
        <v>0</v>
      </c>
      <c r="U374">
        <f ca="1"/>
        <v>0.99109499999999995</v>
      </c>
      <c r="V374">
        <f ca="1"/>
        <v>0.25076999999999999</v>
      </c>
    </row>
    <row r="375" spans="1:22" x14ac:dyDescent="0.3">
      <c r="A375" t="str">
        <f ca="1"/>
        <v>374</v>
      </c>
      <c r="B375" t="str">
        <f ca="1"/>
        <v>Nyagatare_HS13_15</v>
      </c>
      <c r="C375">
        <f ca="1"/>
        <v>0.68802200000000002</v>
      </c>
      <c r="D375">
        <f ca="1"/>
        <v>0.31986999999999999</v>
      </c>
      <c r="E375">
        <f ca="1"/>
        <v>0</v>
      </c>
      <c r="F375">
        <f ca="1"/>
        <v>8.4293999999999994E-2</v>
      </c>
      <c r="G375">
        <f ca="1"/>
        <v>0.38709700000000002</v>
      </c>
      <c r="H375">
        <f ca="1"/>
        <v>0.34807399999999999</v>
      </c>
      <c r="I375">
        <f ca="1"/>
        <v>0</v>
      </c>
      <c r="J375">
        <f ca="1"/>
        <v>0</v>
      </c>
      <c r="K375">
        <f ca="1"/>
        <v>0.99445399999999995</v>
      </c>
      <c r="L375">
        <f ca="1"/>
        <v>1.4123999999999999E-2</v>
      </c>
      <c r="M375">
        <f ca="1"/>
        <v>0.72608300000000003</v>
      </c>
      <c r="N375">
        <f ca="1"/>
        <v>0.46202599999999999</v>
      </c>
      <c r="O375">
        <f ca="1"/>
        <v>0.5</v>
      </c>
      <c r="P375">
        <f ca="1"/>
        <v>0.54909300000000005</v>
      </c>
      <c r="Q375">
        <f ca="1"/>
        <v>0.55704100000000001</v>
      </c>
      <c r="R375">
        <f ca="1"/>
        <v>0.87962499999999999</v>
      </c>
      <c r="S375">
        <f ca="1"/>
        <v>0.376108</v>
      </c>
      <c r="T375">
        <f ca="1"/>
        <v>0.48</v>
      </c>
      <c r="U375">
        <f ca="1"/>
        <v>0.50151000000000001</v>
      </c>
      <c r="V375">
        <f ca="1"/>
        <v>8.9038000000000006E-2</v>
      </c>
    </row>
    <row r="376" spans="1:22" x14ac:dyDescent="0.3">
      <c r="A376" t="str">
        <f ca="1"/>
        <v>375</v>
      </c>
      <c r="B376" t="str">
        <f ca="1"/>
        <v>Nyagatare_HS14_15</v>
      </c>
      <c r="C376">
        <f ca="1"/>
        <v>0.51044599999999996</v>
      </c>
      <c r="D376">
        <f ca="1"/>
        <v>0.37715100000000001</v>
      </c>
      <c r="E376">
        <f ca="1"/>
        <v>0</v>
      </c>
      <c r="F376">
        <f ca="1"/>
        <v>0.186859</v>
      </c>
      <c r="G376">
        <f ca="1"/>
        <v>0</v>
      </c>
      <c r="H376">
        <f ca="1"/>
        <v>0.60686099999999998</v>
      </c>
      <c r="I376">
        <f ca="1"/>
        <v>0</v>
      </c>
      <c r="J376">
        <f ca="1"/>
        <v>0</v>
      </c>
      <c r="K376">
        <f ca="1"/>
        <v>0</v>
      </c>
      <c r="L376">
        <f ca="1"/>
        <v>0</v>
      </c>
      <c r="M376">
        <f ca="1"/>
        <v>0.64317400000000002</v>
      </c>
      <c r="N376">
        <f ca="1"/>
        <v>0</v>
      </c>
      <c r="O376">
        <f ca="1"/>
        <v>0</v>
      </c>
      <c r="P376">
        <f ca="1"/>
        <v>0.91147500000000004</v>
      </c>
      <c r="Q376">
        <f ca="1"/>
        <v>0</v>
      </c>
      <c r="R376">
        <f ca="1"/>
        <v>0.71770999999999996</v>
      </c>
      <c r="S376">
        <f ca="1"/>
        <v>0</v>
      </c>
      <c r="T376">
        <f ca="1"/>
        <v>0</v>
      </c>
      <c r="U376">
        <f ca="1"/>
        <v>0.91147500000000004</v>
      </c>
      <c r="V376">
        <f ca="1"/>
        <v>0</v>
      </c>
    </row>
    <row r="377" spans="1:22" x14ac:dyDescent="0.3">
      <c r="A377" t="str">
        <f ca="1"/>
        <v>376</v>
      </c>
      <c r="B377" t="str">
        <f ca="1"/>
        <v>Nyagatare_HS15_15</v>
      </c>
      <c r="C377">
        <f ca="1"/>
        <v>1.1017060000000001</v>
      </c>
      <c r="D377">
        <f ca="1"/>
        <v>0.44142300000000001</v>
      </c>
      <c r="E377">
        <f ca="1"/>
        <v>0</v>
      </c>
      <c r="F377">
        <f ca="1"/>
        <v>0.29415400000000003</v>
      </c>
      <c r="G377">
        <f ca="1"/>
        <v>0.52554699999999999</v>
      </c>
      <c r="H377">
        <f ca="1"/>
        <v>0.55057500000000004</v>
      </c>
      <c r="I377">
        <f ca="1"/>
        <v>0</v>
      </c>
      <c r="J377">
        <f ca="1"/>
        <v>0</v>
      </c>
      <c r="K377">
        <f ca="1"/>
        <v>0.99645700000000004</v>
      </c>
      <c r="L377">
        <f ca="1"/>
        <v>4.2374000000000002E-2</v>
      </c>
      <c r="M377">
        <f ca="1"/>
        <v>0.89497300000000002</v>
      </c>
      <c r="N377">
        <f ca="1"/>
        <v>0</v>
      </c>
      <c r="O377">
        <f ca="1"/>
        <v>0</v>
      </c>
      <c r="P377">
        <f ca="1"/>
        <v>0.976885</v>
      </c>
      <c r="Q377">
        <f ca="1"/>
        <v>0.81457000000000002</v>
      </c>
      <c r="R377">
        <f ca="1"/>
        <v>1.099113</v>
      </c>
      <c r="S377">
        <f ca="1"/>
        <v>0</v>
      </c>
      <c r="T377">
        <f ca="1"/>
        <v>0</v>
      </c>
      <c r="U377">
        <f ca="1"/>
        <v>0.98283799999999999</v>
      </c>
      <c r="V377">
        <f ca="1"/>
        <v>0.28879899999999997</v>
      </c>
    </row>
    <row r="378" spans="1:22" x14ac:dyDescent="0.3">
      <c r="A378" t="str">
        <f ca="1"/>
        <v>377</v>
      </c>
      <c r="B378" t="str">
        <f ca="1"/>
        <v>Nyagatare_HS16_15</v>
      </c>
      <c r="C378">
        <f ca="1"/>
        <v>1.347323</v>
      </c>
      <c r="D378">
        <f ca="1"/>
        <v>0.36202099999999998</v>
      </c>
      <c r="E378">
        <f ca="1"/>
        <v>0</v>
      </c>
      <c r="F378">
        <f ca="1"/>
        <v>0.27928599999999998</v>
      </c>
      <c r="G378">
        <f ca="1"/>
        <v>0.69172900000000004</v>
      </c>
      <c r="H378">
        <f ca="1"/>
        <v>0.71829100000000001</v>
      </c>
      <c r="I378">
        <f ca="1"/>
        <v>0</v>
      </c>
      <c r="J378">
        <f ca="1"/>
        <v>0</v>
      </c>
      <c r="K378">
        <f ca="1"/>
        <v>0.99799800000000005</v>
      </c>
      <c r="L378">
        <f ca="1"/>
        <v>7.4330999999999994E-2</v>
      </c>
      <c r="M378">
        <f ca="1"/>
        <v>0.99730099999999999</v>
      </c>
      <c r="N378">
        <f ca="1"/>
        <v>0</v>
      </c>
      <c r="O378">
        <f ca="1"/>
        <v>0</v>
      </c>
      <c r="P378">
        <f ca="1"/>
        <v>0.99369200000000002</v>
      </c>
      <c r="Q378">
        <f ca="1"/>
        <v>0.86742300000000006</v>
      </c>
      <c r="R378">
        <f ca="1"/>
        <v>1.3287340000000001</v>
      </c>
      <c r="S378">
        <f ca="1"/>
        <v>0</v>
      </c>
      <c r="T378">
        <f ca="1"/>
        <v>0</v>
      </c>
      <c r="U378">
        <f ca="1"/>
        <v>0.994394</v>
      </c>
      <c r="V378">
        <f ca="1"/>
        <v>0.407665</v>
      </c>
    </row>
    <row r="379" spans="1:22" x14ac:dyDescent="0.3">
      <c r="A379" t="str">
        <f ca="1"/>
        <v>378</v>
      </c>
      <c r="B379" t="str">
        <f ca="1"/>
        <v>Nyagatare_HS17_15</v>
      </c>
      <c r="C379">
        <f ca="1"/>
        <v>0.90819499999999997</v>
      </c>
      <c r="D379">
        <f ca="1"/>
        <v>0.30118899999999998</v>
      </c>
      <c r="E379">
        <f ca="1"/>
        <v>0</v>
      </c>
      <c r="F379">
        <f ca="1"/>
        <v>9.8130999999999996E-2</v>
      </c>
      <c r="G379">
        <f ca="1"/>
        <v>0.4375</v>
      </c>
      <c r="H379">
        <f ca="1"/>
        <v>0.51882600000000001</v>
      </c>
      <c r="I379">
        <f ca="1"/>
        <v>0</v>
      </c>
      <c r="J379">
        <f ca="1"/>
        <v>0</v>
      </c>
      <c r="K379">
        <f ca="1"/>
        <v>0.97865999999999997</v>
      </c>
      <c r="L379">
        <f ca="1"/>
        <v>5.0174000000000003E-2</v>
      </c>
      <c r="M379">
        <f ca="1"/>
        <v>0.86545700000000003</v>
      </c>
      <c r="N379">
        <f ca="1"/>
        <v>0</v>
      </c>
      <c r="O379">
        <f ca="1"/>
        <v>0</v>
      </c>
      <c r="P379">
        <f ca="1"/>
        <v>0.95904699999999998</v>
      </c>
      <c r="Q379">
        <f ca="1"/>
        <v>0.77048799999999995</v>
      </c>
      <c r="R379">
        <f ca="1"/>
        <v>1.0606139999999999</v>
      </c>
      <c r="S379">
        <f ca="1"/>
        <v>0</v>
      </c>
      <c r="T379">
        <f ca="1"/>
        <v>0</v>
      </c>
      <c r="U379">
        <f ca="1"/>
        <v>0.964897</v>
      </c>
      <c r="V379">
        <f ca="1"/>
        <v>0.230682</v>
      </c>
    </row>
    <row r="380" spans="1:22" x14ac:dyDescent="0.3">
      <c r="A380" t="str">
        <f ca="1"/>
        <v>379</v>
      </c>
      <c r="B380" t="str">
        <f ca="1"/>
        <v>Nyagatare_HS18_15</v>
      </c>
      <c r="C380">
        <f ca="1"/>
        <v>0.190943</v>
      </c>
      <c r="D380">
        <f ca="1"/>
        <v>0</v>
      </c>
      <c r="E380">
        <f ca="1"/>
        <v>0</v>
      </c>
      <c r="F380">
        <f ca="1"/>
        <v>0.86368699999999998</v>
      </c>
      <c r="G380">
        <f ca="1"/>
        <v>2.2221999999999999E-2</v>
      </c>
      <c r="H380">
        <f ca="1"/>
        <v>0.49760500000000002</v>
      </c>
      <c r="I380">
        <f ca="1"/>
        <v>0</v>
      </c>
      <c r="J380">
        <f ca="1"/>
        <v>0</v>
      </c>
      <c r="K380">
        <f ca="1"/>
        <v>0</v>
      </c>
      <c r="L380">
        <f ca="1"/>
        <v>0</v>
      </c>
      <c r="M380">
        <f ca="1"/>
        <v>0.34026099999999998</v>
      </c>
      <c r="N380">
        <f ca="1"/>
        <v>0.60330700000000004</v>
      </c>
      <c r="O380">
        <f ca="1"/>
        <v>0.64</v>
      </c>
      <c r="P380">
        <f ca="1"/>
        <v>0</v>
      </c>
      <c r="Q380">
        <f ca="1"/>
        <v>0</v>
      </c>
      <c r="R380">
        <f ca="1"/>
        <v>0.35217100000000001</v>
      </c>
      <c r="S380">
        <f ca="1"/>
        <v>0.56518500000000005</v>
      </c>
      <c r="T380">
        <f ca="1"/>
        <v>0.63</v>
      </c>
      <c r="U380">
        <f ca="1"/>
        <v>0</v>
      </c>
      <c r="V380">
        <f ca="1"/>
        <v>0</v>
      </c>
    </row>
    <row r="381" spans="1:22" x14ac:dyDescent="0.3">
      <c r="A381" t="str">
        <f ca="1"/>
        <v>380</v>
      </c>
      <c r="B381" t="str">
        <f ca="1"/>
        <v>Nyagatare_HS19_15</v>
      </c>
      <c r="C381">
        <f ca="1"/>
        <v>0.548848</v>
      </c>
      <c r="D381">
        <f ca="1"/>
        <v>0.43898300000000001</v>
      </c>
      <c r="E381">
        <f ca="1"/>
        <v>0</v>
      </c>
      <c r="F381">
        <f ca="1"/>
        <v>0.29061100000000001</v>
      </c>
      <c r="G381">
        <f ca="1"/>
        <v>0.21710499999999999</v>
      </c>
      <c r="H381">
        <f ca="1"/>
        <v>1.116193</v>
      </c>
      <c r="I381">
        <f ca="1"/>
        <v>0</v>
      </c>
      <c r="J381">
        <f ca="1"/>
        <v>0</v>
      </c>
      <c r="K381">
        <f ca="1"/>
        <v>0</v>
      </c>
      <c r="L381">
        <f ca="1"/>
        <v>0</v>
      </c>
      <c r="M381">
        <f ca="1"/>
        <v>0.61208300000000004</v>
      </c>
      <c r="N381">
        <f ca="1"/>
        <v>0</v>
      </c>
      <c r="O381">
        <f ca="1"/>
        <v>0</v>
      </c>
      <c r="P381">
        <f ca="1"/>
        <v>0.85522799999999999</v>
      </c>
      <c r="Q381">
        <f ca="1"/>
        <v>0.70234099999999999</v>
      </c>
      <c r="R381">
        <f ca="1"/>
        <v>0.68856700000000004</v>
      </c>
      <c r="S381">
        <f ca="1"/>
        <v>0</v>
      </c>
      <c r="T381">
        <f ca="1"/>
        <v>0</v>
      </c>
      <c r="U381">
        <f ca="1"/>
        <v>0.88638499999999998</v>
      </c>
      <c r="V381">
        <f ca="1"/>
        <v>0.23078199999999999</v>
      </c>
    </row>
    <row r="382" spans="1:22" x14ac:dyDescent="0.3">
      <c r="A382" t="str">
        <f ca="1"/>
        <v>381</v>
      </c>
      <c r="B382" t="str">
        <f ca="1"/>
        <v>Nyagatare_HS1_15</v>
      </c>
      <c r="C382">
        <f ca="1"/>
        <v>1.1915910000000001</v>
      </c>
      <c r="D382">
        <f ca="1"/>
        <v>0.28375299999999998</v>
      </c>
      <c r="E382">
        <f ca="1"/>
        <v>0</v>
      </c>
      <c r="F382">
        <f ca="1"/>
        <v>9.1864000000000001E-2</v>
      </c>
      <c r="G382">
        <f ca="1"/>
        <v>0</v>
      </c>
      <c r="H382">
        <f ca="1"/>
        <v>1.838247</v>
      </c>
      <c r="I382">
        <f ca="1"/>
        <v>0</v>
      </c>
      <c r="J382">
        <f ca="1"/>
        <v>0</v>
      </c>
      <c r="K382">
        <f ca="1"/>
        <v>0</v>
      </c>
      <c r="L382">
        <f ca="1"/>
        <v>0</v>
      </c>
      <c r="M382">
        <f ca="1"/>
        <v>0.66417899999999996</v>
      </c>
      <c r="N382">
        <f ca="1"/>
        <v>0</v>
      </c>
      <c r="O382">
        <f ca="1"/>
        <v>0</v>
      </c>
      <c r="P382">
        <f ca="1"/>
        <v>0.99747300000000005</v>
      </c>
      <c r="Q382">
        <f ca="1"/>
        <v>0.25421100000000002</v>
      </c>
      <c r="R382">
        <f ca="1"/>
        <v>0.80057</v>
      </c>
      <c r="S382">
        <f ca="1"/>
        <v>0</v>
      </c>
      <c r="T382">
        <f ca="1"/>
        <v>0</v>
      </c>
      <c r="U382">
        <f ca="1"/>
        <v>0.99800299999999997</v>
      </c>
      <c r="V382">
        <f ca="1"/>
        <v>8.3510000000000001E-2</v>
      </c>
    </row>
    <row r="383" spans="1:22" x14ac:dyDescent="0.3">
      <c r="A383" t="str">
        <f ca="1"/>
        <v>382</v>
      </c>
      <c r="B383" t="str">
        <f ca="1"/>
        <v>Nyagatare_HS20_15</v>
      </c>
      <c r="C383">
        <f ca="1"/>
        <v>0.25775999999999999</v>
      </c>
      <c r="D383">
        <f ca="1"/>
        <v>0.484626</v>
      </c>
      <c r="E383">
        <f ca="1"/>
        <v>0</v>
      </c>
      <c r="F383">
        <f ca="1"/>
        <v>0.33264899999999997</v>
      </c>
      <c r="G383">
        <f ca="1"/>
        <v>5.7971000000000002E-2</v>
      </c>
      <c r="H383">
        <f ca="1"/>
        <v>0.102766</v>
      </c>
      <c r="I383">
        <f ca="1"/>
        <v>1.1243179999999999</v>
      </c>
      <c r="J383">
        <f ca="1"/>
        <v>0.54</v>
      </c>
      <c r="K383">
        <f ca="1"/>
        <v>0</v>
      </c>
      <c r="L383">
        <f ca="1"/>
        <v>0</v>
      </c>
      <c r="M383">
        <f ca="1"/>
        <v>0.244591</v>
      </c>
      <c r="N383">
        <f ca="1"/>
        <v>0.50911899999999999</v>
      </c>
      <c r="O383">
        <f ca="1"/>
        <v>0.52</v>
      </c>
      <c r="P383">
        <f ca="1"/>
        <v>0</v>
      </c>
      <c r="Q383">
        <f ca="1"/>
        <v>0</v>
      </c>
      <c r="R383">
        <f ca="1"/>
        <v>0.26985700000000001</v>
      </c>
      <c r="S383">
        <f ca="1"/>
        <v>0.46035399999999999</v>
      </c>
      <c r="T383">
        <f ca="1"/>
        <v>0.51</v>
      </c>
      <c r="U383">
        <f ca="1"/>
        <v>0</v>
      </c>
      <c r="V383">
        <f ca="1"/>
        <v>0</v>
      </c>
    </row>
    <row r="384" spans="1:22" x14ac:dyDescent="0.3">
      <c r="A384" t="str">
        <f ca="1"/>
        <v>383</v>
      </c>
      <c r="B384" t="str">
        <f ca="1"/>
        <v>Nyagatare_HS21_15</v>
      </c>
      <c r="C384">
        <f ca="1"/>
        <v>0.27147199999999999</v>
      </c>
      <c r="D384">
        <f ca="1"/>
        <v>0</v>
      </c>
      <c r="E384">
        <f ca="1"/>
        <v>0</v>
      </c>
      <c r="F384">
        <f ca="1"/>
        <v>0.24154999999999999</v>
      </c>
      <c r="G384">
        <f ca="1"/>
        <v>0</v>
      </c>
      <c r="H384">
        <f ca="1"/>
        <v>0.21374000000000001</v>
      </c>
      <c r="I384">
        <f ca="1"/>
        <v>1.2892790000000001</v>
      </c>
      <c r="J384">
        <f ca="1"/>
        <v>0.52</v>
      </c>
      <c r="K384">
        <f ca="1"/>
        <v>0</v>
      </c>
      <c r="L384">
        <f ca="1"/>
        <v>0</v>
      </c>
      <c r="M384">
        <f ca="1"/>
        <v>0.41414800000000002</v>
      </c>
      <c r="N384">
        <f ca="1"/>
        <v>0.52010599999999996</v>
      </c>
      <c r="O384">
        <f ca="1"/>
        <v>0.49</v>
      </c>
      <c r="P384">
        <f ca="1"/>
        <v>0</v>
      </c>
      <c r="Q384">
        <f ca="1"/>
        <v>0</v>
      </c>
      <c r="R384">
        <f ca="1"/>
        <v>0.42604599999999998</v>
      </c>
      <c r="S384">
        <f ca="1"/>
        <v>0.49042999999999998</v>
      </c>
      <c r="T384">
        <f ca="1"/>
        <v>0.49</v>
      </c>
      <c r="U384">
        <f ca="1"/>
        <v>0</v>
      </c>
      <c r="V384">
        <f ca="1"/>
        <v>0</v>
      </c>
    </row>
    <row r="385" spans="1:22" x14ac:dyDescent="0.3">
      <c r="A385" t="str">
        <f ca="1"/>
        <v>384</v>
      </c>
      <c r="B385" t="str">
        <f ca="1"/>
        <v>Nyagatare_HS22_15</v>
      </c>
      <c r="C385">
        <f ca="1"/>
        <v>1.16815</v>
      </c>
      <c r="D385">
        <f ca="1"/>
        <v>0.463036</v>
      </c>
      <c r="E385">
        <f ca="1"/>
        <v>0</v>
      </c>
      <c r="F385">
        <f ca="1"/>
        <v>0.20190900000000001</v>
      </c>
      <c r="G385">
        <f ca="1"/>
        <v>0.577982</v>
      </c>
      <c r="H385">
        <f ca="1"/>
        <v>0.60305299999999995</v>
      </c>
      <c r="I385">
        <f ca="1"/>
        <v>0.64232800000000001</v>
      </c>
      <c r="J385">
        <f ca="1"/>
        <v>0.56999999999999995</v>
      </c>
      <c r="K385">
        <f ca="1"/>
        <v>0.86610200000000004</v>
      </c>
      <c r="L385">
        <f ca="1"/>
        <v>0.39855299999999999</v>
      </c>
      <c r="M385">
        <f ca="1"/>
        <v>0.78159400000000001</v>
      </c>
      <c r="N385">
        <f ca="1"/>
        <v>0</v>
      </c>
      <c r="O385">
        <f ca="1"/>
        <v>0</v>
      </c>
      <c r="P385">
        <f ca="1"/>
        <v>0.90994200000000003</v>
      </c>
      <c r="Q385">
        <f ca="1"/>
        <v>0.89513600000000004</v>
      </c>
      <c r="R385">
        <f ca="1"/>
        <v>1.140452</v>
      </c>
      <c r="S385">
        <f ca="1"/>
        <v>0.42226999999999998</v>
      </c>
      <c r="T385">
        <f ca="1"/>
        <v>0.55000000000000004</v>
      </c>
      <c r="U385">
        <f ca="1"/>
        <v>0.77568499999999996</v>
      </c>
      <c r="V385">
        <f ca="1"/>
        <v>0.70672000000000001</v>
      </c>
    </row>
    <row r="386" spans="1:22" x14ac:dyDescent="0.3">
      <c r="A386" t="str">
        <f ca="1"/>
        <v>385</v>
      </c>
      <c r="B386" t="str">
        <f ca="1"/>
        <v>Nyagatare_HS23_15</v>
      </c>
      <c r="C386">
        <f ca="1"/>
        <v>0.40364</v>
      </c>
      <c r="D386">
        <f ca="1"/>
        <v>0</v>
      </c>
      <c r="E386">
        <f ca="1"/>
        <v>0</v>
      </c>
      <c r="F386">
        <f ca="1"/>
        <v>0.38173099999999999</v>
      </c>
      <c r="G386">
        <f ca="1"/>
        <v>0.26744200000000001</v>
      </c>
      <c r="H386">
        <f ca="1"/>
        <v>0.33455600000000002</v>
      </c>
      <c r="I386">
        <f ca="1"/>
        <v>0.54601100000000002</v>
      </c>
      <c r="J386">
        <f ca="1"/>
        <v>0.53</v>
      </c>
      <c r="K386">
        <f ca="1"/>
        <v>0</v>
      </c>
      <c r="L386">
        <f ca="1"/>
        <v>0</v>
      </c>
      <c r="M386">
        <f ca="1"/>
        <v>0.31239600000000001</v>
      </c>
      <c r="N386">
        <f ca="1"/>
        <v>0</v>
      </c>
      <c r="O386">
        <f ca="1"/>
        <v>0</v>
      </c>
      <c r="P386">
        <f ca="1"/>
        <v>0.94067699999999999</v>
      </c>
      <c r="Q386">
        <f ca="1"/>
        <v>0.79995099999999997</v>
      </c>
      <c r="R386">
        <f ca="1"/>
        <v>0.36255799999999999</v>
      </c>
      <c r="S386">
        <f ca="1"/>
        <v>0</v>
      </c>
      <c r="T386">
        <f ca="1"/>
        <v>0</v>
      </c>
      <c r="U386">
        <f ca="1"/>
        <v>0.96193799999999996</v>
      </c>
      <c r="V386">
        <f ca="1"/>
        <v>0.34927200000000003</v>
      </c>
    </row>
    <row r="387" spans="1:22" x14ac:dyDescent="0.3">
      <c r="A387" t="str">
        <f ca="1"/>
        <v>386</v>
      </c>
      <c r="B387" t="str">
        <f ca="1"/>
        <v>Nyagatare_HS24_15</v>
      </c>
      <c r="C387">
        <f ca="1"/>
        <v>3.2699999999999998E-4</v>
      </c>
      <c r="D387">
        <f ca="1"/>
        <v>0</v>
      </c>
      <c r="E387">
        <f ca="1"/>
        <v>0</v>
      </c>
      <c r="F387">
        <f ca="1"/>
        <v>0</v>
      </c>
      <c r="G387">
        <f ca="1"/>
        <v>0</v>
      </c>
      <c r="H387">
        <f ca="1"/>
        <v>3.2699999999999998E-4</v>
      </c>
      <c r="I387">
        <f ca="1"/>
        <v>0</v>
      </c>
      <c r="J387">
        <f ca="1"/>
        <v>0</v>
      </c>
      <c r="K387">
        <f ca="1"/>
        <v>0</v>
      </c>
      <c r="L387">
        <f ca="1"/>
        <v>0</v>
      </c>
      <c r="M387">
        <f ca="1"/>
        <v>1.683E-3</v>
      </c>
      <c r="N387">
        <f ca="1"/>
        <v>0</v>
      </c>
      <c r="O387">
        <f ca="1"/>
        <v>0</v>
      </c>
      <c r="P387">
        <f ca="1"/>
        <v>0</v>
      </c>
      <c r="Q387">
        <f ca="1"/>
        <v>0</v>
      </c>
      <c r="R387">
        <f ca="1"/>
        <v>1.683E-3</v>
      </c>
      <c r="S387">
        <f ca="1"/>
        <v>0</v>
      </c>
      <c r="T387">
        <f ca="1"/>
        <v>0</v>
      </c>
      <c r="U387">
        <f ca="1"/>
        <v>0</v>
      </c>
      <c r="V387">
        <f ca="1"/>
        <v>0</v>
      </c>
    </row>
    <row r="388" spans="1:22" x14ac:dyDescent="0.3">
      <c r="A388" t="str">
        <f ca="1"/>
        <v>387</v>
      </c>
      <c r="B388" t="str">
        <f ca="1"/>
        <v>Nyagatare_HS25_15</v>
      </c>
      <c r="C388">
        <f ca="1"/>
        <v>0.15476799999999999</v>
      </c>
      <c r="D388">
        <f ca="1"/>
        <v>0</v>
      </c>
      <c r="E388">
        <f ca="1"/>
        <v>0</v>
      </c>
      <c r="F388">
        <f ca="1"/>
        <v>0.40838200000000002</v>
      </c>
      <c r="G388">
        <f ca="1"/>
        <v>0</v>
      </c>
      <c r="H388">
        <f ca="1"/>
        <v>0.171179</v>
      </c>
      <c r="I388">
        <f ca="1"/>
        <v>0</v>
      </c>
      <c r="J388">
        <f ca="1"/>
        <v>0</v>
      </c>
      <c r="K388">
        <f ca="1"/>
        <v>0</v>
      </c>
      <c r="L388">
        <f ca="1"/>
        <v>0</v>
      </c>
      <c r="M388">
        <f ca="1"/>
        <v>0.51394799999999996</v>
      </c>
      <c r="N388">
        <f ca="1"/>
        <v>0.64417999999999997</v>
      </c>
      <c r="O388">
        <f ca="1"/>
        <v>0.48424099999999998</v>
      </c>
      <c r="P388">
        <f ca="1"/>
        <v>0</v>
      </c>
      <c r="Q388">
        <f ca="1"/>
        <v>0</v>
      </c>
      <c r="R388">
        <f ca="1"/>
        <v>0.51394799999999996</v>
      </c>
      <c r="S388">
        <f ca="1"/>
        <v>0.64417999999999997</v>
      </c>
      <c r="T388">
        <f ca="1"/>
        <v>0.48424099999999998</v>
      </c>
      <c r="U388">
        <f ca="1"/>
        <v>0</v>
      </c>
      <c r="V388">
        <f ca="1"/>
        <v>0</v>
      </c>
    </row>
    <row r="389" spans="1:22" x14ac:dyDescent="0.3">
      <c r="A389" t="str">
        <f ca="1"/>
        <v>388</v>
      </c>
      <c r="B389" t="str">
        <f ca="1"/>
        <v>Nyagatare_HS26_15</v>
      </c>
      <c r="C389">
        <f ca="1"/>
        <v>0.12345399999999999</v>
      </c>
      <c r="D389">
        <f ca="1"/>
        <v>0</v>
      </c>
      <c r="E389">
        <f ca="1"/>
        <v>0</v>
      </c>
      <c r="F389">
        <f ca="1"/>
        <v>0.82435899999999995</v>
      </c>
      <c r="G389">
        <f ca="1"/>
        <v>0</v>
      </c>
      <c r="H389">
        <f ca="1"/>
        <v>0.24082000000000001</v>
      </c>
      <c r="I389">
        <f ca="1"/>
        <v>0</v>
      </c>
      <c r="J389">
        <f ca="1"/>
        <v>0</v>
      </c>
      <c r="K389">
        <f ca="1"/>
        <v>0</v>
      </c>
      <c r="L389">
        <f ca="1"/>
        <v>0</v>
      </c>
      <c r="M389">
        <f ca="1"/>
        <v>0.55893899999999996</v>
      </c>
      <c r="N389">
        <f ca="1"/>
        <v>0.568411</v>
      </c>
      <c r="O389">
        <f ca="1"/>
        <v>0.5</v>
      </c>
      <c r="P389">
        <f ca="1"/>
        <v>0</v>
      </c>
      <c r="Q389">
        <f ca="1"/>
        <v>0</v>
      </c>
      <c r="R389">
        <f ca="1"/>
        <v>0.55893899999999996</v>
      </c>
      <c r="S389">
        <f ca="1"/>
        <v>0.568411</v>
      </c>
      <c r="T389">
        <f ca="1"/>
        <v>0.5</v>
      </c>
      <c r="U389">
        <f ca="1"/>
        <v>0</v>
      </c>
      <c r="V389">
        <f ca="1"/>
        <v>0</v>
      </c>
    </row>
    <row r="390" spans="1:22" x14ac:dyDescent="0.3">
      <c r="A390" t="str">
        <f ca="1"/>
        <v>389</v>
      </c>
      <c r="B390" t="str">
        <f ca="1"/>
        <v>Nyagatare_HS27_15</v>
      </c>
      <c r="C390">
        <f ca="1"/>
        <v>0.19031600000000001</v>
      </c>
      <c r="D390">
        <f ca="1"/>
        <v>0.4667</v>
      </c>
      <c r="E390">
        <f ca="1"/>
        <v>0</v>
      </c>
      <c r="F390">
        <f ca="1"/>
        <v>0</v>
      </c>
      <c r="G390">
        <f ca="1"/>
        <v>0</v>
      </c>
      <c r="H390">
        <f ca="1"/>
        <v>0.19269700000000001</v>
      </c>
      <c r="I390">
        <f ca="1"/>
        <v>0</v>
      </c>
      <c r="J390">
        <f ca="1"/>
        <v>0</v>
      </c>
      <c r="K390">
        <f ca="1"/>
        <v>0</v>
      </c>
      <c r="L390">
        <f ca="1"/>
        <v>0</v>
      </c>
      <c r="M390">
        <f ca="1"/>
        <v>0.48135</v>
      </c>
      <c r="N390">
        <f ca="1"/>
        <v>0.54983099999999996</v>
      </c>
      <c r="O390">
        <f ca="1"/>
        <v>0.5</v>
      </c>
      <c r="P390">
        <f ca="1"/>
        <v>0</v>
      </c>
      <c r="Q390">
        <f ca="1"/>
        <v>0</v>
      </c>
      <c r="R390">
        <f ca="1"/>
        <v>0.48135</v>
      </c>
      <c r="S390">
        <f ca="1"/>
        <v>0.54983099999999996</v>
      </c>
      <c r="T390">
        <f ca="1"/>
        <v>0.5</v>
      </c>
      <c r="U390">
        <f ca="1"/>
        <v>0</v>
      </c>
      <c r="V390">
        <f ca="1"/>
        <v>0</v>
      </c>
    </row>
    <row r="391" spans="1:22" x14ac:dyDescent="0.3">
      <c r="A391" t="str">
        <f ca="1"/>
        <v>390</v>
      </c>
      <c r="B391" t="str">
        <f ca="1"/>
        <v>Nyagatare_HS28_15</v>
      </c>
      <c r="C391">
        <f ca="1"/>
        <v>1.1460000000000001E-3</v>
      </c>
      <c r="D391">
        <f ca="1"/>
        <v>0</v>
      </c>
      <c r="E391">
        <f ca="1"/>
        <v>0</v>
      </c>
      <c r="F391">
        <f ca="1"/>
        <v>0</v>
      </c>
      <c r="G391">
        <f ca="1"/>
        <v>0</v>
      </c>
      <c r="H391">
        <f ca="1"/>
        <v>1.1460000000000001E-3</v>
      </c>
      <c r="I391">
        <f ca="1"/>
        <v>0</v>
      </c>
      <c r="J391">
        <f ca="1"/>
        <v>0</v>
      </c>
      <c r="K391">
        <f ca="1"/>
        <v>0</v>
      </c>
      <c r="L391">
        <f ca="1"/>
        <v>0</v>
      </c>
      <c r="M391">
        <f ca="1"/>
        <v>1.0604000000000001E-2</v>
      </c>
      <c r="N391">
        <f ca="1"/>
        <v>0</v>
      </c>
      <c r="O391">
        <f ca="1"/>
        <v>0</v>
      </c>
      <c r="P391">
        <f ca="1"/>
        <v>0</v>
      </c>
      <c r="Q391">
        <f ca="1"/>
        <v>0</v>
      </c>
      <c r="R391">
        <f ca="1"/>
        <v>1.0604000000000001E-2</v>
      </c>
      <c r="S391">
        <f ca="1"/>
        <v>0</v>
      </c>
      <c r="T391">
        <f ca="1"/>
        <v>0</v>
      </c>
      <c r="U391">
        <f ca="1"/>
        <v>0</v>
      </c>
      <c r="V391">
        <f ca="1"/>
        <v>0</v>
      </c>
    </row>
    <row r="392" spans="1:22" x14ac:dyDescent="0.3">
      <c r="A392" t="str">
        <f ca="1"/>
        <v>391</v>
      </c>
      <c r="B392" t="str">
        <f ca="1"/>
        <v>Nyagatare_HS2_15</v>
      </c>
      <c r="C392">
        <f ca="1"/>
        <v>0.689747</v>
      </c>
      <c r="D392">
        <f ca="1"/>
        <v>0.42024699999999998</v>
      </c>
      <c r="E392">
        <f ca="1"/>
        <v>5.2830000000000004E-3</v>
      </c>
      <c r="F392">
        <f ca="1"/>
        <v>0.207957</v>
      </c>
      <c r="G392">
        <f ca="1"/>
        <v>0.15</v>
      </c>
      <c r="H392">
        <f ca="1"/>
        <v>0.32077499999999998</v>
      </c>
      <c r="I392">
        <f ca="1"/>
        <v>0</v>
      </c>
      <c r="J392">
        <f ca="1"/>
        <v>0</v>
      </c>
      <c r="K392">
        <f ca="1"/>
        <v>0.99639299999999997</v>
      </c>
      <c r="L392">
        <f ca="1"/>
        <v>1.2305999999999999E-2</v>
      </c>
      <c r="M392">
        <f ca="1"/>
        <v>0.53039999999999998</v>
      </c>
      <c r="N392">
        <f ca="1"/>
        <v>0</v>
      </c>
      <c r="O392">
        <f ca="1"/>
        <v>0</v>
      </c>
      <c r="P392">
        <f ca="1"/>
        <v>0.99790500000000004</v>
      </c>
      <c r="Q392">
        <f ca="1"/>
        <v>0.56018999999999997</v>
      </c>
      <c r="R392">
        <f ca="1"/>
        <v>0.65803800000000001</v>
      </c>
      <c r="S392">
        <f ca="1"/>
        <v>0</v>
      </c>
      <c r="T392">
        <f ca="1"/>
        <v>0</v>
      </c>
      <c r="U392">
        <f ca="1"/>
        <v>0.99699099999999996</v>
      </c>
      <c r="V392">
        <f ca="1"/>
        <v>0.11317099999999999</v>
      </c>
    </row>
    <row r="393" spans="1:22" x14ac:dyDescent="0.3">
      <c r="A393" t="str">
        <f ca="1"/>
        <v>392</v>
      </c>
      <c r="B393" t="str">
        <f ca="1"/>
        <v>Nyagatare_HS3_15</v>
      </c>
      <c r="C393">
        <f ca="1"/>
        <v>1.656129</v>
      </c>
      <c r="D393">
        <f ca="1"/>
        <v>0.57345900000000005</v>
      </c>
      <c r="E393">
        <f ca="1"/>
        <v>8.1279999999999998E-3</v>
      </c>
      <c r="F393">
        <f ca="1"/>
        <v>0.61593500000000001</v>
      </c>
      <c r="G393">
        <f ca="1"/>
        <v>0.65167699999999995</v>
      </c>
      <c r="H393">
        <f ca="1"/>
        <v>0.55469000000000002</v>
      </c>
      <c r="I393">
        <f ca="1"/>
        <v>0</v>
      </c>
      <c r="J393">
        <f ca="1"/>
        <v>0</v>
      </c>
      <c r="K393">
        <f ca="1"/>
        <v>0.99695199999999995</v>
      </c>
      <c r="L393">
        <f ca="1"/>
        <v>0.232873</v>
      </c>
      <c r="M393">
        <f ca="1"/>
        <v>0.81052500000000005</v>
      </c>
      <c r="N393">
        <f ca="1"/>
        <v>0</v>
      </c>
      <c r="O393">
        <f ca="1"/>
        <v>0</v>
      </c>
      <c r="P393">
        <f ca="1"/>
        <v>0.98017900000000002</v>
      </c>
      <c r="Q393">
        <f ca="1"/>
        <v>0.75683400000000001</v>
      </c>
      <c r="R393">
        <f ca="1"/>
        <v>1.0476890000000001</v>
      </c>
      <c r="S393">
        <f ca="1"/>
        <v>0</v>
      </c>
      <c r="T393">
        <f ca="1"/>
        <v>0</v>
      </c>
      <c r="U393">
        <f ca="1"/>
        <v>0.98544600000000004</v>
      </c>
      <c r="V393">
        <f ca="1"/>
        <v>0.44676199999999999</v>
      </c>
    </row>
    <row r="394" spans="1:22" x14ac:dyDescent="0.3">
      <c r="A394" t="str">
        <f ca="1"/>
        <v>393</v>
      </c>
      <c r="B394" t="str">
        <f ca="1"/>
        <v>Nyagatare_HS4_15</v>
      </c>
      <c r="C394">
        <f ca="1"/>
        <v>0.186141</v>
      </c>
      <c r="D394">
        <f ca="1"/>
        <v>0</v>
      </c>
      <c r="E394">
        <f ca="1"/>
        <v>0</v>
      </c>
      <c r="F394">
        <f ca="1"/>
        <v>0.840055</v>
      </c>
      <c r="G394">
        <f ca="1"/>
        <v>0</v>
      </c>
      <c r="H394">
        <f ca="1"/>
        <v>0.18875600000000001</v>
      </c>
      <c r="I394">
        <f ca="1"/>
        <v>0</v>
      </c>
      <c r="J394">
        <f ca="1"/>
        <v>0</v>
      </c>
      <c r="K394">
        <f ca="1"/>
        <v>0.78083100000000005</v>
      </c>
      <c r="L394">
        <f ca="1"/>
        <v>0</v>
      </c>
      <c r="M394">
        <f ca="1"/>
        <v>1.286815</v>
      </c>
      <c r="N394">
        <f ca="1"/>
        <v>0</v>
      </c>
      <c r="O394">
        <f ca="1"/>
        <v>0</v>
      </c>
      <c r="P394">
        <f ca="1"/>
        <v>0</v>
      </c>
      <c r="Q394">
        <f ca="1"/>
        <v>0</v>
      </c>
      <c r="R394">
        <f ca="1"/>
        <v>1.286815</v>
      </c>
      <c r="S394">
        <f ca="1"/>
        <v>0</v>
      </c>
      <c r="T394">
        <f ca="1"/>
        <v>0</v>
      </c>
      <c r="U394">
        <f ca="1"/>
        <v>0</v>
      </c>
      <c r="V394">
        <f ca="1"/>
        <v>0</v>
      </c>
    </row>
    <row r="395" spans="1:22" x14ac:dyDescent="0.3">
      <c r="A395" t="str">
        <f ca="1"/>
        <v>394</v>
      </c>
      <c r="B395" t="str">
        <f ca="1"/>
        <v>Nyagatare_HS5_15</v>
      </c>
      <c r="C395">
        <f ca="1"/>
        <v>0.47153800000000001</v>
      </c>
      <c r="D395">
        <f ca="1"/>
        <v>0</v>
      </c>
      <c r="E395">
        <f ca="1"/>
        <v>0</v>
      </c>
      <c r="F395">
        <f ca="1"/>
        <v>0.71874000000000005</v>
      </c>
      <c r="G395">
        <f ca="1"/>
        <v>0.379888</v>
      </c>
      <c r="H395">
        <f ca="1"/>
        <v>0.205289</v>
      </c>
      <c r="I395">
        <f ca="1"/>
        <v>0</v>
      </c>
      <c r="J395">
        <f ca="1"/>
        <v>0</v>
      </c>
      <c r="K395">
        <f ca="1"/>
        <v>0.97597500000000004</v>
      </c>
      <c r="L395">
        <f ca="1"/>
        <v>2.7241999999999999E-2</v>
      </c>
      <c r="M395">
        <f ca="1"/>
        <v>0.35963699999999998</v>
      </c>
      <c r="N395">
        <f ca="1"/>
        <v>0</v>
      </c>
      <c r="O395">
        <f ca="1"/>
        <v>0</v>
      </c>
      <c r="P395">
        <f ca="1"/>
        <v>0.94786499999999996</v>
      </c>
      <c r="Q395">
        <f ca="1"/>
        <v>0.25219599999999998</v>
      </c>
      <c r="R395">
        <f ca="1"/>
        <v>0.415101</v>
      </c>
      <c r="S395">
        <f ca="1"/>
        <v>0</v>
      </c>
      <c r="T395">
        <f ca="1"/>
        <v>0</v>
      </c>
      <c r="U395">
        <f ca="1"/>
        <v>0.953511</v>
      </c>
      <c r="V395">
        <f ca="1"/>
        <v>0.13158400000000001</v>
      </c>
    </row>
    <row r="396" spans="1:22" x14ac:dyDescent="0.3">
      <c r="A396" t="str">
        <f ca="1"/>
        <v>395</v>
      </c>
      <c r="B396" t="str">
        <f ca="1"/>
        <v>Nyagatare_HS6_15</v>
      </c>
      <c r="C396">
        <f ca="1"/>
        <v>0.84061399999999997</v>
      </c>
      <c r="D396">
        <f ca="1"/>
        <v>0.53789399999999998</v>
      </c>
      <c r="E396">
        <f ca="1"/>
        <v>2.7607E-2</v>
      </c>
      <c r="F396">
        <f ca="1"/>
        <v>0.289354</v>
      </c>
      <c r="G396">
        <f ca="1"/>
        <v>0.90344800000000003</v>
      </c>
      <c r="H396">
        <f ca="1"/>
        <v>0.47109200000000001</v>
      </c>
      <c r="I396">
        <f ca="1"/>
        <v>0</v>
      </c>
      <c r="J396">
        <f ca="1"/>
        <v>0</v>
      </c>
      <c r="K396">
        <f ca="1"/>
        <v>0.98451299999999997</v>
      </c>
      <c r="L396">
        <f ca="1"/>
        <v>0.128636</v>
      </c>
      <c r="M396">
        <f ca="1"/>
        <v>0.75375499999999995</v>
      </c>
      <c r="N396">
        <f ca="1"/>
        <v>0</v>
      </c>
      <c r="O396">
        <f ca="1"/>
        <v>0</v>
      </c>
      <c r="P396">
        <f ca="1"/>
        <v>0.91821799999999998</v>
      </c>
      <c r="Q396">
        <f ca="1"/>
        <v>0.88660300000000003</v>
      </c>
      <c r="R396">
        <f ca="1"/>
        <v>0.94276899999999997</v>
      </c>
      <c r="S396">
        <f ca="1"/>
        <v>0</v>
      </c>
      <c r="T396">
        <f ca="1"/>
        <v>0</v>
      </c>
      <c r="U396">
        <f ca="1"/>
        <v>0.95243800000000001</v>
      </c>
      <c r="V396">
        <f ca="1"/>
        <v>0.46913500000000002</v>
      </c>
    </row>
    <row r="397" spans="1:22" x14ac:dyDescent="0.3">
      <c r="A397" t="str">
        <f ca="1"/>
        <v>396</v>
      </c>
      <c r="B397" t="str">
        <f ca="1"/>
        <v>Nyagatare_HS7_15</v>
      </c>
      <c r="C397">
        <f ca="1"/>
        <v>0.92796000000000001</v>
      </c>
      <c r="D397">
        <f ca="1"/>
        <v>0.41018300000000002</v>
      </c>
      <c r="E397">
        <f ca="1"/>
        <v>0.02</v>
      </c>
      <c r="F397">
        <f ca="1"/>
        <v>0.48802000000000001</v>
      </c>
      <c r="G397">
        <f ca="1"/>
        <v>0.25</v>
      </c>
      <c r="H397">
        <f ca="1"/>
        <v>0.31788499999999997</v>
      </c>
      <c r="I397">
        <f ca="1"/>
        <v>0</v>
      </c>
      <c r="J397">
        <f ca="1"/>
        <v>0</v>
      </c>
      <c r="K397">
        <f ca="1"/>
        <v>0.997305</v>
      </c>
      <c r="L397">
        <f ca="1"/>
        <v>0.33435799999999999</v>
      </c>
      <c r="M397">
        <f ca="1"/>
        <v>0.51885400000000004</v>
      </c>
      <c r="N397">
        <f ca="1"/>
        <v>0</v>
      </c>
      <c r="O397">
        <f ca="1"/>
        <v>0</v>
      </c>
      <c r="P397">
        <f ca="1"/>
        <v>0.98148199999999997</v>
      </c>
      <c r="Q397">
        <f ca="1"/>
        <v>0.15729000000000001</v>
      </c>
      <c r="R397">
        <f ca="1"/>
        <v>0.66294299999999995</v>
      </c>
      <c r="S397">
        <f ca="1"/>
        <v>0</v>
      </c>
      <c r="T397">
        <f ca="1"/>
        <v>0</v>
      </c>
      <c r="U397">
        <f ca="1"/>
        <v>0.98310200000000003</v>
      </c>
      <c r="V397">
        <f ca="1"/>
        <v>0.214753</v>
      </c>
    </row>
    <row r="398" spans="1:22" x14ac:dyDescent="0.3">
      <c r="A398" t="str">
        <f ca="1"/>
        <v>397</v>
      </c>
      <c r="B398" t="str">
        <f ca="1"/>
        <v>Nyagatare_HS8_15</v>
      </c>
      <c r="C398">
        <f ca="1"/>
        <v>0.16467999999999999</v>
      </c>
      <c r="D398">
        <f ca="1"/>
        <v>0</v>
      </c>
      <c r="E398">
        <f ca="1"/>
        <v>0</v>
      </c>
      <c r="F398">
        <f ca="1"/>
        <v>0.82821900000000004</v>
      </c>
      <c r="G398">
        <f ca="1"/>
        <v>0</v>
      </c>
      <c r="H398">
        <f ca="1"/>
        <v>0.18192900000000001</v>
      </c>
      <c r="I398">
        <f ca="1"/>
        <v>0</v>
      </c>
      <c r="J398">
        <f ca="1"/>
        <v>0</v>
      </c>
      <c r="K398">
        <f ca="1"/>
        <v>0.82851699999999995</v>
      </c>
      <c r="L398">
        <f ca="1"/>
        <v>0</v>
      </c>
      <c r="M398">
        <f ca="1"/>
        <v>0.34389199999999998</v>
      </c>
      <c r="N398">
        <f ca="1"/>
        <v>0</v>
      </c>
      <c r="O398">
        <f ca="1"/>
        <v>0</v>
      </c>
      <c r="P398">
        <f ca="1"/>
        <v>0.82151600000000002</v>
      </c>
      <c r="Q398">
        <f ca="1"/>
        <v>0</v>
      </c>
      <c r="R398">
        <f ca="1"/>
        <v>0.36059600000000003</v>
      </c>
      <c r="S398">
        <f ca="1"/>
        <v>0</v>
      </c>
      <c r="T398">
        <f ca="1"/>
        <v>0</v>
      </c>
      <c r="U398">
        <f ca="1"/>
        <v>0.82151600000000002</v>
      </c>
      <c r="V398">
        <f ca="1"/>
        <v>0</v>
      </c>
    </row>
    <row r="399" spans="1:22" x14ac:dyDescent="0.3">
      <c r="A399" t="str">
        <f ca="1"/>
        <v>398</v>
      </c>
      <c r="B399" t="str">
        <f ca="1"/>
        <v>Nyagatare_HS9_15</v>
      </c>
      <c r="C399">
        <f ca="1"/>
        <v>0.48972199999999999</v>
      </c>
      <c r="D399">
        <f ca="1"/>
        <v>1.013242</v>
      </c>
      <c r="E399">
        <f ca="1"/>
        <v>0</v>
      </c>
      <c r="F399">
        <f ca="1"/>
        <v>0.38813700000000001</v>
      </c>
      <c r="G399">
        <f ca="1"/>
        <v>0.114943</v>
      </c>
      <c r="H399">
        <f ca="1"/>
        <v>0.78915800000000003</v>
      </c>
      <c r="I399">
        <f ca="1"/>
        <v>0</v>
      </c>
      <c r="J399">
        <f ca="1"/>
        <v>0</v>
      </c>
      <c r="K399">
        <f ca="1"/>
        <v>0</v>
      </c>
      <c r="L399">
        <f ca="1"/>
        <v>0</v>
      </c>
      <c r="M399">
        <f ca="1"/>
        <v>0.58476600000000001</v>
      </c>
      <c r="N399">
        <f ca="1"/>
        <v>0</v>
      </c>
      <c r="O399">
        <f ca="1"/>
        <v>0</v>
      </c>
      <c r="P399">
        <f ca="1"/>
        <v>0.90859000000000001</v>
      </c>
      <c r="Q399">
        <f ca="1"/>
        <v>0.53346800000000005</v>
      </c>
      <c r="R399">
        <f ca="1"/>
        <v>0.79681800000000003</v>
      </c>
      <c r="S399">
        <f ca="1"/>
        <v>0.44381300000000001</v>
      </c>
      <c r="T399">
        <f ca="1"/>
        <v>0.5</v>
      </c>
      <c r="U399">
        <f ca="1"/>
        <v>0.45072099999999998</v>
      </c>
      <c r="V399">
        <f ca="1"/>
        <v>0</v>
      </c>
    </row>
    <row r="400" spans="1:22" x14ac:dyDescent="0.3">
      <c r="A400" t="str">
        <f ca="1"/>
        <v>399</v>
      </c>
      <c r="B400" t="str">
        <f ca="1"/>
        <v>Nyamagabe_HS0_15</v>
      </c>
      <c r="C400">
        <f ca="1"/>
        <v>0.70349399999999995</v>
      </c>
      <c r="D400">
        <f ca="1"/>
        <v>0</v>
      </c>
      <c r="E400">
        <f ca="1"/>
        <v>0</v>
      </c>
      <c r="F400">
        <f ca="1"/>
        <v>0.13564799999999999</v>
      </c>
      <c r="G400">
        <f ca="1"/>
        <v>0.13750000000000001</v>
      </c>
      <c r="H400">
        <f ca="1"/>
        <v>1.0758559999999999</v>
      </c>
      <c r="I400">
        <f ca="1"/>
        <v>0</v>
      </c>
      <c r="J400">
        <f ca="1"/>
        <v>0</v>
      </c>
      <c r="K400">
        <f ca="1"/>
        <v>0</v>
      </c>
      <c r="L400">
        <f ca="1"/>
        <v>0</v>
      </c>
      <c r="M400">
        <f ca="1"/>
        <v>0.50336099999999995</v>
      </c>
      <c r="N400">
        <f ca="1"/>
        <v>0</v>
      </c>
      <c r="O400">
        <f ca="1"/>
        <v>0</v>
      </c>
      <c r="P400">
        <f ca="1"/>
        <v>0.99154100000000001</v>
      </c>
      <c r="Q400">
        <f ca="1"/>
        <v>0.67600199999999999</v>
      </c>
      <c r="R400">
        <f ca="1"/>
        <v>0.60246999999999995</v>
      </c>
      <c r="S400">
        <f ca="1"/>
        <v>0</v>
      </c>
      <c r="T400">
        <f ca="1"/>
        <v>0</v>
      </c>
      <c r="U400">
        <f ca="1"/>
        <v>0.991201</v>
      </c>
      <c r="V400">
        <f ca="1"/>
        <v>0.189417</v>
      </c>
    </row>
    <row r="401" spans="1:22" x14ac:dyDescent="0.3">
      <c r="A401" t="str">
        <f ca="1"/>
        <v>400</v>
      </c>
      <c r="B401" t="str">
        <f ca="1"/>
        <v>Nyamagabe_HS10_15</v>
      </c>
      <c r="C401">
        <f ca="1"/>
        <v>0.430002</v>
      </c>
      <c r="D401">
        <f ca="1"/>
        <v>0</v>
      </c>
      <c r="E401">
        <f ca="1"/>
        <v>0</v>
      </c>
      <c r="F401">
        <f ca="1"/>
        <v>0.25060500000000002</v>
      </c>
      <c r="G401">
        <f ca="1"/>
        <v>0</v>
      </c>
      <c r="H401">
        <f ca="1"/>
        <v>0.50553800000000004</v>
      </c>
      <c r="I401">
        <f ca="1"/>
        <v>0</v>
      </c>
      <c r="J401">
        <f ca="1"/>
        <v>0</v>
      </c>
      <c r="K401">
        <f ca="1"/>
        <v>0</v>
      </c>
      <c r="L401">
        <f ca="1"/>
        <v>0</v>
      </c>
      <c r="M401">
        <f ca="1"/>
        <v>0.35160799999999998</v>
      </c>
      <c r="N401">
        <f ca="1"/>
        <v>0</v>
      </c>
      <c r="O401">
        <f ca="1"/>
        <v>0</v>
      </c>
      <c r="P401">
        <f ca="1"/>
        <v>0.99577800000000005</v>
      </c>
      <c r="Q401">
        <f ca="1"/>
        <v>3.686E-3</v>
      </c>
      <c r="R401">
        <f ca="1"/>
        <v>0.41599000000000003</v>
      </c>
      <c r="S401">
        <f ca="1"/>
        <v>0</v>
      </c>
      <c r="T401">
        <f ca="1"/>
        <v>0</v>
      </c>
      <c r="U401">
        <f ca="1"/>
        <v>0.99578</v>
      </c>
      <c r="V401">
        <f ca="1"/>
        <v>4.5899999999999999E-4</v>
      </c>
    </row>
    <row r="402" spans="1:22" x14ac:dyDescent="0.3">
      <c r="A402" t="str">
        <f ca="1"/>
        <v>401</v>
      </c>
      <c r="B402" t="str">
        <f ca="1"/>
        <v>Nyamagabe_HS11_15</v>
      </c>
      <c r="C402">
        <f ca="1"/>
        <v>0.31646099999999999</v>
      </c>
      <c r="D402">
        <f ca="1"/>
        <v>0</v>
      </c>
      <c r="E402">
        <f ca="1"/>
        <v>0</v>
      </c>
      <c r="F402">
        <f ca="1"/>
        <v>0.26854299999999998</v>
      </c>
      <c r="G402">
        <f ca="1"/>
        <v>0</v>
      </c>
      <c r="H402">
        <f ca="1"/>
        <v>0.343887</v>
      </c>
      <c r="I402">
        <f ca="1"/>
        <v>0</v>
      </c>
      <c r="J402">
        <f ca="1"/>
        <v>0</v>
      </c>
      <c r="K402">
        <f ca="1"/>
        <v>0</v>
      </c>
      <c r="L402">
        <f ca="1"/>
        <v>0</v>
      </c>
      <c r="M402">
        <f ca="1"/>
        <v>2.0996800000000002</v>
      </c>
      <c r="N402">
        <f ca="1"/>
        <v>0</v>
      </c>
      <c r="O402">
        <f ca="1"/>
        <v>0</v>
      </c>
      <c r="P402">
        <f ca="1"/>
        <v>0</v>
      </c>
      <c r="Q402">
        <f ca="1"/>
        <v>0</v>
      </c>
      <c r="R402">
        <f ca="1"/>
        <v>2.0996800000000002</v>
      </c>
      <c r="S402">
        <f ca="1"/>
        <v>0</v>
      </c>
      <c r="T402">
        <f ca="1"/>
        <v>0</v>
      </c>
      <c r="U402">
        <f ca="1"/>
        <v>0</v>
      </c>
      <c r="V402">
        <f ca="1"/>
        <v>0</v>
      </c>
    </row>
    <row r="403" spans="1:22" x14ac:dyDescent="0.3">
      <c r="A403" t="str">
        <f ca="1"/>
        <v>402</v>
      </c>
      <c r="B403" t="str">
        <f ca="1"/>
        <v>Nyamagabe_HS12_15</v>
      </c>
      <c r="C403">
        <f ca="1"/>
        <v>0.37137900000000001</v>
      </c>
      <c r="D403">
        <f ca="1"/>
        <v>0</v>
      </c>
      <c r="E403">
        <f ca="1"/>
        <v>0</v>
      </c>
      <c r="F403">
        <f ca="1"/>
        <v>0.44817600000000002</v>
      </c>
      <c r="G403">
        <f ca="1"/>
        <v>0</v>
      </c>
      <c r="H403">
        <f ca="1"/>
        <v>0.42890899999999998</v>
      </c>
      <c r="I403">
        <f ca="1"/>
        <v>0</v>
      </c>
      <c r="J403">
        <f ca="1"/>
        <v>0</v>
      </c>
      <c r="K403">
        <f ca="1"/>
        <v>0</v>
      </c>
      <c r="L403">
        <f ca="1"/>
        <v>0</v>
      </c>
      <c r="M403">
        <f ca="1"/>
        <v>0.36115000000000003</v>
      </c>
      <c r="N403">
        <f ca="1"/>
        <v>0</v>
      </c>
      <c r="O403">
        <f ca="1"/>
        <v>0</v>
      </c>
      <c r="P403">
        <f ca="1"/>
        <v>0.96660900000000005</v>
      </c>
      <c r="Q403">
        <f ca="1"/>
        <v>0</v>
      </c>
      <c r="R403">
        <f ca="1"/>
        <v>0.38078899999999999</v>
      </c>
      <c r="S403">
        <f ca="1"/>
        <v>0</v>
      </c>
      <c r="T403">
        <f ca="1"/>
        <v>0</v>
      </c>
      <c r="U403">
        <f ca="1"/>
        <v>0.96660900000000005</v>
      </c>
      <c r="V403">
        <f ca="1"/>
        <v>0</v>
      </c>
    </row>
    <row r="404" spans="1:22" x14ac:dyDescent="0.3">
      <c r="A404" t="str">
        <f ca="1"/>
        <v>403</v>
      </c>
      <c r="B404" t="str">
        <f ca="1"/>
        <v>Nyamagabe_HS13_15</v>
      </c>
      <c r="C404">
        <f ca="1"/>
        <v>0.21560699999999999</v>
      </c>
      <c r="D404">
        <f ca="1"/>
        <v>0</v>
      </c>
      <c r="E404">
        <f ca="1"/>
        <v>0</v>
      </c>
      <c r="F404">
        <f ca="1"/>
        <v>0.59081899999999998</v>
      </c>
      <c r="G404">
        <f ca="1"/>
        <v>0</v>
      </c>
      <c r="H404">
        <f ca="1"/>
        <v>0.326542</v>
      </c>
      <c r="I404">
        <f ca="1"/>
        <v>0</v>
      </c>
      <c r="J404">
        <f ca="1"/>
        <v>0</v>
      </c>
      <c r="K404">
        <f ca="1"/>
        <v>0</v>
      </c>
      <c r="L404">
        <f ca="1"/>
        <v>0</v>
      </c>
      <c r="M404">
        <f ca="1"/>
        <v>0.25613900000000001</v>
      </c>
      <c r="N404">
        <f ca="1"/>
        <v>0.48951800000000001</v>
      </c>
      <c r="O404">
        <f ca="1"/>
        <v>0.56000000000000005</v>
      </c>
      <c r="P404">
        <f ca="1"/>
        <v>0</v>
      </c>
      <c r="Q404">
        <f ca="1"/>
        <v>0</v>
      </c>
      <c r="R404">
        <f ca="1"/>
        <v>0.25613900000000001</v>
      </c>
      <c r="S404">
        <f ca="1"/>
        <v>0.48951800000000001</v>
      </c>
      <c r="T404">
        <f ca="1"/>
        <v>0.56000000000000005</v>
      </c>
      <c r="U404">
        <f ca="1"/>
        <v>0</v>
      </c>
      <c r="V404">
        <f ca="1"/>
        <v>0</v>
      </c>
    </row>
    <row r="405" spans="1:22" x14ac:dyDescent="0.3">
      <c r="A405" t="str">
        <f ca="1"/>
        <v>404</v>
      </c>
      <c r="B405" t="str">
        <f ca="1"/>
        <v>Nyamagabe_HS14_15</v>
      </c>
      <c r="C405">
        <f ca="1"/>
        <v>0.30863800000000002</v>
      </c>
      <c r="D405">
        <f ca="1"/>
        <v>0</v>
      </c>
      <c r="E405">
        <f ca="1"/>
        <v>0</v>
      </c>
      <c r="F405">
        <f ca="1"/>
        <v>0.25267000000000001</v>
      </c>
      <c r="G405">
        <f ca="1"/>
        <v>0</v>
      </c>
      <c r="H405">
        <f ca="1"/>
        <v>0.318575</v>
      </c>
      <c r="I405">
        <f ca="1"/>
        <v>0</v>
      </c>
      <c r="J405">
        <f ca="1"/>
        <v>0</v>
      </c>
      <c r="K405">
        <f ca="1"/>
        <v>0</v>
      </c>
      <c r="L405">
        <f ca="1"/>
        <v>0</v>
      </c>
      <c r="M405">
        <f ca="1"/>
        <v>2.1695509999999998</v>
      </c>
      <c r="N405">
        <f ca="1"/>
        <v>0</v>
      </c>
      <c r="O405">
        <f ca="1"/>
        <v>0</v>
      </c>
      <c r="P405">
        <f ca="1"/>
        <v>0</v>
      </c>
      <c r="Q405">
        <f ca="1"/>
        <v>0</v>
      </c>
      <c r="R405">
        <f ca="1"/>
        <v>2.1695509999999998</v>
      </c>
      <c r="S405">
        <f ca="1"/>
        <v>0</v>
      </c>
      <c r="T405">
        <f ca="1"/>
        <v>0</v>
      </c>
      <c r="U405">
        <f ca="1"/>
        <v>0</v>
      </c>
      <c r="V405">
        <f ca="1"/>
        <v>0</v>
      </c>
    </row>
    <row r="406" spans="1:22" x14ac:dyDescent="0.3">
      <c r="A406" t="str">
        <f ca="1"/>
        <v>405</v>
      </c>
      <c r="B406" t="str">
        <f ca="1"/>
        <v>Nyamagabe_HS15_15</v>
      </c>
      <c r="C406">
        <f ca="1"/>
        <v>0.338057</v>
      </c>
      <c r="D406">
        <f ca="1"/>
        <v>0</v>
      </c>
      <c r="E406">
        <f ca="1"/>
        <v>0</v>
      </c>
      <c r="F406">
        <f ca="1"/>
        <v>0.161496</v>
      </c>
      <c r="G406">
        <f ca="1"/>
        <v>0</v>
      </c>
      <c r="H406">
        <f ca="1"/>
        <v>0.26530900000000002</v>
      </c>
      <c r="I406">
        <f ca="1"/>
        <v>1.030594</v>
      </c>
      <c r="J406">
        <f ca="1"/>
        <v>0.53</v>
      </c>
      <c r="K406">
        <f ca="1"/>
        <v>0</v>
      </c>
      <c r="L406">
        <f ca="1"/>
        <v>0</v>
      </c>
      <c r="M406">
        <f ca="1"/>
        <v>1.93834</v>
      </c>
      <c r="N406">
        <f ca="1"/>
        <v>0</v>
      </c>
      <c r="O406">
        <f ca="1"/>
        <v>0</v>
      </c>
      <c r="P406">
        <f ca="1"/>
        <v>0</v>
      </c>
      <c r="Q406">
        <f ca="1"/>
        <v>0</v>
      </c>
      <c r="R406">
        <f ca="1"/>
        <v>0.35974600000000001</v>
      </c>
      <c r="S406">
        <f ca="1"/>
        <v>0</v>
      </c>
      <c r="T406">
        <f ca="1"/>
        <v>0</v>
      </c>
      <c r="U406">
        <f ca="1"/>
        <v>0.95655800000000002</v>
      </c>
      <c r="V406">
        <f ca="1"/>
        <v>0.16600899999999999</v>
      </c>
    </row>
    <row r="407" spans="1:22" x14ac:dyDescent="0.3">
      <c r="A407" t="str">
        <f ca="1"/>
        <v>406</v>
      </c>
      <c r="B407" t="str">
        <f ca="1"/>
        <v>Nyamagabe_HS16_15</v>
      </c>
      <c r="C407">
        <f ca="1"/>
        <v>0.57240400000000002</v>
      </c>
      <c r="D407">
        <f ca="1"/>
        <v>0</v>
      </c>
      <c r="E407">
        <f ca="1"/>
        <v>0</v>
      </c>
      <c r="F407">
        <f ca="1"/>
        <v>0.29883199999999999</v>
      </c>
      <c r="G407">
        <f ca="1"/>
        <v>0.36551699999999998</v>
      </c>
      <c r="H407">
        <f ca="1"/>
        <v>1.044924</v>
      </c>
      <c r="I407">
        <f ca="1"/>
        <v>0</v>
      </c>
      <c r="J407">
        <f ca="1"/>
        <v>0</v>
      </c>
      <c r="K407">
        <f ca="1"/>
        <v>0</v>
      </c>
      <c r="L407">
        <f ca="1"/>
        <v>0</v>
      </c>
      <c r="M407">
        <f ca="1"/>
        <v>0.32018999999999997</v>
      </c>
      <c r="N407">
        <f ca="1"/>
        <v>0</v>
      </c>
      <c r="O407">
        <f ca="1"/>
        <v>0</v>
      </c>
      <c r="P407">
        <f ca="1"/>
        <v>0.98175299999999999</v>
      </c>
      <c r="Q407">
        <f ca="1"/>
        <v>0.52577700000000005</v>
      </c>
      <c r="R407">
        <f ca="1"/>
        <v>0.68153600000000003</v>
      </c>
      <c r="S407">
        <f ca="1"/>
        <v>0.475993</v>
      </c>
      <c r="T407">
        <f ca="1"/>
        <v>0.5</v>
      </c>
      <c r="U407">
        <f ca="1"/>
        <v>0</v>
      </c>
      <c r="V407">
        <f ca="1"/>
        <v>0</v>
      </c>
    </row>
    <row r="408" spans="1:22" x14ac:dyDescent="0.3">
      <c r="A408" t="str">
        <f ca="1"/>
        <v>407</v>
      </c>
      <c r="B408" t="str">
        <f ca="1"/>
        <v>Nyamagabe_HS1_15</v>
      </c>
      <c r="C408">
        <f ca="1"/>
        <v>1.27565</v>
      </c>
      <c r="D408">
        <f ca="1"/>
        <v>0</v>
      </c>
      <c r="E408">
        <f ca="1"/>
        <v>0</v>
      </c>
      <c r="F408">
        <f ca="1"/>
        <v>0.36791600000000002</v>
      </c>
      <c r="G408">
        <f ca="1"/>
        <v>1.2160000000000001E-3</v>
      </c>
      <c r="H408">
        <f ca="1"/>
        <v>2.1548620000000001</v>
      </c>
      <c r="I408">
        <f ca="1"/>
        <v>0.51527299999999998</v>
      </c>
      <c r="J408">
        <f ca="1"/>
        <v>0.53</v>
      </c>
      <c r="K408">
        <f ca="1"/>
        <v>0</v>
      </c>
      <c r="L408">
        <f ca="1"/>
        <v>0</v>
      </c>
      <c r="M408">
        <f ca="1"/>
        <v>0.67144599999999999</v>
      </c>
      <c r="N408">
        <f ca="1"/>
        <v>0</v>
      </c>
      <c r="O408">
        <f ca="1"/>
        <v>0</v>
      </c>
      <c r="P408">
        <f ca="1"/>
        <v>0.99436599999999997</v>
      </c>
      <c r="Q408">
        <f ca="1"/>
        <v>0.29480200000000001</v>
      </c>
      <c r="R408">
        <f ca="1"/>
        <v>0.97884199999999999</v>
      </c>
      <c r="S408">
        <f ca="1"/>
        <v>0.39356200000000002</v>
      </c>
      <c r="T408">
        <f ca="1"/>
        <v>0.53</v>
      </c>
      <c r="U408">
        <f ca="1"/>
        <v>0.72410300000000005</v>
      </c>
      <c r="V408">
        <f ca="1"/>
        <v>1.4997999999999999E-2</v>
      </c>
    </row>
    <row r="409" spans="1:22" x14ac:dyDescent="0.3">
      <c r="A409" t="str">
        <f ca="1"/>
        <v>408</v>
      </c>
      <c r="B409" t="str">
        <f ca="1"/>
        <v>Nyamagabe_HS2_15</v>
      </c>
      <c r="C409">
        <f ca="1"/>
        <v>0.66650299999999996</v>
      </c>
      <c r="D409">
        <f ca="1"/>
        <v>0</v>
      </c>
      <c r="E409">
        <f ca="1"/>
        <v>0</v>
      </c>
      <c r="F409">
        <f ca="1"/>
        <v>0.142209</v>
      </c>
      <c r="G409">
        <f ca="1"/>
        <v>0</v>
      </c>
      <c r="H409">
        <f ca="1"/>
        <v>1.3955500000000001</v>
      </c>
      <c r="I409">
        <f ca="1"/>
        <v>0</v>
      </c>
      <c r="J409">
        <f ca="1"/>
        <v>0</v>
      </c>
      <c r="K409">
        <f ca="1"/>
        <v>0</v>
      </c>
      <c r="L409">
        <f ca="1"/>
        <v>0</v>
      </c>
      <c r="M409">
        <f ca="1"/>
        <v>0.50045300000000004</v>
      </c>
      <c r="N409">
        <f ca="1"/>
        <v>0</v>
      </c>
      <c r="O409">
        <f ca="1"/>
        <v>0</v>
      </c>
      <c r="P409">
        <f ca="1"/>
        <v>0.98136299999999999</v>
      </c>
      <c r="Q409">
        <f ca="1"/>
        <v>0.752301</v>
      </c>
      <c r="R409">
        <f ca="1"/>
        <v>0.58957400000000004</v>
      </c>
      <c r="S409">
        <f ca="1"/>
        <v>0</v>
      </c>
      <c r="T409">
        <f ca="1"/>
        <v>0</v>
      </c>
      <c r="U409">
        <f ca="1"/>
        <v>0.98925200000000002</v>
      </c>
      <c r="V409">
        <f ca="1"/>
        <v>0.213395</v>
      </c>
    </row>
    <row r="410" spans="1:22" x14ac:dyDescent="0.3">
      <c r="A410" t="str">
        <f ca="1"/>
        <v>409</v>
      </c>
      <c r="B410" t="str">
        <f ca="1"/>
        <v>Nyamagabe_HS3_15</v>
      </c>
      <c r="C410">
        <f ca="1"/>
        <v>0.33945900000000001</v>
      </c>
      <c r="D410">
        <f ca="1"/>
        <v>0.391185</v>
      </c>
      <c r="E410">
        <f ca="1"/>
        <v>0</v>
      </c>
      <c r="F410">
        <f ca="1"/>
        <v>0.71665199999999996</v>
      </c>
      <c r="G410">
        <f ca="1"/>
        <v>0</v>
      </c>
      <c r="H410">
        <f ca="1"/>
        <v>0.64245200000000002</v>
      </c>
      <c r="I410">
        <f ca="1"/>
        <v>0</v>
      </c>
      <c r="J410">
        <f ca="1"/>
        <v>0</v>
      </c>
      <c r="K410">
        <f ca="1"/>
        <v>0</v>
      </c>
      <c r="L410">
        <f ca="1"/>
        <v>0</v>
      </c>
      <c r="M410">
        <f ca="1"/>
        <v>0.28210299999999999</v>
      </c>
      <c r="N410">
        <f ca="1"/>
        <v>0</v>
      </c>
      <c r="O410">
        <f ca="1"/>
        <v>0</v>
      </c>
      <c r="P410">
        <f ca="1"/>
        <v>0.99381799999999998</v>
      </c>
      <c r="Q410">
        <f ca="1"/>
        <v>4.4941000000000002E-2</v>
      </c>
      <c r="R410">
        <f ca="1"/>
        <v>0.32461400000000001</v>
      </c>
      <c r="S410">
        <f ca="1"/>
        <v>0</v>
      </c>
      <c r="T410">
        <f ca="1"/>
        <v>0</v>
      </c>
      <c r="U410">
        <f ca="1"/>
        <v>0.99394199999999999</v>
      </c>
      <c r="V410">
        <f ca="1"/>
        <v>1.5812E-2</v>
      </c>
    </row>
    <row r="411" spans="1:22" x14ac:dyDescent="0.3">
      <c r="A411" t="str">
        <f ca="1"/>
        <v>410</v>
      </c>
      <c r="B411" t="str">
        <f ca="1"/>
        <v>Nyamagabe_HS4_15</v>
      </c>
      <c r="C411">
        <f ca="1"/>
        <v>0.19606199999999999</v>
      </c>
      <c r="D411">
        <f ca="1"/>
        <v>0</v>
      </c>
      <c r="E411">
        <f ca="1"/>
        <v>0</v>
      </c>
      <c r="F411">
        <f ca="1"/>
        <v>9.1469999999999996E-2</v>
      </c>
      <c r="G411">
        <f ca="1"/>
        <v>0.33333299999999999</v>
      </c>
      <c r="H411">
        <f ca="1"/>
        <v>0.25241799999999998</v>
      </c>
      <c r="I411">
        <f ca="1"/>
        <v>0</v>
      </c>
      <c r="J411">
        <f ca="1"/>
        <v>0</v>
      </c>
      <c r="K411">
        <f ca="1"/>
        <v>0</v>
      </c>
      <c r="L411">
        <f ca="1"/>
        <v>0</v>
      </c>
      <c r="M411">
        <f ca="1"/>
        <v>0.21049899999999999</v>
      </c>
      <c r="N411">
        <f ca="1"/>
        <v>0.58615099999999998</v>
      </c>
      <c r="O411">
        <f ca="1"/>
        <v>0.51</v>
      </c>
      <c r="P411">
        <f ca="1"/>
        <v>0</v>
      </c>
      <c r="Q411">
        <f ca="1"/>
        <v>0</v>
      </c>
      <c r="R411">
        <f ca="1"/>
        <v>0.21868599999999999</v>
      </c>
      <c r="S411">
        <f ca="1"/>
        <v>0.56462900000000005</v>
      </c>
      <c r="T411">
        <f ca="1"/>
        <v>0.51</v>
      </c>
      <c r="U411">
        <f ca="1"/>
        <v>0</v>
      </c>
      <c r="V411">
        <f ca="1"/>
        <v>0</v>
      </c>
    </row>
    <row r="412" spans="1:22" x14ac:dyDescent="0.3">
      <c r="A412" t="str">
        <f ca="1"/>
        <v>411</v>
      </c>
      <c r="B412" t="str">
        <f ca="1"/>
        <v>Nyamagabe_HS5_15</v>
      </c>
      <c r="C412">
        <f ca="1"/>
        <v>1.6366689999999999</v>
      </c>
      <c r="D412">
        <f ca="1"/>
        <v>0.79822400000000004</v>
      </c>
      <c r="E412">
        <f ca="1"/>
        <v>0</v>
      </c>
      <c r="F412">
        <f ca="1"/>
        <v>0.28049400000000002</v>
      </c>
      <c r="G412">
        <f ca="1"/>
        <v>0.68716600000000005</v>
      </c>
      <c r="H412">
        <f ca="1"/>
        <v>0.45863999999999999</v>
      </c>
      <c r="I412">
        <f ca="1"/>
        <v>0</v>
      </c>
      <c r="J412">
        <f ca="1"/>
        <v>0</v>
      </c>
      <c r="K412">
        <f ca="1"/>
        <v>0.99710299999999996</v>
      </c>
      <c r="L412">
        <f ca="1"/>
        <v>0.13768</v>
      </c>
      <c r="M412">
        <f ca="1"/>
        <v>0.57566600000000001</v>
      </c>
      <c r="N412">
        <f ca="1"/>
        <v>0</v>
      </c>
      <c r="O412">
        <f ca="1"/>
        <v>0</v>
      </c>
      <c r="P412">
        <f ca="1"/>
        <v>0.99570700000000001</v>
      </c>
      <c r="Q412">
        <f ca="1"/>
        <v>0.72399400000000003</v>
      </c>
      <c r="R412">
        <f ca="1"/>
        <v>0.75340300000000004</v>
      </c>
      <c r="S412">
        <f ca="1"/>
        <v>0</v>
      </c>
      <c r="T412">
        <f ca="1"/>
        <v>0</v>
      </c>
      <c r="U412">
        <f ca="1"/>
        <v>0.99398699999999995</v>
      </c>
      <c r="V412">
        <f ca="1"/>
        <v>0.551956</v>
      </c>
    </row>
    <row r="413" spans="1:22" x14ac:dyDescent="0.3">
      <c r="A413" t="str">
        <f ca="1"/>
        <v>412</v>
      </c>
      <c r="B413" t="str">
        <f ca="1"/>
        <v>Nyamagabe_HS6_15</v>
      </c>
      <c r="C413">
        <f ca="1"/>
        <v>0.52173800000000004</v>
      </c>
      <c r="D413">
        <f ca="1"/>
        <v>0</v>
      </c>
      <c r="E413">
        <f ca="1"/>
        <v>0</v>
      </c>
      <c r="F413">
        <f ca="1"/>
        <v>0.24132100000000001</v>
      </c>
      <c r="G413">
        <f ca="1"/>
        <v>0.06</v>
      </c>
      <c r="H413">
        <f ca="1"/>
        <v>0.82842800000000005</v>
      </c>
      <c r="I413">
        <f ca="1"/>
        <v>0</v>
      </c>
      <c r="J413">
        <f ca="1"/>
        <v>0</v>
      </c>
      <c r="K413">
        <f ca="1"/>
        <v>0</v>
      </c>
      <c r="L413">
        <f ca="1"/>
        <v>0</v>
      </c>
      <c r="M413">
        <f ca="1"/>
        <v>0.32924799999999999</v>
      </c>
      <c r="N413">
        <f ca="1"/>
        <v>0</v>
      </c>
      <c r="O413">
        <f ca="1"/>
        <v>0</v>
      </c>
      <c r="P413">
        <f ca="1"/>
        <v>0.98366299999999995</v>
      </c>
      <c r="Q413">
        <f ca="1"/>
        <v>0.28281899999999999</v>
      </c>
      <c r="R413">
        <f ca="1"/>
        <v>0.368815</v>
      </c>
      <c r="S413">
        <f ca="1"/>
        <v>0</v>
      </c>
      <c r="T413">
        <f ca="1"/>
        <v>0</v>
      </c>
      <c r="U413">
        <f ca="1"/>
        <v>0.98633300000000002</v>
      </c>
      <c r="V413">
        <f ca="1"/>
        <v>7.8713000000000005E-2</v>
      </c>
    </row>
    <row r="414" spans="1:22" x14ac:dyDescent="0.3">
      <c r="A414" t="str">
        <f ca="1"/>
        <v>413</v>
      </c>
      <c r="B414" t="str">
        <f ca="1"/>
        <v>Nyamagabe_HS7_15</v>
      </c>
      <c r="C414">
        <f ca="1"/>
        <v>0.90039899999999995</v>
      </c>
      <c r="D414">
        <f ca="1"/>
        <v>0</v>
      </c>
      <c r="E414">
        <f ca="1"/>
        <v>0</v>
      </c>
      <c r="F414">
        <f ca="1"/>
        <v>5.1979999999999998E-2</v>
      </c>
      <c r="G414">
        <f ca="1"/>
        <v>7.2727E-2</v>
      </c>
      <c r="H414">
        <f ca="1"/>
        <v>1.0800479999999999</v>
      </c>
      <c r="I414">
        <f ca="1"/>
        <v>0</v>
      </c>
      <c r="J414">
        <f ca="1"/>
        <v>0</v>
      </c>
      <c r="K414">
        <f ca="1"/>
        <v>0</v>
      </c>
      <c r="L414">
        <f ca="1"/>
        <v>0</v>
      </c>
      <c r="M414">
        <f ca="1"/>
        <v>0.62943700000000002</v>
      </c>
      <c r="N414">
        <f ca="1"/>
        <v>0.51711499999999999</v>
      </c>
      <c r="O414">
        <f ca="1"/>
        <v>0.54</v>
      </c>
      <c r="P414">
        <f ca="1"/>
        <v>0.435975</v>
      </c>
      <c r="Q414">
        <f ca="1"/>
        <v>0</v>
      </c>
      <c r="R414">
        <f ca="1"/>
        <v>0.67359599999999997</v>
      </c>
      <c r="S414">
        <f ca="1"/>
        <v>0.49072399999999999</v>
      </c>
      <c r="T414">
        <f ca="1"/>
        <v>0.53</v>
      </c>
      <c r="U414">
        <f ca="1"/>
        <v>0.41659499999999999</v>
      </c>
      <c r="V414">
        <f ca="1"/>
        <v>0</v>
      </c>
    </row>
    <row r="415" spans="1:22" x14ac:dyDescent="0.3">
      <c r="A415" t="str">
        <f ca="1"/>
        <v>414</v>
      </c>
      <c r="B415" t="str">
        <f ca="1"/>
        <v>Nyamagabe_HS8_15</v>
      </c>
      <c r="C415">
        <f ca="1"/>
        <v>0.362344</v>
      </c>
      <c r="D415">
        <f ca="1"/>
        <v>0</v>
      </c>
      <c r="E415">
        <f ca="1"/>
        <v>0</v>
      </c>
      <c r="F415">
        <f ca="1"/>
        <v>0.11483</v>
      </c>
      <c r="G415">
        <f ca="1"/>
        <v>0</v>
      </c>
      <c r="H415">
        <f ca="1"/>
        <v>0.48141299999999998</v>
      </c>
      <c r="I415">
        <f ca="1"/>
        <v>0</v>
      </c>
      <c r="J415">
        <f ca="1"/>
        <v>0</v>
      </c>
      <c r="K415">
        <f ca="1"/>
        <v>0</v>
      </c>
      <c r="L415">
        <f ca="1"/>
        <v>0</v>
      </c>
      <c r="M415">
        <f ca="1"/>
        <v>0.329702</v>
      </c>
      <c r="N415">
        <f ca="1"/>
        <v>0</v>
      </c>
      <c r="O415">
        <f ca="1"/>
        <v>0</v>
      </c>
      <c r="P415">
        <f ca="1"/>
        <v>0.96794400000000003</v>
      </c>
      <c r="Q415">
        <f ca="1"/>
        <v>0.29038199999999997</v>
      </c>
      <c r="R415">
        <f ca="1"/>
        <v>0.37517299999999998</v>
      </c>
      <c r="S415">
        <f ca="1"/>
        <v>0</v>
      </c>
      <c r="T415">
        <f ca="1"/>
        <v>0</v>
      </c>
      <c r="U415">
        <f ca="1"/>
        <v>0.96936599999999995</v>
      </c>
      <c r="V415">
        <f ca="1"/>
        <v>5.0076000000000002E-2</v>
      </c>
    </row>
    <row r="416" spans="1:22" x14ac:dyDescent="0.3">
      <c r="A416" t="str">
        <f ca="1"/>
        <v>415</v>
      </c>
      <c r="B416" t="str">
        <f ca="1"/>
        <v>Nyamagabe_HS9_15</v>
      </c>
      <c r="C416">
        <f ca="1"/>
        <v>0.57517300000000005</v>
      </c>
      <c r="D416">
        <f ca="1"/>
        <v>0</v>
      </c>
      <c r="E416">
        <f ca="1"/>
        <v>0</v>
      </c>
      <c r="F416">
        <f ca="1"/>
        <v>8.3600999999999995E-2</v>
      </c>
      <c r="G416">
        <f ca="1"/>
        <v>0</v>
      </c>
      <c r="H416">
        <f ca="1"/>
        <v>0.71761600000000003</v>
      </c>
      <c r="I416">
        <f ca="1"/>
        <v>0</v>
      </c>
      <c r="J416">
        <f ca="1"/>
        <v>0</v>
      </c>
      <c r="K416">
        <f ca="1"/>
        <v>0</v>
      </c>
      <c r="L416">
        <f ca="1"/>
        <v>0</v>
      </c>
      <c r="M416">
        <f ca="1"/>
        <v>0.492253</v>
      </c>
      <c r="N416">
        <f ca="1"/>
        <v>0</v>
      </c>
      <c r="O416">
        <f ca="1"/>
        <v>0</v>
      </c>
      <c r="P416">
        <f ca="1"/>
        <v>0.993533</v>
      </c>
      <c r="Q416">
        <f ca="1"/>
        <v>8.4447999999999995E-2</v>
      </c>
      <c r="R416">
        <f ca="1"/>
        <v>0.58577299999999999</v>
      </c>
      <c r="S416">
        <f ca="1"/>
        <v>0</v>
      </c>
      <c r="T416">
        <f ca="1"/>
        <v>0</v>
      </c>
      <c r="U416">
        <f ca="1"/>
        <v>0.99248999999999998</v>
      </c>
      <c r="V416">
        <f ca="1"/>
        <v>1.4167000000000001E-2</v>
      </c>
    </row>
    <row r="417" spans="1:22" x14ac:dyDescent="0.3">
      <c r="A417" t="str">
        <f ca="1"/>
        <v>416</v>
      </c>
      <c r="B417" t="str">
        <f ca="1"/>
        <v>Nyamasheke_HS0_15</v>
      </c>
      <c r="C417">
        <f ca="1"/>
        <v>1.298659</v>
      </c>
      <c r="D417">
        <f ca="1"/>
        <v>0.31186199999999997</v>
      </c>
      <c r="E417">
        <f ca="1"/>
        <v>0</v>
      </c>
      <c r="F417">
        <f ca="1"/>
        <v>0.54229700000000003</v>
      </c>
      <c r="G417">
        <f ca="1"/>
        <v>8.7155999999999997E-2</v>
      </c>
      <c r="H417">
        <f ca="1"/>
        <v>0.51266800000000001</v>
      </c>
      <c r="I417">
        <f ca="1"/>
        <v>0</v>
      </c>
      <c r="J417">
        <f ca="1"/>
        <v>0</v>
      </c>
      <c r="K417">
        <f ca="1"/>
        <v>0.99611000000000005</v>
      </c>
      <c r="L417">
        <f ca="1"/>
        <v>0.114671</v>
      </c>
      <c r="M417">
        <f ca="1"/>
        <v>0.92923299999999998</v>
      </c>
      <c r="N417">
        <f ca="1"/>
        <v>0.44403500000000001</v>
      </c>
      <c r="O417">
        <f ca="1"/>
        <v>0.56000000000000005</v>
      </c>
      <c r="P417">
        <f ca="1"/>
        <v>0.71732200000000002</v>
      </c>
      <c r="Q417">
        <f ca="1"/>
        <v>0.490448</v>
      </c>
      <c r="R417">
        <f ca="1"/>
        <v>0.92654400000000003</v>
      </c>
      <c r="S417">
        <f ca="1"/>
        <v>0</v>
      </c>
      <c r="T417">
        <f ca="1"/>
        <v>0</v>
      </c>
      <c r="U417">
        <f ca="1"/>
        <v>0.996641</v>
      </c>
      <c r="V417">
        <f ca="1"/>
        <v>0.192692</v>
      </c>
    </row>
    <row r="418" spans="1:22" x14ac:dyDescent="0.3">
      <c r="A418" t="str">
        <f ca="1"/>
        <v>417</v>
      </c>
      <c r="B418" t="str">
        <f ca="1"/>
        <v>Nyamasheke_HS10_15</v>
      </c>
      <c r="C418">
        <f ca="1"/>
        <v>0.57367800000000002</v>
      </c>
      <c r="D418">
        <f ca="1"/>
        <v>0</v>
      </c>
      <c r="E418">
        <f ca="1"/>
        <v>0</v>
      </c>
      <c r="F418">
        <f ca="1"/>
        <v>0.48534500000000003</v>
      </c>
      <c r="G418">
        <f ca="1"/>
        <v>0</v>
      </c>
      <c r="H418">
        <f ca="1"/>
        <v>0.86000799999999999</v>
      </c>
      <c r="I418">
        <f ca="1"/>
        <v>0</v>
      </c>
      <c r="J418">
        <f ca="1"/>
        <v>0</v>
      </c>
      <c r="K418">
        <f ca="1"/>
        <v>0</v>
      </c>
      <c r="L418">
        <f ca="1"/>
        <v>0</v>
      </c>
      <c r="M418">
        <f ca="1"/>
        <v>0.248284</v>
      </c>
      <c r="N418">
        <f ca="1"/>
        <v>0</v>
      </c>
      <c r="O418">
        <f ca="1"/>
        <v>0</v>
      </c>
      <c r="P418">
        <f ca="1"/>
        <v>0.98914400000000002</v>
      </c>
      <c r="Q418">
        <f ca="1"/>
        <v>0</v>
      </c>
      <c r="R418">
        <f ca="1"/>
        <v>0.27605000000000002</v>
      </c>
      <c r="S418">
        <f ca="1"/>
        <v>0</v>
      </c>
      <c r="T418">
        <f ca="1"/>
        <v>0</v>
      </c>
      <c r="U418">
        <f ca="1"/>
        <v>0.98914400000000002</v>
      </c>
      <c r="V418">
        <f ca="1"/>
        <v>0</v>
      </c>
    </row>
    <row r="419" spans="1:22" x14ac:dyDescent="0.3">
      <c r="A419" t="str">
        <f ca="1"/>
        <v>418</v>
      </c>
      <c r="B419" t="str">
        <f ca="1"/>
        <v>Nyamasheke_HS11_15</v>
      </c>
      <c r="C419">
        <f ca="1"/>
        <v>1.0999399999999999</v>
      </c>
      <c r="D419">
        <f ca="1"/>
        <v>0</v>
      </c>
      <c r="E419">
        <f ca="1"/>
        <v>0</v>
      </c>
      <c r="F419">
        <f ca="1"/>
        <v>0.23760600000000001</v>
      </c>
      <c r="G419">
        <f ca="1"/>
        <v>0</v>
      </c>
      <c r="H419">
        <f ca="1"/>
        <v>1.0391999999999999</v>
      </c>
      <c r="I419">
        <f ca="1"/>
        <v>0</v>
      </c>
      <c r="J419">
        <f ca="1"/>
        <v>0</v>
      </c>
      <c r="K419">
        <f ca="1"/>
        <v>0.287275</v>
      </c>
      <c r="L419">
        <f ca="1"/>
        <v>0</v>
      </c>
      <c r="M419">
        <f ca="1"/>
        <v>0.62791699999999995</v>
      </c>
      <c r="N419">
        <f ca="1"/>
        <v>0.47933599999999998</v>
      </c>
      <c r="O419">
        <f ca="1"/>
        <v>0.57999999999999996</v>
      </c>
      <c r="P419">
        <f ca="1"/>
        <v>0.36570799999999998</v>
      </c>
      <c r="Q419">
        <f ca="1"/>
        <v>0</v>
      </c>
      <c r="R419">
        <f ca="1"/>
        <v>0.64577300000000004</v>
      </c>
      <c r="S419">
        <f ca="1"/>
        <v>0.47933599999999998</v>
      </c>
      <c r="T419">
        <f ca="1"/>
        <v>0.57999999999999996</v>
      </c>
      <c r="U419">
        <f ca="1"/>
        <v>0.36570799999999998</v>
      </c>
      <c r="V419">
        <f ca="1"/>
        <v>0</v>
      </c>
    </row>
    <row r="420" spans="1:22" x14ac:dyDescent="0.3">
      <c r="A420" t="str">
        <f ca="1"/>
        <v>419</v>
      </c>
      <c r="B420" t="str">
        <f ca="1"/>
        <v>Nyamasheke_HS12_15</v>
      </c>
      <c r="C420">
        <f ca="1"/>
        <v>0.88778900000000005</v>
      </c>
      <c r="D420">
        <f ca="1"/>
        <v>0</v>
      </c>
      <c r="E420">
        <f ca="1"/>
        <v>0</v>
      </c>
      <c r="F420">
        <f ca="1"/>
        <v>0.47476099999999999</v>
      </c>
      <c r="G420">
        <f ca="1"/>
        <v>0</v>
      </c>
      <c r="H420">
        <f ca="1"/>
        <v>1.3503149999999999</v>
      </c>
      <c r="I420">
        <f ca="1"/>
        <v>0</v>
      </c>
      <c r="J420">
        <f ca="1"/>
        <v>0</v>
      </c>
      <c r="K420">
        <f ca="1"/>
        <v>0</v>
      </c>
      <c r="L420">
        <f ca="1"/>
        <v>0</v>
      </c>
      <c r="M420">
        <f ca="1"/>
        <v>0.55594699999999997</v>
      </c>
      <c r="N420">
        <f ca="1"/>
        <v>0</v>
      </c>
      <c r="O420">
        <f ca="1"/>
        <v>0</v>
      </c>
      <c r="P420">
        <f ca="1"/>
        <v>0.97600299999999995</v>
      </c>
      <c r="Q420">
        <f ca="1"/>
        <v>7.4450000000000002E-3</v>
      </c>
      <c r="R420">
        <f ca="1"/>
        <v>0.60169499999999998</v>
      </c>
      <c r="S420">
        <f ca="1"/>
        <v>0</v>
      </c>
      <c r="T420">
        <f ca="1"/>
        <v>0</v>
      </c>
      <c r="U420">
        <f ca="1"/>
        <v>0.98354299999999995</v>
      </c>
      <c r="V420">
        <f ca="1"/>
        <v>2.7009999999999998E-3</v>
      </c>
    </row>
    <row r="421" spans="1:22" x14ac:dyDescent="0.3">
      <c r="A421" t="str">
        <f ca="1"/>
        <v>420</v>
      </c>
      <c r="B421" t="str">
        <f ca="1"/>
        <v>Nyamasheke_HS13_15</v>
      </c>
      <c r="C421">
        <f ca="1"/>
        <v>1.2605489999999999</v>
      </c>
      <c r="D421">
        <f ca="1"/>
        <v>0.47437099999999999</v>
      </c>
      <c r="E421">
        <f ca="1"/>
        <v>0</v>
      </c>
      <c r="F421">
        <f ca="1"/>
        <v>0.51799499999999998</v>
      </c>
      <c r="G421">
        <f ca="1"/>
        <v>5.228E-2</v>
      </c>
      <c r="H421">
        <f ca="1"/>
        <v>0.33352900000000002</v>
      </c>
      <c r="I421">
        <f ca="1"/>
        <v>0</v>
      </c>
      <c r="J421">
        <f ca="1"/>
        <v>0</v>
      </c>
      <c r="K421">
        <f ca="1"/>
        <v>0.99698100000000001</v>
      </c>
      <c r="L421">
        <f ca="1"/>
        <v>0.110068</v>
      </c>
      <c r="M421">
        <f ca="1"/>
        <v>0.43224200000000002</v>
      </c>
      <c r="N421">
        <f ca="1"/>
        <v>0</v>
      </c>
      <c r="O421">
        <f ca="1"/>
        <v>0</v>
      </c>
      <c r="P421">
        <f ca="1"/>
        <v>0.99889700000000003</v>
      </c>
      <c r="Q421">
        <f ca="1"/>
        <v>0.61158800000000002</v>
      </c>
      <c r="R421">
        <f ca="1"/>
        <v>0.492423</v>
      </c>
      <c r="S421">
        <f ca="1"/>
        <v>0</v>
      </c>
      <c r="T421">
        <f ca="1"/>
        <v>0</v>
      </c>
      <c r="U421">
        <f ca="1"/>
        <v>0.99788699999999997</v>
      </c>
      <c r="V421">
        <f ca="1"/>
        <v>0.23994799999999999</v>
      </c>
    </row>
    <row r="422" spans="1:22" x14ac:dyDescent="0.3">
      <c r="A422" t="str">
        <f ca="1"/>
        <v>421</v>
      </c>
      <c r="B422" t="str">
        <f ca="1"/>
        <v>Nyamasheke_HS14_15</v>
      </c>
      <c r="C422">
        <f ca="1"/>
        <v>0.73922299999999996</v>
      </c>
      <c r="D422">
        <f ca="1"/>
        <v>0</v>
      </c>
      <c r="E422">
        <f ca="1"/>
        <v>0</v>
      </c>
      <c r="F422">
        <f ca="1"/>
        <v>0.31485400000000002</v>
      </c>
      <c r="G422">
        <f ca="1"/>
        <v>0</v>
      </c>
      <c r="H422">
        <f ca="1"/>
        <v>0.86065700000000001</v>
      </c>
      <c r="I422">
        <f ca="1"/>
        <v>0</v>
      </c>
      <c r="J422">
        <f ca="1"/>
        <v>0</v>
      </c>
      <c r="K422">
        <f ca="1"/>
        <v>0</v>
      </c>
      <c r="L422">
        <f ca="1"/>
        <v>0</v>
      </c>
      <c r="M422">
        <f ca="1"/>
        <v>0.36371900000000001</v>
      </c>
      <c r="N422">
        <f ca="1"/>
        <v>0</v>
      </c>
      <c r="O422">
        <f ca="1"/>
        <v>0</v>
      </c>
      <c r="P422">
        <f ca="1"/>
        <v>0.98387100000000005</v>
      </c>
      <c r="Q422">
        <f ca="1"/>
        <v>0</v>
      </c>
      <c r="R422">
        <f ca="1"/>
        <v>0.38963500000000001</v>
      </c>
      <c r="S422">
        <f ca="1"/>
        <v>0</v>
      </c>
      <c r="T422">
        <f ca="1"/>
        <v>0</v>
      </c>
      <c r="U422">
        <f ca="1"/>
        <v>0.98387100000000005</v>
      </c>
      <c r="V422">
        <f ca="1"/>
        <v>0</v>
      </c>
    </row>
    <row r="423" spans="1:22" x14ac:dyDescent="0.3">
      <c r="A423" t="str">
        <f ca="1"/>
        <v>422</v>
      </c>
      <c r="B423" t="str">
        <f ca="1"/>
        <v>Nyamasheke_HS1_15</v>
      </c>
      <c r="C423">
        <f ca="1"/>
        <v>0.59733700000000001</v>
      </c>
      <c r="D423">
        <f ca="1"/>
        <v>0.27182800000000001</v>
      </c>
      <c r="E423">
        <f ca="1"/>
        <v>0</v>
      </c>
      <c r="F423">
        <f ca="1"/>
        <v>0.122581</v>
      </c>
      <c r="G423">
        <f ca="1"/>
        <v>0.16</v>
      </c>
      <c r="H423">
        <f ca="1"/>
        <v>0.76124700000000001</v>
      </c>
      <c r="I423">
        <f ca="1"/>
        <v>0</v>
      </c>
      <c r="J423">
        <f ca="1"/>
        <v>0</v>
      </c>
      <c r="K423">
        <f ca="1"/>
        <v>0</v>
      </c>
      <c r="L423">
        <f ca="1"/>
        <v>0</v>
      </c>
      <c r="M423">
        <f ca="1"/>
        <v>0.42300300000000002</v>
      </c>
      <c r="N423">
        <f ca="1"/>
        <v>0.49910700000000002</v>
      </c>
      <c r="O423">
        <f ca="1"/>
        <v>0.6</v>
      </c>
      <c r="P423">
        <f ca="1"/>
        <v>0</v>
      </c>
      <c r="Q423">
        <f ca="1"/>
        <v>0</v>
      </c>
      <c r="R423">
        <f ca="1"/>
        <v>0.44572499999999998</v>
      </c>
      <c r="S423">
        <f ca="1"/>
        <v>0.477719</v>
      </c>
      <c r="T423">
        <f ca="1"/>
        <v>0.59</v>
      </c>
      <c r="U423">
        <f ca="1"/>
        <v>0</v>
      </c>
      <c r="V423">
        <f ca="1"/>
        <v>0</v>
      </c>
    </row>
    <row r="424" spans="1:22" x14ac:dyDescent="0.3">
      <c r="A424" t="str">
        <f ca="1"/>
        <v>423</v>
      </c>
      <c r="B424" t="str">
        <f ca="1"/>
        <v>Nyamasheke_HS2_15</v>
      </c>
      <c r="C424">
        <f ca="1"/>
        <v>0.73195900000000003</v>
      </c>
      <c r="D424">
        <f ca="1"/>
        <v>0</v>
      </c>
      <c r="E424">
        <f ca="1"/>
        <v>0</v>
      </c>
      <c r="F424">
        <f ca="1"/>
        <v>0.231957</v>
      </c>
      <c r="G424">
        <f ca="1"/>
        <v>0.40384599999999998</v>
      </c>
      <c r="H424">
        <f ca="1"/>
        <v>1.1026069999999999</v>
      </c>
      <c r="I424">
        <f ca="1"/>
        <v>0</v>
      </c>
      <c r="J424">
        <f ca="1"/>
        <v>0</v>
      </c>
      <c r="K424">
        <f ca="1"/>
        <v>0</v>
      </c>
      <c r="L424">
        <f ca="1"/>
        <v>0</v>
      </c>
      <c r="M424">
        <f ca="1"/>
        <v>0.49909500000000001</v>
      </c>
      <c r="N424">
        <f ca="1"/>
        <v>0</v>
      </c>
      <c r="O424">
        <f ca="1"/>
        <v>0</v>
      </c>
      <c r="P424">
        <f ca="1"/>
        <v>0.99967499999999998</v>
      </c>
      <c r="Q424">
        <f ca="1"/>
        <v>0.27613399999999999</v>
      </c>
      <c r="R424">
        <f ca="1"/>
        <v>0.61285199999999995</v>
      </c>
      <c r="S424">
        <f ca="1"/>
        <v>0</v>
      </c>
      <c r="T424">
        <f ca="1"/>
        <v>0</v>
      </c>
      <c r="U424">
        <f ca="1"/>
        <v>0.99969699999999995</v>
      </c>
      <c r="V424">
        <f ca="1"/>
        <v>6.8880999999999998E-2</v>
      </c>
    </row>
    <row r="425" spans="1:22" x14ac:dyDescent="0.3">
      <c r="A425" t="str">
        <f ca="1"/>
        <v>424</v>
      </c>
      <c r="B425" t="str">
        <f ca="1"/>
        <v>Nyamasheke_HS3_15</v>
      </c>
      <c r="C425">
        <f ca="1"/>
        <v>1.3597239999999999</v>
      </c>
      <c r="D425">
        <f ca="1"/>
        <v>0</v>
      </c>
      <c r="E425">
        <f ca="1"/>
        <v>0</v>
      </c>
      <c r="F425">
        <f ca="1"/>
        <v>0.17740600000000001</v>
      </c>
      <c r="G425">
        <f ca="1"/>
        <v>0.247525</v>
      </c>
      <c r="H425">
        <f ca="1"/>
        <v>1.9028419999999999</v>
      </c>
      <c r="I425">
        <f ca="1"/>
        <v>0</v>
      </c>
      <c r="J425">
        <f ca="1"/>
        <v>0</v>
      </c>
      <c r="K425">
        <f ca="1"/>
        <v>0</v>
      </c>
      <c r="L425">
        <f ca="1"/>
        <v>0</v>
      </c>
      <c r="M425">
        <f ca="1"/>
        <v>0.67981000000000003</v>
      </c>
      <c r="N425">
        <f ca="1"/>
        <v>0.45031599999999999</v>
      </c>
      <c r="O425">
        <f ca="1"/>
        <v>0.64</v>
      </c>
      <c r="P425">
        <f ca="1"/>
        <v>0.47964099999999998</v>
      </c>
      <c r="Q425">
        <f ca="1"/>
        <v>7.2281999999999999E-2</v>
      </c>
      <c r="R425">
        <f ca="1"/>
        <v>0.77837900000000004</v>
      </c>
      <c r="S425">
        <f ca="1"/>
        <v>0.41597299999999998</v>
      </c>
      <c r="T425">
        <f ca="1"/>
        <v>0.61</v>
      </c>
      <c r="U425">
        <f ca="1"/>
        <v>0.45284000000000002</v>
      </c>
      <c r="V425">
        <f ca="1"/>
        <v>2.3508999999999999E-2</v>
      </c>
    </row>
    <row r="426" spans="1:22" x14ac:dyDescent="0.3">
      <c r="A426" t="str">
        <f ca="1"/>
        <v>425</v>
      </c>
      <c r="B426" t="str">
        <f ca="1"/>
        <v>Nyamasheke_HS4_15</v>
      </c>
      <c r="C426">
        <f ca="1"/>
        <v>0.37030299999999999</v>
      </c>
      <c r="D426">
        <f ca="1"/>
        <v>0</v>
      </c>
      <c r="E426">
        <f ca="1"/>
        <v>0</v>
      </c>
      <c r="F426">
        <f ca="1"/>
        <v>0.70454300000000003</v>
      </c>
      <c r="G426">
        <f ca="1"/>
        <v>0</v>
      </c>
      <c r="H426">
        <f ca="1"/>
        <v>0.66884399999999999</v>
      </c>
      <c r="I426">
        <f ca="1"/>
        <v>0</v>
      </c>
      <c r="J426">
        <f ca="1"/>
        <v>0</v>
      </c>
      <c r="K426">
        <f ca="1"/>
        <v>0</v>
      </c>
      <c r="L426">
        <f ca="1"/>
        <v>0</v>
      </c>
      <c r="M426">
        <f ca="1"/>
        <v>0.20744799999999999</v>
      </c>
      <c r="N426">
        <f ca="1"/>
        <v>0</v>
      </c>
      <c r="O426">
        <f ca="1"/>
        <v>0</v>
      </c>
      <c r="P426">
        <f ca="1"/>
        <v>0.99709800000000004</v>
      </c>
      <c r="Q426">
        <f ca="1"/>
        <v>0</v>
      </c>
      <c r="R426">
        <f ca="1"/>
        <v>0.22855800000000001</v>
      </c>
      <c r="S426">
        <f ca="1"/>
        <v>0</v>
      </c>
      <c r="T426">
        <f ca="1"/>
        <v>0</v>
      </c>
      <c r="U426">
        <f ca="1"/>
        <v>0.99709800000000004</v>
      </c>
      <c r="V426">
        <f ca="1"/>
        <v>0</v>
      </c>
    </row>
    <row r="427" spans="1:22" x14ac:dyDescent="0.3">
      <c r="A427" t="str">
        <f ca="1"/>
        <v>426</v>
      </c>
      <c r="B427" t="str">
        <f ca="1"/>
        <v>Nyamasheke_HS5_15</v>
      </c>
      <c r="C427">
        <f ca="1"/>
        <v>0.99560499999999996</v>
      </c>
      <c r="D427">
        <f ca="1"/>
        <v>0</v>
      </c>
      <c r="E427">
        <f ca="1"/>
        <v>0</v>
      </c>
      <c r="F427">
        <f ca="1"/>
        <v>0.61063999999999996</v>
      </c>
      <c r="G427">
        <f ca="1"/>
        <v>0</v>
      </c>
      <c r="H427">
        <f ca="1"/>
        <v>1.1032059999999999</v>
      </c>
      <c r="I427">
        <f ca="1"/>
        <v>0</v>
      </c>
      <c r="J427">
        <f ca="1"/>
        <v>0</v>
      </c>
      <c r="K427">
        <f ca="1"/>
        <v>0.485954</v>
      </c>
      <c r="L427">
        <f ca="1"/>
        <v>0</v>
      </c>
      <c r="M427">
        <f ca="1"/>
        <v>0.55135199999999995</v>
      </c>
      <c r="N427">
        <f ca="1"/>
        <v>0</v>
      </c>
      <c r="O427">
        <f ca="1"/>
        <v>0</v>
      </c>
      <c r="P427">
        <f ca="1"/>
        <v>0.99199599999999999</v>
      </c>
      <c r="Q427">
        <f ca="1"/>
        <v>0</v>
      </c>
      <c r="R427">
        <f ca="1"/>
        <v>0.64752699999999996</v>
      </c>
      <c r="S427">
        <f ca="1"/>
        <v>0</v>
      </c>
      <c r="T427">
        <f ca="1"/>
        <v>0</v>
      </c>
      <c r="U427">
        <f ca="1"/>
        <v>0.99199599999999999</v>
      </c>
      <c r="V427">
        <f ca="1"/>
        <v>0</v>
      </c>
    </row>
    <row r="428" spans="1:22" x14ac:dyDescent="0.3">
      <c r="A428" t="str">
        <f ca="1"/>
        <v>427</v>
      </c>
      <c r="B428" t="str">
        <f ca="1"/>
        <v>Nyamasheke_HS6_15</v>
      </c>
      <c r="C428">
        <f ca="1"/>
        <v>0.90068999999999999</v>
      </c>
      <c r="D428">
        <f ca="1"/>
        <v>0</v>
      </c>
      <c r="E428">
        <f ca="1"/>
        <v>0</v>
      </c>
      <c r="F428">
        <f ca="1"/>
        <v>0.37693100000000002</v>
      </c>
      <c r="G428">
        <f ca="1"/>
        <v>0</v>
      </c>
      <c r="H428">
        <f ca="1"/>
        <v>1.165853</v>
      </c>
      <c r="I428">
        <f ca="1"/>
        <v>0</v>
      </c>
      <c r="J428">
        <f ca="1"/>
        <v>0</v>
      </c>
      <c r="K428">
        <f ca="1"/>
        <v>0</v>
      </c>
      <c r="L428">
        <f ca="1"/>
        <v>0</v>
      </c>
      <c r="M428">
        <f ca="1"/>
        <v>0.47946299999999997</v>
      </c>
      <c r="N428">
        <f ca="1"/>
        <v>0</v>
      </c>
      <c r="O428">
        <f ca="1"/>
        <v>0</v>
      </c>
      <c r="P428">
        <f ca="1"/>
        <v>0.99648099999999995</v>
      </c>
      <c r="Q428">
        <f ca="1"/>
        <v>0</v>
      </c>
      <c r="R428">
        <f ca="1"/>
        <v>0.53467600000000004</v>
      </c>
      <c r="S428">
        <f ca="1"/>
        <v>0</v>
      </c>
      <c r="T428">
        <f ca="1"/>
        <v>0</v>
      </c>
      <c r="U428">
        <f ca="1"/>
        <v>0.99648099999999995</v>
      </c>
      <c r="V428">
        <f ca="1"/>
        <v>0</v>
      </c>
    </row>
    <row r="429" spans="1:22" x14ac:dyDescent="0.3">
      <c r="A429" t="str">
        <f ca="1"/>
        <v>428</v>
      </c>
      <c r="B429" t="str">
        <f ca="1"/>
        <v>Nyamasheke_HS7_15</v>
      </c>
      <c r="C429">
        <f ca="1"/>
        <v>0.87507900000000005</v>
      </c>
      <c r="D429">
        <f ca="1"/>
        <v>0</v>
      </c>
      <c r="E429">
        <f ca="1"/>
        <v>0</v>
      </c>
      <c r="F429">
        <f ca="1"/>
        <v>0.214897</v>
      </c>
      <c r="G429">
        <f ca="1"/>
        <v>0</v>
      </c>
      <c r="H429">
        <f ca="1"/>
        <v>0.965534</v>
      </c>
      <c r="I429">
        <f ca="1"/>
        <v>0</v>
      </c>
      <c r="J429">
        <f ca="1"/>
        <v>0</v>
      </c>
      <c r="K429">
        <f ca="1"/>
        <v>0</v>
      </c>
      <c r="L429">
        <f ca="1"/>
        <v>0</v>
      </c>
      <c r="M429">
        <f ca="1"/>
        <v>0.321857</v>
      </c>
      <c r="N429">
        <f ca="1"/>
        <v>0</v>
      </c>
      <c r="O429">
        <f ca="1"/>
        <v>0</v>
      </c>
      <c r="P429">
        <f ca="1"/>
        <v>0.99240700000000004</v>
      </c>
      <c r="Q429">
        <f ca="1"/>
        <v>0</v>
      </c>
      <c r="R429">
        <f ca="1"/>
        <v>0.34165699999999999</v>
      </c>
      <c r="S429">
        <f ca="1"/>
        <v>0</v>
      </c>
      <c r="T429">
        <f ca="1"/>
        <v>0</v>
      </c>
      <c r="U429">
        <f ca="1"/>
        <v>0.99240700000000004</v>
      </c>
      <c r="V429">
        <f ca="1"/>
        <v>0</v>
      </c>
    </row>
    <row r="430" spans="1:22" x14ac:dyDescent="0.3">
      <c r="A430" t="str">
        <f ca="1"/>
        <v>429</v>
      </c>
      <c r="B430" t="str">
        <f ca="1"/>
        <v>Nyamasheke_HS8_15</v>
      </c>
      <c r="C430">
        <f ca="1"/>
        <v>0.42106100000000002</v>
      </c>
      <c r="D430">
        <f ca="1"/>
        <v>0</v>
      </c>
      <c r="E430">
        <f ca="1"/>
        <v>0</v>
      </c>
      <c r="F430">
        <f ca="1"/>
        <v>0.394646</v>
      </c>
      <c r="G430">
        <f ca="1"/>
        <v>0</v>
      </c>
      <c r="H430">
        <f ca="1"/>
        <v>0.58360500000000004</v>
      </c>
      <c r="I430">
        <f ca="1"/>
        <v>0</v>
      </c>
      <c r="J430">
        <f ca="1"/>
        <v>0</v>
      </c>
      <c r="K430">
        <f ca="1"/>
        <v>0</v>
      </c>
      <c r="L430">
        <f ca="1"/>
        <v>0</v>
      </c>
      <c r="M430">
        <f ca="1"/>
        <v>0.14578199999999999</v>
      </c>
      <c r="N430">
        <f ca="1"/>
        <v>0</v>
      </c>
      <c r="O430">
        <f ca="1"/>
        <v>0</v>
      </c>
      <c r="P430">
        <f ca="1"/>
        <v>0.99170999999999998</v>
      </c>
      <c r="Q430">
        <f ca="1"/>
        <v>0</v>
      </c>
      <c r="R430">
        <f ca="1"/>
        <v>0.15377199999999999</v>
      </c>
      <c r="S430">
        <f ca="1"/>
        <v>0</v>
      </c>
      <c r="T430">
        <f ca="1"/>
        <v>0</v>
      </c>
      <c r="U430">
        <f ca="1"/>
        <v>0.99170999999999998</v>
      </c>
      <c r="V430">
        <f ca="1"/>
        <v>0</v>
      </c>
    </row>
    <row r="431" spans="1:22" x14ac:dyDescent="0.3">
      <c r="A431" t="str">
        <f ca="1"/>
        <v>430</v>
      </c>
      <c r="B431" t="str">
        <f ca="1"/>
        <v>Nyamasheke_HS9_15</v>
      </c>
      <c r="C431">
        <f ca="1"/>
        <v>0.43774800000000003</v>
      </c>
      <c r="D431">
        <f ca="1"/>
        <v>0</v>
      </c>
      <c r="E431">
        <f ca="1"/>
        <v>0</v>
      </c>
      <c r="F431">
        <f ca="1"/>
        <v>0.60719100000000004</v>
      </c>
      <c r="G431">
        <f ca="1"/>
        <v>0</v>
      </c>
      <c r="H431">
        <f ca="1"/>
        <v>0.72460199999999997</v>
      </c>
      <c r="I431">
        <f ca="1"/>
        <v>0</v>
      </c>
      <c r="J431">
        <f ca="1"/>
        <v>0</v>
      </c>
      <c r="K431">
        <f ca="1"/>
        <v>0</v>
      </c>
      <c r="L431">
        <f ca="1"/>
        <v>0</v>
      </c>
      <c r="M431">
        <f ca="1"/>
        <v>0.28866799999999998</v>
      </c>
      <c r="N431">
        <f ca="1"/>
        <v>0</v>
      </c>
      <c r="O431">
        <f ca="1"/>
        <v>0</v>
      </c>
      <c r="P431">
        <f ca="1"/>
        <v>0.99288100000000001</v>
      </c>
      <c r="Q431">
        <f ca="1"/>
        <v>0</v>
      </c>
      <c r="R431">
        <f ca="1"/>
        <v>0.32532800000000001</v>
      </c>
      <c r="S431">
        <f ca="1"/>
        <v>0</v>
      </c>
      <c r="T431">
        <f ca="1"/>
        <v>0</v>
      </c>
      <c r="U431">
        <f ca="1"/>
        <v>0.99288100000000001</v>
      </c>
      <c r="V431">
        <f ca="1"/>
        <v>0</v>
      </c>
    </row>
    <row r="432" spans="1:22" x14ac:dyDescent="0.3">
      <c r="A432" t="str">
        <f ca="1"/>
        <v>431</v>
      </c>
      <c r="B432" t="str">
        <f ca="1"/>
        <v>Nyamugali_15</v>
      </c>
      <c r="C432">
        <f ca="1"/>
        <v>0.17235200000000001</v>
      </c>
      <c r="D432">
        <f ca="1"/>
        <v>0</v>
      </c>
      <c r="E432">
        <f ca="1"/>
        <v>0</v>
      </c>
      <c r="F432">
        <f ca="1"/>
        <v>5.8868999999999998E-2</v>
      </c>
      <c r="G432">
        <f ca="1"/>
        <v>0</v>
      </c>
      <c r="H432">
        <f ca="1"/>
        <v>0.17247399999999999</v>
      </c>
      <c r="I432">
        <f ca="1"/>
        <v>0</v>
      </c>
      <c r="J432">
        <f ca="1"/>
        <v>0</v>
      </c>
      <c r="K432">
        <f ca="1"/>
        <v>0</v>
      </c>
      <c r="L432">
        <f ca="1"/>
        <v>0</v>
      </c>
      <c r="M432">
        <f ca="1"/>
        <v>0.158971</v>
      </c>
      <c r="N432">
        <f ca="1"/>
        <v>0.44663199999999997</v>
      </c>
      <c r="O432">
        <f ca="1"/>
        <v>0.51</v>
      </c>
      <c r="P432">
        <f ca="1"/>
        <v>0</v>
      </c>
      <c r="Q432">
        <f ca="1"/>
        <v>0</v>
      </c>
      <c r="R432">
        <f ca="1"/>
        <v>0.158971</v>
      </c>
      <c r="S432">
        <f ca="1"/>
        <v>0.44663199999999997</v>
      </c>
      <c r="T432">
        <f ca="1"/>
        <v>0.51</v>
      </c>
      <c r="U432">
        <f ca="1"/>
        <v>0</v>
      </c>
      <c r="V432">
        <f ca="1"/>
        <v>0</v>
      </c>
    </row>
    <row r="433" spans="1:22" x14ac:dyDescent="0.3">
      <c r="A433" t="str">
        <f ca="1"/>
        <v>432</v>
      </c>
      <c r="B433" t="str">
        <f ca="1"/>
        <v>Nyanza_HS0_15</v>
      </c>
      <c r="C433">
        <f ca="1"/>
        <v>0.34299800000000003</v>
      </c>
      <c r="D433">
        <f ca="1"/>
        <v>0</v>
      </c>
      <c r="E433">
        <f ca="1"/>
        <v>0</v>
      </c>
      <c r="F433">
        <f ca="1"/>
        <v>0.212455</v>
      </c>
      <c r="G433">
        <f ca="1"/>
        <v>0</v>
      </c>
      <c r="H433">
        <f ca="1"/>
        <v>0.374886</v>
      </c>
      <c r="I433">
        <f ca="1"/>
        <v>0</v>
      </c>
      <c r="J433">
        <f ca="1"/>
        <v>0</v>
      </c>
      <c r="K433">
        <f ca="1"/>
        <v>0</v>
      </c>
      <c r="L433">
        <f ca="1"/>
        <v>0</v>
      </c>
      <c r="M433">
        <f ca="1"/>
        <v>0.43306699999999998</v>
      </c>
      <c r="N433">
        <f ca="1"/>
        <v>0.55623199999999995</v>
      </c>
      <c r="O433">
        <f ca="1"/>
        <v>0.53</v>
      </c>
      <c r="P433">
        <f ca="1"/>
        <v>0</v>
      </c>
      <c r="Q433">
        <f ca="1"/>
        <v>0</v>
      </c>
      <c r="R433">
        <f ca="1"/>
        <v>0.43306699999999998</v>
      </c>
      <c r="S433">
        <f ca="1"/>
        <v>0.55623199999999995</v>
      </c>
      <c r="T433">
        <f ca="1"/>
        <v>0.53</v>
      </c>
      <c r="U433">
        <f ca="1"/>
        <v>0</v>
      </c>
      <c r="V433">
        <f ca="1"/>
        <v>0</v>
      </c>
    </row>
    <row r="434" spans="1:22" x14ac:dyDescent="0.3">
      <c r="A434" t="str">
        <f ca="1"/>
        <v>433</v>
      </c>
      <c r="B434" t="str">
        <f ca="1"/>
        <v>Nyanza_HS10_15</v>
      </c>
      <c r="C434">
        <f ca="1"/>
        <v>0.24915499999999999</v>
      </c>
      <c r="D434">
        <f ca="1"/>
        <v>0</v>
      </c>
      <c r="E434">
        <f ca="1"/>
        <v>0</v>
      </c>
      <c r="F434">
        <f ca="1"/>
        <v>0.26307399999999997</v>
      </c>
      <c r="G434">
        <f ca="1"/>
        <v>0</v>
      </c>
      <c r="H434">
        <f ca="1"/>
        <v>0.262264</v>
      </c>
      <c r="I434">
        <f ca="1"/>
        <v>0</v>
      </c>
      <c r="J434">
        <f ca="1"/>
        <v>0</v>
      </c>
      <c r="K434">
        <f ca="1"/>
        <v>0</v>
      </c>
      <c r="L434">
        <f ca="1"/>
        <v>0</v>
      </c>
      <c r="M434">
        <f ca="1"/>
        <v>0.349887</v>
      </c>
      <c r="N434">
        <f ca="1"/>
        <v>0.54462100000000002</v>
      </c>
      <c r="O434">
        <f ca="1"/>
        <v>0.49</v>
      </c>
      <c r="P434">
        <f ca="1"/>
        <v>0</v>
      </c>
      <c r="Q434">
        <f ca="1"/>
        <v>0</v>
      </c>
      <c r="R434">
        <f ca="1"/>
        <v>0.349887</v>
      </c>
      <c r="S434">
        <f ca="1"/>
        <v>0.54462100000000002</v>
      </c>
      <c r="T434">
        <f ca="1"/>
        <v>0.49</v>
      </c>
      <c r="U434">
        <f ca="1"/>
        <v>0</v>
      </c>
      <c r="V434">
        <f ca="1"/>
        <v>0</v>
      </c>
    </row>
    <row r="435" spans="1:22" x14ac:dyDescent="0.3">
      <c r="A435" t="str">
        <f ca="1"/>
        <v>434</v>
      </c>
      <c r="B435" t="str">
        <f ca="1"/>
        <v>Nyanza_HS11_15</v>
      </c>
      <c r="C435">
        <f ca="1"/>
        <v>0.175841</v>
      </c>
      <c r="D435">
        <f ca="1"/>
        <v>0</v>
      </c>
      <c r="E435">
        <f ca="1"/>
        <v>0</v>
      </c>
      <c r="F435">
        <f ca="1"/>
        <v>0.42891899999999999</v>
      </c>
      <c r="G435">
        <f ca="1"/>
        <v>0</v>
      </c>
      <c r="H435">
        <f ca="1"/>
        <v>0.20380000000000001</v>
      </c>
      <c r="I435">
        <f ca="1"/>
        <v>0</v>
      </c>
      <c r="J435">
        <f ca="1"/>
        <v>0</v>
      </c>
      <c r="K435">
        <f ca="1"/>
        <v>0</v>
      </c>
      <c r="L435">
        <f ca="1"/>
        <v>0</v>
      </c>
      <c r="M435">
        <f ca="1"/>
        <v>0.27642299999999997</v>
      </c>
      <c r="N435">
        <f ca="1"/>
        <v>0.506795</v>
      </c>
      <c r="O435">
        <f ca="1"/>
        <v>0.5</v>
      </c>
      <c r="P435">
        <f ca="1"/>
        <v>0</v>
      </c>
      <c r="Q435">
        <f ca="1"/>
        <v>0</v>
      </c>
      <c r="R435">
        <f ca="1"/>
        <v>0.27642299999999997</v>
      </c>
      <c r="S435">
        <f ca="1"/>
        <v>0.506795</v>
      </c>
      <c r="T435">
        <f ca="1"/>
        <v>0.5</v>
      </c>
      <c r="U435">
        <f ca="1"/>
        <v>0</v>
      </c>
      <c r="V435">
        <f ca="1"/>
        <v>0</v>
      </c>
    </row>
    <row r="436" spans="1:22" x14ac:dyDescent="0.3">
      <c r="A436" t="str">
        <f ca="1"/>
        <v>435</v>
      </c>
      <c r="B436" t="str">
        <f ca="1"/>
        <v>Nyanza_HS12_15</v>
      </c>
      <c r="C436">
        <f ca="1"/>
        <v>0.26994600000000002</v>
      </c>
      <c r="D436">
        <f ca="1"/>
        <v>0.40282699999999999</v>
      </c>
      <c r="E436">
        <f ca="1"/>
        <v>5.4130000000000003E-3</v>
      </c>
      <c r="F436">
        <f ca="1"/>
        <v>0.41762500000000002</v>
      </c>
      <c r="G436">
        <f ca="1"/>
        <v>0</v>
      </c>
      <c r="H436">
        <f ca="1"/>
        <v>0.32524999999999998</v>
      </c>
      <c r="I436">
        <f ca="1"/>
        <v>0</v>
      </c>
      <c r="J436">
        <f ca="1"/>
        <v>0</v>
      </c>
      <c r="K436">
        <f ca="1"/>
        <v>0</v>
      </c>
      <c r="L436">
        <f ca="1"/>
        <v>0</v>
      </c>
      <c r="M436">
        <f ca="1"/>
        <v>0.34535199999999999</v>
      </c>
      <c r="N436">
        <f ca="1"/>
        <v>0.48901499999999998</v>
      </c>
      <c r="O436">
        <f ca="1"/>
        <v>0.5</v>
      </c>
      <c r="P436">
        <f ca="1"/>
        <v>0</v>
      </c>
      <c r="Q436">
        <f ca="1"/>
        <v>0</v>
      </c>
      <c r="R436">
        <f ca="1"/>
        <v>0.34535199999999999</v>
      </c>
      <c r="S436">
        <f ca="1"/>
        <v>0.48901499999999998</v>
      </c>
      <c r="T436">
        <f ca="1"/>
        <v>0.5</v>
      </c>
      <c r="U436">
        <f ca="1"/>
        <v>0</v>
      </c>
      <c r="V436">
        <f ca="1"/>
        <v>0</v>
      </c>
    </row>
    <row r="437" spans="1:22" x14ac:dyDescent="0.3">
      <c r="A437" t="str">
        <f ca="1"/>
        <v>436</v>
      </c>
      <c r="B437" t="str">
        <f ca="1"/>
        <v>Nyanza_HS13_15</v>
      </c>
      <c r="C437">
        <f ca="1"/>
        <v>0.97372899999999996</v>
      </c>
      <c r="D437">
        <f ca="1"/>
        <v>0.60492999999999997</v>
      </c>
      <c r="E437">
        <f ca="1"/>
        <v>1.4982000000000001E-2</v>
      </c>
      <c r="F437">
        <f ca="1"/>
        <v>0.61118099999999997</v>
      </c>
      <c r="G437">
        <f ca="1"/>
        <v>0.69916</v>
      </c>
      <c r="H437">
        <f ca="1"/>
        <v>0.25686900000000001</v>
      </c>
      <c r="I437">
        <f ca="1"/>
        <v>0</v>
      </c>
      <c r="J437">
        <f ca="1"/>
        <v>0</v>
      </c>
      <c r="K437">
        <f ca="1"/>
        <v>0.99895199999999995</v>
      </c>
      <c r="L437">
        <f ca="1"/>
        <v>0.17821799999999999</v>
      </c>
      <c r="M437">
        <f ca="1"/>
        <v>0.35602800000000001</v>
      </c>
      <c r="N437">
        <f ca="1"/>
        <v>0</v>
      </c>
      <c r="O437">
        <f ca="1"/>
        <v>0</v>
      </c>
      <c r="P437">
        <f ca="1"/>
        <v>0.99618799999999996</v>
      </c>
      <c r="Q437">
        <f ca="1"/>
        <v>0.67897200000000002</v>
      </c>
      <c r="R437">
        <f ca="1"/>
        <v>0.41314099999999998</v>
      </c>
      <c r="S437">
        <f ca="1"/>
        <v>0</v>
      </c>
      <c r="T437">
        <f ca="1"/>
        <v>0</v>
      </c>
      <c r="U437">
        <f ca="1"/>
        <v>0.998498</v>
      </c>
      <c r="V437">
        <f ca="1"/>
        <v>0.36236299999999999</v>
      </c>
    </row>
    <row r="438" spans="1:22" x14ac:dyDescent="0.3">
      <c r="A438" t="str">
        <f ca="1"/>
        <v>437</v>
      </c>
      <c r="B438" t="str">
        <f ca="1"/>
        <v>Nyanza_HS14_15</v>
      </c>
      <c r="C438">
        <f ca="1"/>
        <v>0.28648099999999999</v>
      </c>
      <c r="D438">
        <f ca="1"/>
        <v>0</v>
      </c>
      <c r="E438">
        <f ca="1"/>
        <v>0</v>
      </c>
      <c r="F438">
        <f ca="1"/>
        <v>0.121776</v>
      </c>
      <c r="G438">
        <f ca="1"/>
        <v>0</v>
      </c>
      <c r="H438">
        <f ca="1"/>
        <v>0.300842</v>
      </c>
      <c r="I438">
        <f ca="1"/>
        <v>0</v>
      </c>
      <c r="J438">
        <f ca="1"/>
        <v>0</v>
      </c>
      <c r="K438">
        <f ca="1"/>
        <v>0</v>
      </c>
      <c r="L438">
        <f ca="1"/>
        <v>0</v>
      </c>
      <c r="M438">
        <f ca="1"/>
        <v>0.24460000000000001</v>
      </c>
      <c r="N438">
        <f ca="1"/>
        <v>0.44633400000000001</v>
      </c>
      <c r="O438">
        <f ca="1"/>
        <v>0.55000000000000004</v>
      </c>
      <c r="P438">
        <f ca="1"/>
        <v>0</v>
      </c>
      <c r="Q438">
        <f ca="1"/>
        <v>0</v>
      </c>
      <c r="R438">
        <f ca="1"/>
        <v>0.24460000000000001</v>
      </c>
      <c r="S438">
        <f ca="1"/>
        <v>0.44633400000000001</v>
      </c>
      <c r="T438">
        <f ca="1"/>
        <v>0.55000000000000004</v>
      </c>
      <c r="U438">
        <f ca="1"/>
        <v>0</v>
      </c>
      <c r="V438">
        <f ca="1"/>
        <v>0</v>
      </c>
    </row>
    <row r="439" spans="1:22" x14ac:dyDescent="0.3">
      <c r="A439" t="str">
        <f ca="1"/>
        <v>438</v>
      </c>
      <c r="B439" t="str">
        <f ca="1"/>
        <v>Nyanza_HS15_15</v>
      </c>
      <c r="C439">
        <f ca="1"/>
        <v>0.206458</v>
      </c>
      <c r="D439">
        <f ca="1"/>
        <v>0</v>
      </c>
      <c r="E439">
        <f ca="1"/>
        <v>0</v>
      </c>
      <c r="F439">
        <f ca="1"/>
        <v>0.154919</v>
      </c>
      <c r="G439">
        <f ca="1"/>
        <v>0</v>
      </c>
      <c r="H439">
        <f ca="1"/>
        <v>0.210034</v>
      </c>
      <c r="I439">
        <f ca="1"/>
        <v>0</v>
      </c>
      <c r="J439">
        <f ca="1"/>
        <v>0</v>
      </c>
      <c r="K439">
        <f ca="1"/>
        <v>0</v>
      </c>
      <c r="L439">
        <f ca="1"/>
        <v>0</v>
      </c>
      <c r="M439">
        <f ca="1"/>
        <v>0.31875199999999998</v>
      </c>
      <c r="N439">
        <f ca="1"/>
        <v>0.61901300000000004</v>
      </c>
      <c r="O439">
        <f ca="1"/>
        <v>0.49</v>
      </c>
      <c r="P439">
        <f ca="1"/>
        <v>0</v>
      </c>
      <c r="Q439">
        <f ca="1"/>
        <v>0</v>
      </c>
      <c r="R439">
        <f ca="1"/>
        <v>0.31875199999999998</v>
      </c>
      <c r="S439">
        <f ca="1"/>
        <v>0.61901300000000004</v>
      </c>
      <c r="T439">
        <f ca="1"/>
        <v>0.49</v>
      </c>
      <c r="U439">
        <f ca="1"/>
        <v>0</v>
      </c>
      <c r="V439">
        <f ca="1"/>
        <v>0</v>
      </c>
    </row>
    <row r="440" spans="1:22" x14ac:dyDescent="0.3">
      <c r="A440" t="str">
        <f ca="1"/>
        <v>439</v>
      </c>
      <c r="B440" t="str">
        <f ca="1"/>
        <v>Nyanza_HS16_15</v>
      </c>
      <c r="C440">
        <f ca="1"/>
        <v>0.223248</v>
      </c>
      <c r="D440">
        <f ca="1"/>
        <v>0</v>
      </c>
      <c r="E440">
        <f ca="1"/>
        <v>0</v>
      </c>
      <c r="F440">
        <f ca="1"/>
        <v>0.42514600000000002</v>
      </c>
      <c r="G440">
        <f ca="1"/>
        <v>0</v>
      </c>
      <c r="H440">
        <f ca="1"/>
        <v>0.25486399999999998</v>
      </c>
      <c r="I440">
        <f ca="1"/>
        <v>0</v>
      </c>
      <c r="J440">
        <f ca="1"/>
        <v>0</v>
      </c>
      <c r="K440">
        <f ca="1"/>
        <v>0</v>
      </c>
      <c r="L440">
        <f ca="1"/>
        <v>0</v>
      </c>
      <c r="M440">
        <f ca="1"/>
        <v>0.346721</v>
      </c>
      <c r="N440">
        <f ca="1"/>
        <v>0.50688599999999995</v>
      </c>
      <c r="O440">
        <f ca="1"/>
        <v>0.49</v>
      </c>
      <c r="P440">
        <f ca="1"/>
        <v>0</v>
      </c>
      <c r="Q440">
        <f ca="1"/>
        <v>0</v>
      </c>
      <c r="R440">
        <f ca="1"/>
        <v>0.346721</v>
      </c>
      <c r="S440">
        <f ca="1"/>
        <v>0.50688599999999995</v>
      </c>
      <c r="T440">
        <f ca="1"/>
        <v>0.49</v>
      </c>
      <c r="U440">
        <f ca="1"/>
        <v>0</v>
      </c>
      <c r="V440">
        <f ca="1"/>
        <v>0</v>
      </c>
    </row>
    <row r="441" spans="1:22" x14ac:dyDescent="0.3">
      <c r="A441" t="str">
        <f ca="1"/>
        <v>440</v>
      </c>
      <c r="B441" t="str">
        <f ca="1"/>
        <v>Nyanza_HS1_15</v>
      </c>
      <c r="C441">
        <f ca="1"/>
        <v>0.62053000000000003</v>
      </c>
      <c r="D441">
        <f ca="1"/>
        <v>0</v>
      </c>
      <c r="E441">
        <f ca="1"/>
        <v>0</v>
      </c>
      <c r="F441">
        <f ca="1"/>
        <v>0.32718199999999997</v>
      </c>
      <c r="G441">
        <f ca="1"/>
        <v>0</v>
      </c>
      <c r="H441">
        <f ca="1"/>
        <v>0.69517300000000004</v>
      </c>
      <c r="I441">
        <f ca="1"/>
        <v>0</v>
      </c>
      <c r="J441">
        <f ca="1"/>
        <v>0</v>
      </c>
      <c r="K441">
        <f ca="1"/>
        <v>0</v>
      </c>
      <c r="L441">
        <f ca="1"/>
        <v>0</v>
      </c>
      <c r="M441">
        <f ca="1"/>
        <v>0.43158999999999997</v>
      </c>
      <c r="N441">
        <f ca="1"/>
        <v>0</v>
      </c>
      <c r="O441">
        <f ca="1"/>
        <v>0</v>
      </c>
      <c r="P441">
        <f ca="1"/>
        <v>0.98581300000000005</v>
      </c>
      <c r="Q441">
        <f ca="1"/>
        <v>0</v>
      </c>
      <c r="R441">
        <f ca="1"/>
        <v>0.46065699999999998</v>
      </c>
      <c r="S441">
        <f ca="1"/>
        <v>0</v>
      </c>
      <c r="T441">
        <f ca="1"/>
        <v>0</v>
      </c>
      <c r="U441">
        <f ca="1"/>
        <v>0.98581300000000005</v>
      </c>
      <c r="V441">
        <f ca="1"/>
        <v>0</v>
      </c>
    </row>
    <row r="442" spans="1:22" x14ac:dyDescent="0.3">
      <c r="A442" t="str">
        <f ca="1"/>
        <v>441</v>
      </c>
      <c r="B442" t="str">
        <f ca="1"/>
        <v>Nyanza_HS2_15</v>
      </c>
      <c r="C442">
        <f ca="1"/>
        <v>0.38692900000000002</v>
      </c>
      <c r="D442">
        <f ca="1"/>
        <v>0</v>
      </c>
      <c r="E442">
        <f ca="1"/>
        <v>0</v>
      </c>
      <c r="F442">
        <f ca="1"/>
        <v>0.742286</v>
      </c>
      <c r="G442">
        <f ca="1"/>
        <v>0</v>
      </c>
      <c r="H442">
        <f ca="1"/>
        <v>0.64135500000000001</v>
      </c>
      <c r="I442">
        <f ca="1"/>
        <v>0</v>
      </c>
      <c r="J442">
        <f ca="1"/>
        <v>0</v>
      </c>
      <c r="K442">
        <f ca="1"/>
        <v>0</v>
      </c>
      <c r="L442">
        <f ca="1"/>
        <v>0</v>
      </c>
      <c r="M442">
        <f ca="1"/>
        <v>0.331341</v>
      </c>
      <c r="N442">
        <f ca="1"/>
        <v>0</v>
      </c>
      <c r="O442">
        <f ca="1"/>
        <v>0</v>
      </c>
      <c r="P442">
        <f ca="1"/>
        <v>0.98672300000000002</v>
      </c>
      <c r="Q442">
        <f ca="1"/>
        <v>0</v>
      </c>
      <c r="R442">
        <f ca="1"/>
        <v>0.36197699999999999</v>
      </c>
      <c r="S442">
        <f ca="1"/>
        <v>0</v>
      </c>
      <c r="T442">
        <f ca="1"/>
        <v>0</v>
      </c>
      <c r="U442">
        <f ca="1"/>
        <v>0.98672300000000002</v>
      </c>
      <c r="V442">
        <f ca="1"/>
        <v>0</v>
      </c>
    </row>
    <row r="443" spans="1:22" x14ac:dyDescent="0.3">
      <c r="A443" t="str">
        <f ca="1"/>
        <v>442</v>
      </c>
      <c r="B443" t="str">
        <f ca="1"/>
        <v>Nyanza_HS3_15</v>
      </c>
      <c r="C443">
        <f ca="1"/>
        <v>1.2230799999999999</v>
      </c>
      <c r="D443">
        <f ca="1"/>
        <v>0.413437</v>
      </c>
      <c r="E443">
        <f ca="1"/>
        <v>1.0337000000000001E-2</v>
      </c>
      <c r="F443">
        <f ca="1"/>
        <v>0.38541300000000001</v>
      </c>
      <c r="G443">
        <f ca="1"/>
        <v>0.76265799999999995</v>
      </c>
      <c r="H443">
        <f ca="1"/>
        <v>0.36203400000000002</v>
      </c>
      <c r="I443">
        <f ca="1"/>
        <v>0</v>
      </c>
      <c r="J443">
        <f ca="1"/>
        <v>0</v>
      </c>
      <c r="K443">
        <f ca="1"/>
        <v>0.99876100000000001</v>
      </c>
      <c r="L443">
        <f ca="1"/>
        <v>0.12809599999999999</v>
      </c>
      <c r="M443">
        <f ca="1"/>
        <v>0.48774400000000001</v>
      </c>
      <c r="N443">
        <f ca="1"/>
        <v>0</v>
      </c>
      <c r="O443">
        <f ca="1"/>
        <v>0</v>
      </c>
      <c r="P443">
        <f ca="1"/>
        <v>0.98684799999999995</v>
      </c>
      <c r="Q443">
        <f ca="1"/>
        <v>0.86874099999999999</v>
      </c>
      <c r="R443">
        <f ca="1"/>
        <v>0.603105</v>
      </c>
      <c r="S443">
        <f ca="1"/>
        <v>0</v>
      </c>
      <c r="T443">
        <f ca="1"/>
        <v>0</v>
      </c>
      <c r="U443">
        <f ca="1"/>
        <v>0.99267499999999997</v>
      </c>
      <c r="V443">
        <f ca="1"/>
        <v>0.443131</v>
      </c>
    </row>
    <row r="444" spans="1:22" x14ac:dyDescent="0.3">
      <c r="A444" t="str">
        <f ca="1"/>
        <v>443</v>
      </c>
      <c r="B444" t="str">
        <f ca="1"/>
        <v>Nyanza_HS4_15</v>
      </c>
      <c r="C444">
        <f ca="1"/>
        <v>1.037398</v>
      </c>
      <c r="D444">
        <f ca="1"/>
        <v>0.23022999999999999</v>
      </c>
      <c r="E444">
        <f ca="1"/>
        <v>0</v>
      </c>
      <c r="F444">
        <f ca="1"/>
        <v>0.111751</v>
      </c>
      <c r="G444">
        <f ca="1"/>
        <v>0</v>
      </c>
      <c r="H444">
        <f ca="1"/>
        <v>1.1081570000000001</v>
      </c>
      <c r="I444">
        <f ca="1"/>
        <v>0</v>
      </c>
      <c r="J444">
        <f ca="1"/>
        <v>0</v>
      </c>
      <c r="K444">
        <f ca="1"/>
        <v>0</v>
      </c>
      <c r="L444">
        <f ca="1"/>
        <v>0</v>
      </c>
      <c r="M444">
        <f ca="1"/>
        <v>0.68319200000000002</v>
      </c>
      <c r="N444">
        <f ca="1"/>
        <v>0.38101200000000002</v>
      </c>
      <c r="O444">
        <f ca="1"/>
        <v>0.57999999999999996</v>
      </c>
      <c r="P444">
        <f ca="1"/>
        <v>0.56015700000000002</v>
      </c>
      <c r="Q444">
        <f ca="1"/>
        <v>0</v>
      </c>
      <c r="R444">
        <f ca="1"/>
        <v>0.72827799999999998</v>
      </c>
      <c r="S444">
        <f ca="1"/>
        <v>0.38101200000000002</v>
      </c>
      <c r="T444">
        <f ca="1"/>
        <v>0.57999999999999996</v>
      </c>
      <c r="U444">
        <f ca="1"/>
        <v>0.56015700000000002</v>
      </c>
      <c r="V444">
        <f ca="1"/>
        <v>0</v>
      </c>
    </row>
    <row r="445" spans="1:22" x14ac:dyDescent="0.3">
      <c r="A445" t="str">
        <f ca="1"/>
        <v>444</v>
      </c>
      <c r="B445" t="str">
        <f ca="1"/>
        <v>Nyanza_HS5_15</v>
      </c>
      <c r="C445">
        <f ca="1"/>
        <v>0.61880100000000005</v>
      </c>
      <c r="D445">
        <f ca="1"/>
        <v>0</v>
      </c>
      <c r="E445">
        <f ca="1"/>
        <v>0</v>
      </c>
      <c r="F445">
        <f ca="1"/>
        <v>0.31291999999999998</v>
      </c>
      <c r="G445">
        <f ca="1"/>
        <v>0</v>
      </c>
      <c r="H445">
        <f ca="1"/>
        <v>0.67254999999999998</v>
      </c>
      <c r="I445">
        <f ca="1"/>
        <v>0</v>
      </c>
      <c r="J445">
        <f ca="1"/>
        <v>0</v>
      </c>
      <c r="K445">
        <f ca="1"/>
        <v>0</v>
      </c>
      <c r="L445">
        <f ca="1"/>
        <v>0</v>
      </c>
      <c r="M445">
        <f ca="1"/>
        <v>0.71781200000000001</v>
      </c>
      <c r="N445">
        <f ca="1"/>
        <v>0.47309099999999998</v>
      </c>
      <c r="O445">
        <f ca="1"/>
        <v>0.51679900000000001</v>
      </c>
      <c r="P445">
        <f ca="1"/>
        <v>0</v>
      </c>
      <c r="Q445">
        <f ca="1"/>
        <v>0</v>
      </c>
      <c r="R445">
        <f ca="1"/>
        <v>0.71781200000000001</v>
      </c>
      <c r="S445">
        <f ca="1"/>
        <v>0.47309099999999998</v>
      </c>
      <c r="T445">
        <f ca="1"/>
        <v>0.51679900000000001</v>
      </c>
      <c r="U445">
        <f ca="1"/>
        <v>0</v>
      </c>
      <c r="V445">
        <f ca="1"/>
        <v>0</v>
      </c>
    </row>
    <row r="446" spans="1:22" x14ac:dyDescent="0.3">
      <c r="A446" t="str">
        <f ca="1"/>
        <v>445</v>
      </c>
      <c r="B446" t="str">
        <f ca="1"/>
        <v>Nyanza_HS6_15</v>
      </c>
      <c r="C446">
        <f ca="1"/>
        <v>0.88112800000000002</v>
      </c>
      <c r="D446">
        <f ca="1"/>
        <v>0</v>
      </c>
      <c r="E446">
        <f ca="1"/>
        <v>0</v>
      </c>
      <c r="F446">
        <f ca="1"/>
        <v>0.12076000000000001</v>
      </c>
      <c r="G446">
        <f ca="1"/>
        <v>0</v>
      </c>
      <c r="H446">
        <f ca="1"/>
        <v>0.98527600000000004</v>
      </c>
      <c r="I446">
        <f ca="1"/>
        <v>0</v>
      </c>
      <c r="J446">
        <f ca="1"/>
        <v>0</v>
      </c>
      <c r="K446">
        <f ca="1"/>
        <v>0</v>
      </c>
      <c r="L446">
        <f ca="1"/>
        <v>0</v>
      </c>
      <c r="M446">
        <f ca="1"/>
        <v>0.51981999999999995</v>
      </c>
      <c r="N446">
        <f ca="1"/>
        <v>0</v>
      </c>
      <c r="O446">
        <f ca="1"/>
        <v>0</v>
      </c>
      <c r="P446">
        <f ca="1"/>
        <v>0.98772800000000005</v>
      </c>
      <c r="Q446">
        <f ca="1"/>
        <v>0</v>
      </c>
      <c r="R446">
        <f ca="1"/>
        <v>0.59903499999999998</v>
      </c>
      <c r="S446">
        <f ca="1"/>
        <v>0</v>
      </c>
      <c r="T446">
        <f ca="1"/>
        <v>0</v>
      </c>
      <c r="U446">
        <f ca="1"/>
        <v>0.98772800000000005</v>
      </c>
      <c r="V446">
        <f ca="1"/>
        <v>0</v>
      </c>
    </row>
    <row r="447" spans="1:22" x14ac:dyDescent="0.3">
      <c r="A447" t="str">
        <f ca="1"/>
        <v>446</v>
      </c>
      <c r="B447" t="str">
        <f ca="1"/>
        <v>Nyanza_HS7_15</v>
      </c>
      <c r="C447">
        <f ca="1"/>
        <v>0.68688000000000005</v>
      </c>
      <c r="D447">
        <f ca="1"/>
        <v>0</v>
      </c>
      <c r="E447">
        <f ca="1"/>
        <v>0</v>
      </c>
      <c r="F447">
        <f ca="1"/>
        <v>0.25076999999999999</v>
      </c>
      <c r="G447">
        <f ca="1"/>
        <v>0</v>
      </c>
      <c r="H447">
        <f ca="1"/>
        <v>0.86361699999999997</v>
      </c>
      <c r="I447">
        <f ca="1"/>
        <v>0</v>
      </c>
      <c r="J447">
        <f ca="1"/>
        <v>0</v>
      </c>
      <c r="K447">
        <f ca="1"/>
        <v>0</v>
      </c>
      <c r="L447">
        <f ca="1"/>
        <v>0</v>
      </c>
      <c r="M447">
        <f ca="1"/>
        <v>0.41781699999999999</v>
      </c>
      <c r="N447">
        <f ca="1"/>
        <v>0</v>
      </c>
      <c r="O447">
        <f ca="1"/>
        <v>0</v>
      </c>
      <c r="P447">
        <f ca="1"/>
        <v>0.98316499999999996</v>
      </c>
      <c r="Q447">
        <f ca="1"/>
        <v>0</v>
      </c>
      <c r="R447">
        <f ca="1"/>
        <v>0.47990300000000002</v>
      </c>
      <c r="S447">
        <f ca="1"/>
        <v>0</v>
      </c>
      <c r="T447">
        <f ca="1"/>
        <v>0</v>
      </c>
      <c r="U447">
        <f ca="1"/>
        <v>0.98316499999999996</v>
      </c>
      <c r="V447">
        <f ca="1"/>
        <v>0</v>
      </c>
    </row>
    <row r="448" spans="1:22" x14ac:dyDescent="0.3">
      <c r="A448" t="str">
        <f ca="1"/>
        <v>447</v>
      </c>
      <c r="B448" t="str">
        <f ca="1"/>
        <v>Nyanza_HS8_15</v>
      </c>
      <c r="C448">
        <f ca="1"/>
        <v>0.57189999999999996</v>
      </c>
      <c r="D448">
        <f ca="1"/>
        <v>0</v>
      </c>
      <c r="E448">
        <f ca="1"/>
        <v>0</v>
      </c>
      <c r="F448">
        <f ca="1"/>
        <v>0.42207899999999998</v>
      </c>
      <c r="G448">
        <f ca="1"/>
        <v>0</v>
      </c>
      <c r="H448">
        <f ca="1"/>
        <v>0.70573799999999998</v>
      </c>
      <c r="I448">
        <f ca="1"/>
        <v>0</v>
      </c>
      <c r="J448">
        <f ca="1"/>
        <v>0</v>
      </c>
      <c r="K448">
        <f ca="1"/>
        <v>0</v>
      </c>
      <c r="L448">
        <f ca="1"/>
        <v>0</v>
      </c>
      <c r="M448">
        <f ca="1"/>
        <v>0.60724500000000003</v>
      </c>
      <c r="N448">
        <f ca="1"/>
        <v>0</v>
      </c>
      <c r="O448">
        <f ca="1"/>
        <v>0</v>
      </c>
      <c r="P448">
        <f ca="1"/>
        <v>0.98845300000000003</v>
      </c>
      <c r="Q448">
        <f ca="1"/>
        <v>0</v>
      </c>
      <c r="R448">
        <f ca="1"/>
        <v>0.69552400000000003</v>
      </c>
      <c r="S448">
        <f ca="1"/>
        <v>0</v>
      </c>
      <c r="T448">
        <f ca="1"/>
        <v>0</v>
      </c>
      <c r="U448">
        <f ca="1"/>
        <v>0.98845300000000003</v>
      </c>
      <c r="V448">
        <f ca="1"/>
        <v>0</v>
      </c>
    </row>
    <row r="449" spans="1:22" x14ac:dyDescent="0.3">
      <c r="A449" t="str">
        <f ca="1"/>
        <v>448</v>
      </c>
      <c r="B449" t="str">
        <f ca="1"/>
        <v>Nyanza_HS9_15</v>
      </c>
      <c r="C449">
        <f ca="1"/>
        <v>0.38533699999999999</v>
      </c>
      <c r="D449">
        <f ca="1"/>
        <v>0</v>
      </c>
      <c r="E449">
        <f ca="1"/>
        <v>0</v>
      </c>
      <c r="F449">
        <f ca="1"/>
        <v>0.43700600000000001</v>
      </c>
      <c r="G449">
        <f ca="1"/>
        <v>0</v>
      </c>
      <c r="H449">
        <f ca="1"/>
        <v>0.45308100000000001</v>
      </c>
      <c r="I449">
        <f ca="1"/>
        <v>0</v>
      </c>
      <c r="J449">
        <f ca="1"/>
        <v>0</v>
      </c>
      <c r="K449">
        <f ca="1"/>
        <v>0</v>
      </c>
      <c r="L449">
        <f ca="1"/>
        <v>0</v>
      </c>
      <c r="M449">
        <f ca="1"/>
        <v>0.33157399999999998</v>
      </c>
      <c r="N449">
        <f ca="1"/>
        <v>0</v>
      </c>
      <c r="O449">
        <f ca="1"/>
        <v>0</v>
      </c>
      <c r="P449">
        <f ca="1"/>
        <v>0.98802699999999999</v>
      </c>
      <c r="Q449">
        <f ca="1"/>
        <v>0</v>
      </c>
      <c r="R449">
        <f ca="1"/>
        <v>0.35422399999999998</v>
      </c>
      <c r="S449">
        <f ca="1"/>
        <v>0</v>
      </c>
      <c r="T449">
        <f ca="1"/>
        <v>0</v>
      </c>
      <c r="U449">
        <f ca="1"/>
        <v>0.98802699999999999</v>
      </c>
      <c r="V449">
        <f ca="1"/>
        <v>0</v>
      </c>
    </row>
    <row r="450" spans="1:22" x14ac:dyDescent="0.3">
      <c r="A450" t="str">
        <f ca="1"/>
        <v>449</v>
      </c>
      <c r="B450" t="str">
        <f ca="1"/>
        <v>Nyarugenge_HS0_15</v>
      </c>
      <c r="C450">
        <f ca="1"/>
        <v>0.71798099999999998</v>
      </c>
      <c r="D450">
        <f ca="1"/>
        <v>0.50919800000000004</v>
      </c>
      <c r="E450">
        <f ca="1"/>
        <v>8.3289999999999996E-3</v>
      </c>
      <c r="F450">
        <f ca="1"/>
        <v>0.30316199999999999</v>
      </c>
      <c r="G450">
        <f ca="1"/>
        <v>0.20786499999999999</v>
      </c>
      <c r="H450">
        <f ca="1"/>
        <v>0.264403</v>
      </c>
      <c r="I450">
        <f ca="1"/>
        <v>0</v>
      </c>
      <c r="J450">
        <f ca="1"/>
        <v>0</v>
      </c>
      <c r="K450">
        <f ca="1"/>
        <v>0.99417800000000001</v>
      </c>
      <c r="L450">
        <f ca="1"/>
        <v>6.8256999999999998E-2</v>
      </c>
      <c r="M450">
        <f ca="1"/>
        <v>0.38486199999999998</v>
      </c>
      <c r="N450">
        <f ca="1"/>
        <v>0</v>
      </c>
      <c r="O450">
        <f ca="1"/>
        <v>0</v>
      </c>
      <c r="P450">
        <f ca="1"/>
        <v>0.99263400000000002</v>
      </c>
      <c r="Q450">
        <f ca="1"/>
        <v>0.76970300000000003</v>
      </c>
      <c r="R450">
        <f ca="1"/>
        <v>0.48453200000000002</v>
      </c>
      <c r="S450">
        <f ca="1"/>
        <v>0</v>
      </c>
      <c r="T450">
        <f ca="1"/>
        <v>0</v>
      </c>
      <c r="U450">
        <f ca="1"/>
        <v>0.99352499999999999</v>
      </c>
      <c r="V450">
        <f ca="1"/>
        <v>0.28456799999999999</v>
      </c>
    </row>
    <row r="451" spans="1:22" x14ac:dyDescent="0.3">
      <c r="A451" t="str">
        <f ca="1"/>
        <v>450</v>
      </c>
      <c r="B451" t="str">
        <f ca="1"/>
        <v>Nyarugenge_HS10_15</v>
      </c>
      <c r="C451">
        <f ca="1"/>
        <v>1.1963170000000001</v>
      </c>
      <c r="D451">
        <f ca="1"/>
        <v>0.65252100000000002</v>
      </c>
      <c r="E451">
        <f ca="1"/>
        <v>0</v>
      </c>
      <c r="F451">
        <f ca="1"/>
        <v>0.52751000000000003</v>
      </c>
      <c r="G451">
        <f ca="1"/>
        <v>0.99800599999999995</v>
      </c>
      <c r="H451">
        <f ca="1"/>
        <v>0.42849999999999999</v>
      </c>
      <c r="I451">
        <f ca="1"/>
        <v>0</v>
      </c>
      <c r="J451">
        <f ca="1"/>
        <v>0</v>
      </c>
      <c r="K451">
        <f ca="1"/>
        <v>0.99943400000000004</v>
      </c>
      <c r="L451">
        <f ca="1"/>
        <v>0.95674899999999996</v>
      </c>
      <c r="M451">
        <f ca="1"/>
        <v>0.35263299999999997</v>
      </c>
      <c r="N451">
        <f ca="1"/>
        <v>0</v>
      </c>
      <c r="O451">
        <f ca="1"/>
        <v>0</v>
      </c>
      <c r="P451">
        <f ca="1"/>
        <v>0.99981900000000001</v>
      </c>
      <c r="Q451">
        <f ca="1"/>
        <v>0.99888299999999997</v>
      </c>
      <c r="R451">
        <f ca="1"/>
        <v>0.59358599999999995</v>
      </c>
      <c r="S451">
        <f ca="1"/>
        <v>0</v>
      </c>
      <c r="T451">
        <f ca="1"/>
        <v>0</v>
      </c>
      <c r="U451">
        <f ca="1"/>
        <v>0.99981299999999995</v>
      </c>
      <c r="V451">
        <f ca="1"/>
        <v>0.99107999999999996</v>
      </c>
    </row>
    <row r="452" spans="1:22" x14ac:dyDescent="0.3">
      <c r="A452" t="str">
        <f ca="1"/>
        <v>451</v>
      </c>
      <c r="B452" t="str">
        <f ca="1"/>
        <v>Nyarugenge_HS11_15</v>
      </c>
      <c r="C452">
        <f ca="1"/>
        <v>0.91711399999999998</v>
      </c>
      <c r="D452">
        <f ca="1"/>
        <v>0.41463699999999998</v>
      </c>
      <c r="E452">
        <f ca="1"/>
        <v>0</v>
      </c>
      <c r="F452">
        <f ca="1"/>
        <v>0.19900599999999999</v>
      </c>
      <c r="G452">
        <f ca="1"/>
        <v>0.69338</v>
      </c>
      <c r="H452">
        <f ca="1"/>
        <v>0.30881500000000001</v>
      </c>
      <c r="I452">
        <f ca="1"/>
        <v>0</v>
      </c>
      <c r="J452">
        <f ca="1"/>
        <v>0</v>
      </c>
      <c r="K452">
        <f ca="1"/>
        <v>0.99934299999999998</v>
      </c>
      <c r="L452">
        <f ca="1"/>
        <v>0.175426</v>
      </c>
      <c r="M452">
        <f ca="1"/>
        <v>0.31267899999999998</v>
      </c>
      <c r="N452">
        <f ca="1"/>
        <v>0</v>
      </c>
      <c r="O452">
        <f ca="1"/>
        <v>0</v>
      </c>
      <c r="P452">
        <f ca="1"/>
        <v>0.99020799999999998</v>
      </c>
      <c r="Q452">
        <f ca="1"/>
        <v>0.950542</v>
      </c>
      <c r="R452">
        <f ca="1"/>
        <v>0.43792199999999998</v>
      </c>
      <c r="S452">
        <f ca="1"/>
        <v>0</v>
      </c>
      <c r="T452">
        <f ca="1"/>
        <v>0</v>
      </c>
      <c r="U452">
        <f ca="1"/>
        <v>0.99636000000000002</v>
      </c>
      <c r="V452">
        <f ca="1"/>
        <v>0.64858000000000005</v>
      </c>
    </row>
    <row r="453" spans="1:22" x14ac:dyDescent="0.3">
      <c r="A453" t="str">
        <f ca="1"/>
        <v>452</v>
      </c>
      <c r="B453" t="str">
        <f ca="1"/>
        <v>Nyarugenge_HS12_15</v>
      </c>
      <c r="C453">
        <f ca="1"/>
        <v>2.5126650000000001</v>
      </c>
      <c r="D453">
        <f ca="1"/>
        <v>0.48641499999999999</v>
      </c>
      <c r="E453">
        <f ca="1"/>
        <v>6.1760000000000001E-3</v>
      </c>
      <c r="F453">
        <f ca="1"/>
        <v>0.66281800000000002</v>
      </c>
      <c r="G453">
        <f ca="1"/>
        <v>1</v>
      </c>
      <c r="H453">
        <f ca="1"/>
        <v>0.67494500000000002</v>
      </c>
      <c r="I453">
        <f ca="1"/>
        <v>0</v>
      </c>
      <c r="J453">
        <f ca="1"/>
        <v>0</v>
      </c>
      <c r="K453">
        <f ca="1"/>
        <v>1</v>
      </c>
      <c r="L453">
        <f ca="1"/>
        <v>1</v>
      </c>
      <c r="M453">
        <f ca="1"/>
        <v>0.53253499999999998</v>
      </c>
      <c r="N453">
        <f ca="1"/>
        <v>0</v>
      </c>
      <c r="O453">
        <f ca="1"/>
        <v>0</v>
      </c>
      <c r="P453">
        <f ca="1"/>
        <v>0.99992800000000004</v>
      </c>
      <c r="Q453">
        <f ca="1"/>
        <v>1</v>
      </c>
      <c r="R453">
        <f ca="1"/>
        <v>0.91454299999999999</v>
      </c>
      <c r="S453">
        <f ca="1"/>
        <v>0</v>
      </c>
      <c r="T453">
        <f ca="1"/>
        <v>0</v>
      </c>
      <c r="U453">
        <f ca="1"/>
        <v>1</v>
      </c>
      <c r="V453">
        <f ca="1"/>
        <v>1</v>
      </c>
    </row>
    <row r="454" spans="1:22" x14ac:dyDescent="0.3">
      <c r="A454" t="str">
        <f ca="1"/>
        <v>453</v>
      </c>
      <c r="B454" t="str">
        <f ca="1"/>
        <v>Nyarugenge_HS13_15</v>
      </c>
      <c r="C454">
        <f ca="1"/>
        <v>0.52197099999999996</v>
      </c>
      <c r="D454">
        <f ca="1"/>
        <v>0.59914900000000004</v>
      </c>
      <c r="E454">
        <f ca="1"/>
        <v>0</v>
      </c>
      <c r="F454">
        <f ca="1"/>
        <v>0.22627900000000001</v>
      </c>
      <c r="G454">
        <f ca="1"/>
        <v>0.80212000000000006</v>
      </c>
      <c r="H454">
        <f ca="1"/>
        <v>0.18348300000000001</v>
      </c>
      <c r="I454">
        <f ca="1"/>
        <v>0</v>
      </c>
      <c r="J454">
        <f ca="1"/>
        <v>0</v>
      </c>
      <c r="K454">
        <f ca="1"/>
        <v>0.99999199999999999</v>
      </c>
      <c r="L454">
        <f ca="1"/>
        <v>0.44713900000000001</v>
      </c>
      <c r="M454">
        <f ca="1"/>
        <v>0.14882799999999999</v>
      </c>
      <c r="N454">
        <f ca="1"/>
        <v>0</v>
      </c>
      <c r="O454">
        <f ca="1"/>
        <v>0</v>
      </c>
      <c r="P454">
        <f ca="1"/>
        <v>0.99967700000000004</v>
      </c>
      <c r="Q454">
        <f ca="1"/>
        <v>0.98746</v>
      </c>
      <c r="R454">
        <f ca="1"/>
        <v>0.237202</v>
      </c>
      <c r="S454">
        <f ca="1"/>
        <v>0</v>
      </c>
      <c r="T454">
        <f ca="1"/>
        <v>0</v>
      </c>
      <c r="U454">
        <f ca="1"/>
        <v>0.99979399999999996</v>
      </c>
      <c r="V454">
        <f ca="1"/>
        <v>0.88351599999999997</v>
      </c>
    </row>
    <row r="455" spans="1:22" x14ac:dyDescent="0.3">
      <c r="A455" t="str">
        <f ca="1"/>
        <v>454</v>
      </c>
      <c r="B455" t="str">
        <f ca="1"/>
        <v>Nyarugenge_HS1_15</v>
      </c>
      <c r="C455">
        <f ca="1"/>
        <v>1.967182</v>
      </c>
      <c r="D455">
        <f ca="1"/>
        <v>0.432255</v>
      </c>
      <c r="E455">
        <f ca="1"/>
        <v>0</v>
      </c>
      <c r="F455">
        <f ca="1"/>
        <v>0.61260499999999996</v>
      </c>
      <c r="G455">
        <f ca="1"/>
        <v>1</v>
      </c>
      <c r="H455">
        <f ca="1"/>
        <v>0.51768999999999998</v>
      </c>
      <c r="I455">
        <f ca="1"/>
        <v>0</v>
      </c>
      <c r="J455">
        <f ca="1"/>
        <v>0</v>
      </c>
      <c r="K455">
        <f ca="1"/>
        <v>1</v>
      </c>
      <c r="L455">
        <f ca="1"/>
        <v>1</v>
      </c>
      <c r="M455">
        <f ca="1"/>
        <v>0.43392999999999998</v>
      </c>
      <c r="N455">
        <f ca="1"/>
        <v>0</v>
      </c>
      <c r="O455">
        <f ca="1"/>
        <v>0</v>
      </c>
      <c r="P455">
        <f ca="1"/>
        <v>0.99984399999999996</v>
      </c>
      <c r="Q455">
        <f ca="1"/>
        <v>1</v>
      </c>
      <c r="R455">
        <f ca="1"/>
        <v>0.72545599999999999</v>
      </c>
      <c r="S455">
        <f ca="1"/>
        <v>0</v>
      </c>
      <c r="T455">
        <f ca="1"/>
        <v>0</v>
      </c>
      <c r="U455">
        <f ca="1"/>
        <v>1</v>
      </c>
      <c r="V455">
        <f ca="1"/>
        <v>1</v>
      </c>
    </row>
    <row r="456" spans="1:22" x14ac:dyDescent="0.3">
      <c r="A456" t="str">
        <f ca="1"/>
        <v>455</v>
      </c>
      <c r="B456" t="str">
        <f ca="1"/>
        <v>Nyarugenge_HS2_15</v>
      </c>
      <c r="C456">
        <f ca="1"/>
        <v>1.0840209999999999</v>
      </c>
      <c r="D456">
        <f ca="1"/>
        <v>0.345003</v>
      </c>
      <c r="E456">
        <f ca="1"/>
        <v>6.9170000000000004E-3</v>
      </c>
      <c r="F456">
        <f ca="1"/>
        <v>0.82011100000000003</v>
      </c>
      <c r="G456">
        <f ca="1"/>
        <v>1</v>
      </c>
      <c r="H456">
        <f ca="1"/>
        <v>0.39540599999999998</v>
      </c>
      <c r="I456">
        <f ca="1"/>
        <v>0</v>
      </c>
      <c r="J456">
        <f ca="1"/>
        <v>0</v>
      </c>
      <c r="K456">
        <f ca="1"/>
        <v>0.99946900000000005</v>
      </c>
      <c r="L456">
        <f ca="1"/>
        <v>1</v>
      </c>
      <c r="M456">
        <f ca="1"/>
        <v>0.34270699999999998</v>
      </c>
      <c r="N456">
        <f ca="1"/>
        <v>0</v>
      </c>
      <c r="O456">
        <f ca="1"/>
        <v>0</v>
      </c>
      <c r="P456">
        <f ca="1"/>
        <v>0.99998900000000002</v>
      </c>
      <c r="Q456">
        <f ca="1"/>
        <v>1</v>
      </c>
      <c r="R456">
        <f ca="1"/>
        <v>0.56443200000000004</v>
      </c>
      <c r="S456">
        <f ca="1"/>
        <v>0</v>
      </c>
      <c r="T456">
        <f ca="1"/>
        <v>0</v>
      </c>
      <c r="U456">
        <f ca="1"/>
        <v>0.99946900000000005</v>
      </c>
      <c r="V456">
        <f ca="1"/>
        <v>1</v>
      </c>
    </row>
    <row r="457" spans="1:22" x14ac:dyDescent="0.3">
      <c r="A457" t="str">
        <f ca="1"/>
        <v>456</v>
      </c>
      <c r="B457" t="str">
        <f ca="1"/>
        <v>Nyarugenge_HS3_15</v>
      </c>
      <c r="C457">
        <f ca="1"/>
        <v>0.32225999999999999</v>
      </c>
      <c r="D457">
        <f ca="1"/>
        <v>0</v>
      </c>
      <c r="E457">
        <f ca="1"/>
        <v>0</v>
      </c>
      <c r="F457">
        <f ca="1"/>
        <v>0.98029599999999995</v>
      </c>
      <c r="G457">
        <f ca="1"/>
        <v>1</v>
      </c>
      <c r="H457">
        <f ca="1"/>
        <v>0.33885900000000002</v>
      </c>
      <c r="I457">
        <f ca="1"/>
        <v>0</v>
      </c>
      <c r="J457">
        <f ca="1"/>
        <v>0</v>
      </c>
      <c r="K457">
        <f ca="1"/>
        <v>1</v>
      </c>
      <c r="L457">
        <f ca="1"/>
        <v>1</v>
      </c>
      <c r="M457">
        <f ca="1"/>
        <v>0.36244799999999999</v>
      </c>
      <c r="N457">
        <f ca="1"/>
        <v>0</v>
      </c>
      <c r="O457">
        <f ca="1"/>
        <v>0</v>
      </c>
      <c r="P457">
        <f ca="1"/>
        <v>1</v>
      </c>
      <c r="Q457">
        <f ca="1"/>
        <v>1</v>
      </c>
      <c r="R457">
        <f ca="1"/>
        <v>0.52895300000000001</v>
      </c>
      <c r="S457">
        <f ca="1"/>
        <v>0</v>
      </c>
      <c r="T457">
        <f ca="1"/>
        <v>0</v>
      </c>
      <c r="U457">
        <f ca="1"/>
        <v>1</v>
      </c>
      <c r="V457">
        <f ca="1"/>
        <v>1</v>
      </c>
    </row>
    <row r="458" spans="1:22" x14ac:dyDescent="0.3">
      <c r="A458" t="str">
        <f ca="1"/>
        <v>457</v>
      </c>
      <c r="B458" t="str">
        <f ca="1"/>
        <v>Nyarugenge_HS4_15</v>
      </c>
      <c r="C458">
        <f ca="1"/>
        <v>2.0464389999999999</v>
      </c>
      <c r="D458">
        <f ca="1"/>
        <v>0.43607200000000002</v>
      </c>
      <c r="E458">
        <f ca="1"/>
        <v>4.0419999999999996E-3</v>
      </c>
      <c r="F458">
        <f ca="1"/>
        <v>0.70082900000000004</v>
      </c>
      <c r="G458">
        <f ca="1"/>
        <v>1</v>
      </c>
      <c r="H458">
        <f ca="1"/>
        <v>0.57169199999999998</v>
      </c>
      <c r="I458">
        <f ca="1"/>
        <v>0</v>
      </c>
      <c r="J458">
        <f ca="1"/>
        <v>0</v>
      </c>
      <c r="K458">
        <f ca="1"/>
        <v>1</v>
      </c>
      <c r="L458">
        <f ca="1"/>
        <v>1</v>
      </c>
      <c r="M458">
        <f ca="1"/>
        <v>0.46860800000000002</v>
      </c>
      <c r="N458">
        <f ca="1"/>
        <v>0</v>
      </c>
      <c r="O458">
        <f ca="1"/>
        <v>0</v>
      </c>
      <c r="P458">
        <f ca="1"/>
        <v>0.99998699999999996</v>
      </c>
      <c r="Q458">
        <f ca="1"/>
        <v>1</v>
      </c>
      <c r="R458">
        <f ca="1"/>
        <v>0.79599299999999995</v>
      </c>
      <c r="S458">
        <f ca="1"/>
        <v>0</v>
      </c>
      <c r="T458">
        <f ca="1"/>
        <v>0</v>
      </c>
      <c r="U458">
        <f ca="1"/>
        <v>1</v>
      </c>
      <c r="V458">
        <f ca="1"/>
        <v>1</v>
      </c>
    </row>
    <row r="459" spans="1:22" x14ac:dyDescent="0.3">
      <c r="A459" t="str">
        <f ca="1"/>
        <v>458</v>
      </c>
      <c r="B459" t="str">
        <f ca="1"/>
        <v>Nyarugenge_HS5_15</v>
      </c>
      <c r="C459">
        <f ca="1"/>
        <v>1.147348</v>
      </c>
      <c r="D459">
        <f ca="1"/>
        <v>0.41501100000000002</v>
      </c>
      <c r="E459">
        <f ca="1"/>
        <v>4.5909999999999996E-3</v>
      </c>
      <c r="F459">
        <f ca="1"/>
        <v>0.69632099999999997</v>
      </c>
      <c r="G459">
        <f ca="1"/>
        <v>1</v>
      </c>
      <c r="H459">
        <f ca="1"/>
        <v>0.319054</v>
      </c>
      <c r="I459">
        <f ca="1"/>
        <v>0</v>
      </c>
      <c r="J459">
        <f ca="1"/>
        <v>0</v>
      </c>
      <c r="K459">
        <f ca="1"/>
        <v>0.99990000000000001</v>
      </c>
      <c r="L459">
        <f ca="1"/>
        <v>1</v>
      </c>
      <c r="M459">
        <f ca="1"/>
        <v>0.26525500000000002</v>
      </c>
      <c r="N459">
        <f ca="1"/>
        <v>0</v>
      </c>
      <c r="O459">
        <f ca="1"/>
        <v>0</v>
      </c>
      <c r="P459">
        <f ca="1"/>
        <v>0.99988999999999995</v>
      </c>
      <c r="Q459">
        <f ca="1"/>
        <v>1</v>
      </c>
      <c r="R459">
        <f ca="1"/>
        <v>0.44159500000000002</v>
      </c>
      <c r="S459">
        <f ca="1"/>
        <v>0</v>
      </c>
      <c r="T459">
        <f ca="1"/>
        <v>0</v>
      </c>
      <c r="U459">
        <f ca="1"/>
        <v>0.99990000000000001</v>
      </c>
      <c r="V459">
        <f ca="1"/>
        <v>1</v>
      </c>
    </row>
    <row r="460" spans="1:22" x14ac:dyDescent="0.3">
      <c r="A460" t="str">
        <f ca="1"/>
        <v>459</v>
      </c>
      <c r="B460" t="str">
        <f ca="1"/>
        <v>Nyarugenge_HS6_15</v>
      </c>
      <c r="C460">
        <f ca="1"/>
        <v>0.58664400000000005</v>
      </c>
      <c r="D460">
        <f ca="1"/>
        <v>0.69091599999999997</v>
      </c>
      <c r="E460">
        <f ca="1"/>
        <v>0</v>
      </c>
      <c r="F460">
        <f ca="1"/>
        <v>0.67734399999999995</v>
      </c>
      <c r="G460">
        <f ca="1"/>
        <v>1</v>
      </c>
      <c r="H460">
        <f ca="1"/>
        <v>0.16172700000000001</v>
      </c>
      <c r="I460">
        <f ca="1"/>
        <v>0</v>
      </c>
      <c r="J460">
        <f ca="1"/>
        <v>0</v>
      </c>
      <c r="K460">
        <f ca="1"/>
        <v>1</v>
      </c>
      <c r="L460">
        <f ca="1"/>
        <v>1</v>
      </c>
      <c r="M460">
        <f ca="1"/>
        <v>0.12787899999999999</v>
      </c>
      <c r="N460">
        <f ca="1"/>
        <v>0</v>
      </c>
      <c r="O460">
        <f ca="1"/>
        <v>0</v>
      </c>
      <c r="P460">
        <f ca="1"/>
        <v>0.99998399999999998</v>
      </c>
      <c r="Q460">
        <f ca="1"/>
        <v>1</v>
      </c>
      <c r="R460">
        <f ca="1"/>
        <v>0.21793199999999999</v>
      </c>
      <c r="S460">
        <f ca="1"/>
        <v>0</v>
      </c>
      <c r="T460">
        <f ca="1"/>
        <v>0</v>
      </c>
      <c r="U460">
        <f ca="1"/>
        <v>1</v>
      </c>
      <c r="V460">
        <f ca="1"/>
        <v>1</v>
      </c>
    </row>
    <row r="461" spans="1:22" x14ac:dyDescent="0.3">
      <c r="A461" t="str">
        <f ca="1"/>
        <v>460</v>
      </c>
      <c r="B461" t="str">
        <f ca="1"/>
        <v>Nyarugenge_HS7_15</v>
      </c>
      <c r="C461">
        <f ca="1"/>
        <v>0.50831099999999996</v>
      </c>
      <c r="D461">
        <f ca="1"/>
        <v>0.55815599999999999</v>
      </c>
      <c r="E461">
        <f ca="1"/>
        <v>1.7198000000000001E-2</v>
      </c>
      <c r="F461">
        <f ca="1"/>
        <v>0.87226300000000001</v>
      </c>
      <c r="G461">
        <f ca="1"/>
        <v>1</v>
      </c>
      <c r="H461">
        <f ca="1"/>
        <v>0.26147399999999998</v>
      </c>
      <c r="I461">
        <f ca="1"/>
        <v>0</v>
      </c>
      <c r="J461">
        <f ca="1"/>
        <v>0</v>
      </c>
      <c r="K461">
        <f ca="1"/>
        <v>1</v>
      </c>
      <c r="L461">
        <f ca="1"/>
        <v>1</v>
      </c>
      <c r="M461">
        <f ca="1"/>
        <v>0.221386</v>
      </c>
      <c r="N461">
        <f ca="1"/>
        <v>0</v>
      </c>
      <c r="O461">
        <f ca="1"/>
        <v>0</v>
      </c>
      <c r="P461">
        <f ca="1"/>
        <v>0.99999899999999997</v>
      </c>
      <c r="Q461">
        <f ca="1"/>
        <v>1</v>
      </c>
      <c r="R461">
        <f ca="1"/>
        <v>0.37028</v>
      </c>
      <c r="S461">
        <f ca="1"/>
        <v>0</v>
      </c>
      <c r="T461">
        <f ca="1"/>
        <v>0</v>
      </c>
      <c r="U461">
        <f ca="1"/>
        <v>1</v>
      </c>
      <c r="V461">
        <f ca="1"/>
        <v>1</v>
      </c>
    </row>
    <row r="462" spans="1:22" x14ac:dyDescent="0.3">
      <c r="A462" t="str">
        <f ca="1"/>
        <v>461</v>
      </c>
      <c r="B462" t="str">
        <f ca="1"/>
        <v>Nyarugenge_HS8_15</v>
      </c>
      <c r="C462">
        <f ca="1"/>
        <v>0.25635599999999997</v>
      </c>
      <c r="D462">
        <f ca="1"/>
        <v>0.80917700000000004</v>
      </c>
      <c r="E462">
        <f ca="1"/>
        <v>0</v>
      </c>
      <c r="F462">
        <f ca="1"/>
        <v>0.35189199999999998</v>
      </c>
      <c r="G462">
        <f ca="1"/>
        <v>0.95538999999999996</v>
      </c>
      <c r="H462">
        <f ca="1"/>
        <v>0.15496299999999999</v>
      </c>
      <c r="I462">
        <f ca="1"/>
        <v>0.37424000000000002</v>
      </c>
      <c r="J462">
        <f ca="1"/>
        <v>0.52</v>
      </c>
      <c r="K462">
        <f ca="1"/>
        <v>0</v>
      </c>
      <c r="L462">
        <f ca="1"/>
        <v>0</v>
      </c>
      <c r="M462">
        <f ca="1"/>
        <v>4.8619999999999997E-2</v>
      </c>
      <c r="N462">
        <f ca="1"/>
        <v>0</v>
      </c>
      <c r="O462">
        <f ca="1"/>
        <v>0</v>
      </c>
      <c r="P462">
        <f ca="1"/>
        <v>1</v>
      </c>
      <c r="Q462">
        <f ca="1"/>
        <v>0.93881599999999998</v>
      </c>
      <c r="R462">
        <f ca="1"/>
        <v>0.20196600000000001</v>
      </c>
      <c r="S462">
        <f ca="1"/>
        <v>0.32522299999999998</v>
      </c>
      <c r="T462">
        <f ca="1"/>
        <v>0.51</v>
      </c>
      <c r="U462">
        <f ca="1"/>
        <v>0</v>
      </c>
      <c r="V462">
        <f ca="1"/>
        <v>0</v>
      </c>
    </row>
    <row r="463" spans="1:22" x14ac:dyDescent="0.3">
      <c r="A463" t="str">
        <f ca="1"/>
        <v>462</v>
      </c>
      <c r="B463" t="str">
        <f ca="1"/>
        <v>Nyarugenge_HS9_15</v>
      </c>
      <c r="C463">
        <f ca="1"/>
        <v>0.70882800000000001</v>
      </c>
      <c r="D463">
        <f ca="1"/>
        <v>0.47273300000000001</v>
      </c>
      <c r="E463">
        <f ca="1"/>
        <v>5.4169999999999999E-3</v>
      </c>
      <c r="F463">
        <f ca="1"/>
        <v>0.32378099999999999</v>
      </c>
      <c r="G463">
        <f ca="1"/>
        <v>0.67458899999999999</v>
      </c>
      <c r="H463">
        <f ca="1"/>
        <v>0.19121299999999999</v>
      </c>
      <c r="I463">
        <f ca="1"/>
        <v>0</v>
      </c>
      <c r="J463">
        <f ca="1"/>
        <v>0</v>
      </c>
      <c r="K463">
        <f ca="1"/>
        <v>0.99976900000000002</v>
      </c>
      <c r="L463">
        <f ca="1"/>
        <v>9.3033000000000005E-2</v>
      </c>
      <c r="M463">
        <f ca="1"/>
        <v>0.222526</v>
      </c>
      <c r="N463">
        <f ca="1"/>
        <v>0</v>
      </c>
      <c r="O463">
        <f ca="1"/>
        <v>0</v>
      </c>
      <c r="P463">
        <f ca="1"/>
        <v>0.99999000000000005</v>
      </c>
      <c r="Q463">
        <f ca="1"/>
        <v>0.87866200000000005</v>
      </c>
      <c r="R463">
        <f ca="1"/>
        <v>0.675404</v>
      </c>
      <c r="S463">
        <f ca="1"/>
        <v>0.37501600000000002</v>
      </c>
      <c r="T463">
        <f ca="1"/>
        <v>0.49963299999999999</v>
      </c>
      <c r="U463">
        <f ca="1"/>
        <v>0</v>
      </c>
      <c r="V463">
        <f ca="1"/>
        <v>0</v>
      </c>
    </row>
    <row r="464" spans="1:22" x14ac:dyDescent="0.3">
      <c r="A464" t="str">
        <f ca="1"/>
        <v>463</v>
      </c>
      <c r="B464" t="str">
        <f ca="1"/>
        <v>Nyaruguru_HS0_15</v>
      </c>
      <c r="C464">
        <f ca="1"/>
        <v>0.46769899999999998</v>
      </c>
      <c r="D464">
        <f ca="1"/>
        <v>0</v>
      </c>
      <c r="E464">
        <f ca="1"/>
        <v>0</v>
      </c>
      <c r="F464">
        <f ca="1"/>
        <v>0.468613</v>
      </c>
      <c r="G464">
        <f ca="1"/>
        <v>2.8839999999999998E-3</v>
      </c>
      <c r="H464">
        <f ca="1"/>
        <v>0.37282300000000002</v>
      </c>
      <c r="I464">
        <f ca="1"/>
        <v>0</v>
      </c>
      <c r="J464">
        <f ca="1"/>
        <v>0</v>
      </c>
      <c r="K464">
        <f ca="1"/>
        <v>0.99485500000000004</v>
      </c>
      <c r="L464">
        <f ca="1"/>
        <v>5.0146000000000003E-2</v>
      </c>
      <c r="M464">
        <f ca="1"/>
        <v>0.57309500000000002</v>
      </c>
      <c r="N464">
        <f ca="1"/>
        <v>0</v>
      </c>
      <c r="O464">
        <f ca="1"/>
        <v>0</v>
      </c>
      <c r="P464">
        <f ca="1"/>
        <v>0.977182</v>
      </c>
      <c r="Q464">
        <f ca="1"/>
        <v>0.70698899999999998</v>
      </c>
      <c r="R464">
        <f ca="1"/>
        <v>0.755687</v>
      </c>
      <c r="S464">
        <f ca="1"/>
        <v>0</v>
      </c>
      <c r="T464">
        <f ca="1"/>
        <v>0</v>
      </c>
      <c r="U464">
        <f ca="1"/>
        <v>0.97773600000000005</v>
      </c>
      <c r="V464">
        <f ca="1"/>
        <v>0.29208200000000001</v>
      </c>
    </row>
    <row r="465" spans="1:22" x14ac:dyDescent="0.3">
      <c r="A465" t="str">
        <f ca="1"/>
        <v>464</v>
      </c>
      <c r="B465" t="str">
        <f ca="1"/>
        <v>Nyaruguru_HS10_15</v>
      </c>
      <c r="C465">
        <f ca="1"/>
        <v>0.169873</v>
      </c>
      <c r="D465">
        <f ca="1"/>
        <v>0</v>
      </c>
      <c r="E465">
        <f ca="1"/>
        <v>0</v>
      </c>
      <c r="F465">
        <f ca="1"/>
        <v>0.43565599999999999</v>
      </c>
      <c r="G465">
        <f ca="1"/>
        <v>0</v>
      </c>
      <c r="H465">
        <f ca="1"/>
        <v>0.20167299999999999</v>
      </c>
      <c r="I465">
        <f ca="1"/>
        <v>0</v>
      </c>
      <c r="J465">
        <f ca="1"/>
        <v>0</v>
      </c>
      <c r="K465">
        <f ca="1"/>
        <v>0</v>
      </c>
      <c r="L465">
        <f ca="1"/>
        <v>0</v>
      </c>
      <c r="M465">
        <f ca="1"/>
        <v>0.23752300000000001</v>
      </c>
      <c r="N465">
        <f ca="1"/>
        <v>0.542466</v>
      </c>
      <c r="O465">
        <f ca="1"/>
        <v>0.51</v>
      </c>
      <c r="P465">
        <f ca="1"/>
        <v>0</v>
      </c>
      <c r="Q465">
        <f ca="1"/>
        <v>0</v>
      </c>
      <c r="R465">
        <f ca="1"/>
        <v>0.23752300000000001</v>
      </c>
      <c r="S465">
        <f ca="1"/>
        <v>0.542466</v>
      </c>
      <c r="T465">
        <f ca="1"/>
        <v>0.51</v>
      </c>
      <c r="U465">
        <f ca="1"/>
        <v>0</v>
      </c>
      <c r="V465">
        <f ca="1"/>
        <v>0</v>
      </c>
    </row>
    <row r="466" spans="1:22" x14ac:dyDescent="0.3">
      <c r="A466" t="str">
        <f ca="1"/>
        <v>465</v>
      </c>
      <c r="B466" t="str">
        <f ca="1"/>
        <v>Nyaruguru_HS11_15</v>
      </c>
      <c r="C466">
        <f ca="1"/>
        <v>0.215165</v>
      </c>
      <c r="D466">
        <f ca="1"/>
        <v>0</v>
      </c>
      <c r="E466">
        <f ca="1"/>
        <v>0</v>
      </c>
      <c r="F466">
        <f ca="1"/>
        <v>0.242392</v>
      </c>
      <c r="G466">
        <f ca="1"/>
        <v>0</v>
      </c>
      <c r="H466">
        <f ca="1"/>
        <v>0.22283900000000001</v>
      </c>
      <c r="I466">
        <f ca="1"/>
        <v>0</v>
      </c>
      <c r="J466">
        <f ca="1"/>
        <v>0</v>
      </c>
      <c r="K466">
        <f ca="1"/>
        <v>0</v>
      </c>
      <c r="L466">
        <f ca="1"/>
        <v>0</v>
      </c>
      <c r="M466">
        <f ca="1"/>
        <v>0.26740599999999998</v>
      </c>
      <c r="N466">
        <f ca="1"/>
        <v>0.57085799999999998</v>
      </c>
      <c r="O466">
        <f ca="1"/>
        <v>0.5</v>
      </c>
      <c r="P466">
        <f ca="1"/>
        <v>0</v>
      </c>
      <c r="Q466">
        <f ca="1"/>
        <v>0</v>
      </c>
      <c r="R466">
        <f ca="1"/>
        <v>0.26740599999999998</v>
      </c>
      <c r="S466">
        <f ca="1"/>
        <v>0.57085799999999998</v>
      </c>
      <c r="T466">
        <f ca="1"/>
        <v>0.5</v>
      </c>
      <c r="U466">
        <f ca="1"/>
        <v>0</v>
      </c>
      <c r="V466">
        <f ca="1"/>
        <v>0</v>
      </c>
    </row>
    <row r="467" spans="1:22" x14ac:dyDescent="0.3">
      <c r="A467" t="str">
        <f ca="1"/>
        <v>466</v>
      </c>
      <c r="B467" t="str">
        <f ca="1"/>
        <v>Nyaruguru_HS12_15</v>
      </c>
      <c r="C467">
        <f ca="1"/>
        <v>0.54514700000000005</v>
      </c>
      <c r="D467">
        <f ca="1"/>
        <v>0</v>
      </c>
      <c r="E467">
        <f ca="1"/>
        <v>0</v>
      </c>
      <c r="F467">
        <f ca="1"/>
        <v>0.172018</v>
      </c>
      <c r="G467">
        <f ca="1"/>
        <v>0</v>
      </c>
      <c r="H467">
        <f ca="1"/>
        <v>0.69159300000000001</v>
      </c>
      <c r="I467">
        <f ca="1"/>
        <v>0</v>
      </c>
      <c r="J467">
        <f ca="1"/>
        <v>0</v>
      </c>
      <c r="K467">
        <f ca="1"/>
        <v>0</v>
      </c>
      <c r="L467">
        <f ca="1"/>
        <v>0</v>
      </c>
      <c r="M467">
        <f ca="1"/>
        <v>0.47772100000000001</v>
      </c>
      <c r="N467">
        <f ca="1"/>
        <v>0</v>
      </c>
      <c r="O467">
        <f ca="1"/>
        <v>0</v>
      </c>
      <c r="P467">
        <f ca="1"/>
        <v>1</v>
      </c>
      <c r="Q467">
        <f ca="1"/>
        <v>0</v>
      </c>
      <c r="R467">
        <f ca="1"/>
        <v>0.58980900000000003</v>
      </c>
      <c r="S467">
        <f ca="1"/>
        <v>0</v>
      </c>
      <c r="T467">
        <f ca="1"/>
        <v>0</v>
      </c>
      <c r="U467">
        <f ca="1"/>
        <v>1</v>
      </c>
      <c r="V467">
        <f ca="1"/>
        <v>0</v>
      </c>
    </row>
    <row r="468" spans="1:22" x14ac:dyDescent="0.3">
      <c r="A468" t="str">
        <f ca="1"/>
        <v>467</v>
      </c>
      <c r="B468" t="str">
        <f ca="1"/>
        <v>Nyaruguru_HS13_15</v>
      </c>
      <c r="C468">
        <f ca="1"/>
        <v>0.204375</v>
      </c>
      <c r="D468">
        <f ca="1"/>
        <v>0</v>
      </c>
      <c r="E468">
        <f ca="1"/>
        <v>0</v>
      </c>
      <c r="F468">
        <f ca="1"/>
        <v>0.383077</v>
      </c>
      <c r="G468">
        <f ca="1"/>
        <v>0</v>
      </c>
      <c r="H468">
        <f ca="1"/>
        <v>0.218306</v>
      </c>
      <c r="I468">
        <f ca="1"/>
        <v>0</v>
      </c>
      <c r="J468">
        <f ca="1"/>
        <v>0</v>
      </c>
      <c r="K468">
        <f ca="1"/>
        <v>0</v>
      </c>
      <c r="L468">
        <f ca="1"/>
        <v>0</v>
      </c>
      <c r="M468">
        <f ca="1"/>
        <v>0.24744099999999999</v>
      </c>
      <c r="N468">
        <f ca="1"/>
        <v>0.49845499999999998</v>
      </c>
      <c r="O468">
        <f ca="1"/>
        <v>0.5</v>
      </c>
      <c r="P468">
        <f ca="1"/>
        <v>0</v>
      </c>
      <c r="Q468">
        <f ca="1"/>
        <v>0</v>
      </c>
      <c r="R468">
        <f ca="1"/>
        <v>0.24744099999999999</v>
      </c>
      <c r="S468">
        <f ca="1"/>
        <v>0.49845499999999998</v>
      </c>
      <c r="T468">
        <f ca="1"/>
        <v>0.5</v>
      </c>
      <c r="U468">
        <f ca="1"/>
        <v>0</v>
      </c>
      <c r="V468">
        <f ca="1"/>
        <v>0</v>
      </c>
    </row>
    <row r="469" spans="1:22" x14ac:dyDescent="0.3">
      <c r="A469" t="str">
        <f ca="1"/>
        <v>468</v>
      </c>
      <c r="B469" t="str">
        <f ca="1"/>
        <v>Nyaruguru_HS14_15</v>
      </c>
      <c r="C469">
        <f ca="1"/>
        <v>0.95261200000000001</v>
      </c>
      <c r="D469">
        <f ca="1"/>
        <v>0.34526899999999999</v>
      </c>
      <c r="E469">
        <f ca="1"/>
        <v>0</v>
      </c>
      <c r="F469">
        <f ca="1"/>
        <v>0.52332999999999996</v>
      </c>
      <c r="G469">
        <f ca="1"/>
        <v>0</v>
      </c>
      <c r="H469">
        <f ca="1"/>
        <v>1.6993069999999999</v>
      </c>
      <c r="I469">
        <f ca="1"/>
        <v>0</v>
      </c>
      <c r="J469">
        <f ca="1"/>
        <v>0</v>
      </c>
      <c r="K469">
        <f ca="1"/>
        <v>0</v>
      </c>
      <c r="L469">
        <f ca="1"/>
        <v>0</v>
      </c>
      <c r="M469">
        <f ca="1"/>
        <v>1.038424</v>
      </c>
      <c r="N469">
        <f ca="1"/>
        <v>0</v>
      </c>
      <c r="O469">
        <f ca="1"/>
        <v>0</v>
      </c>
      <c r="P469">
        <f ca="1"/>
        <v>0.98885100000000004</v>
      </c>
      <c r="Q469">
        <f ca="1"/>
        <v>0.20313400000000001</v>
      </c>
      <c r="R469">
        <f ca="1"/>
        <v>1.26651</v>
      </c>
      <c r="S469">
        <f ca="1"/>
        <v>0</v>
      </c>
      <c r="T469">
        <f ca="1"/>
        <v>0</v>
      </c>
      <c r="U469">
        <f ca="1"/>
        <v>0.99485599999999996</v>
      </c>
      <c r="V469">
        <f ca="1"/>
        <v>4.0342999999999997E-2</v>
      </c>
    </row>
    <row r="470" spans="1:22" x14ac:dyDescent="0.3">
      <c r="A470" t="str">
        <f ca="1"/>
        <v>469</v>
      </c>
      <c r="B470" t="str">
        <f ca="1"/>
        <v>Nyaruguru_HS15_15</v>
      </c>
      <c r="C470">
        <f ca="1"/>
        <v>0.51557500000000001</v>
      </c>
      <c r="D470">
        <f ca="1"/>
        <v>0</v>
      </c>
      <c r="E470">
        <f ca="1"/>
        <v>0</v>
      </c>
      <c r="F470">
        <f ca="1"/>
        <v>0.30540699999999998</v>
      </c>
      <c r="G470">
        <f ca="1"/>
        <v>0</v>
      </c>
      <c r="H470">
        <f ca="1"/>
        <v>0.67175600000000002</v>
      </c>
      <c r="I470">
        <f ca="1"/>
        <v>0</v>
      </c>
      <c r="J470">
        <f ca="1"/>
        <v>0</v>
      </c>
      <c r="K470">
        <f ca="1"/>
        <v>0</v>
      </c>
      <c r="L470">
        <f ca="1"/>
        <v>0</v>
      </c>
      <c r="M470">
        <f ca="1"/>
        <v>0.594329</v>
      </c>
      <c r="N470">
        <f ca="1"/>
        <v>0</v>
      </c>
      <c r="O470">
        <f ca="1"/>
        <v>0</v>
      </c>
      <c r="P470">
        <f ca="1"/>
        <v>0.99594199999999999</v>
      </c>
      <c r="Q470">
        <f ca="1"/>
        <v>0</v>
      </c>
      <c r="R470">
        <f ca="1"/>
        <v>0.71619200000000005</v>
      </c>
      <c r="S470">
        <f ca="1"/>
        <v>0</v>
      </c>
      <c r="T470">
        <f ca="1"/>
        <v>0</v>
      </c>
      <c r="U470">
        <f ca="1"/>
        <v>0.99594199999999999</v>
      </c>
      <c r="V470">
        <f ca="1"/>
        <v>0</v>
      </c>
    </row>
    <row r="471" spans="1:22" x14ac:dyDescent="0.3">
      <c r="A471" t="str">
        <f ca="1"/>
        <v>470</v>
      </c>
      <c r="B471" t="str">
        <f ca="1"/>
        <v>Nyaruguru_HS1_15</v>
      </c>
      <c r="C471">
        <f ca="1"/>
        <v>0.44502900000000001</v>
      </c>
      <c r="D471">
        <f ca="1"/>
        <v>0</v>
      </c>
      <c r="E471">
        <f ca="1"/>
        <v>0</v>
      </c>
      <c r="F471">
        <f ca="1"/>
        <v>0.71891499999999997</v>
      </c>
      <c r="G471">
        <f ca="1"/>
        <v>0</v>
      </c>
      <c r="H471">
        <f ca="1"/>
        <v>0.71906099999999995</v>
      </c>
      <c r="I471">
        <f ca="1"/>
        <v>0</v>
      </c>
      <c r="J471">
        <f ca="1"/>
        <v>0</v>
      </c>
      <c r="K471">
        <f ca="1"/>
        <v>0</v>
      </c>
      <c r="L471">
        <f ca="1"/>
        <v>0</v>
      </c>
      <c r="M471">
        <f ca="1"/>
        <v>0.54084299999999996</v>
      </c>
      <c r="N471">
        <f ca="1"/>
        <v>0</v>
      </c>
      <c r="O471">
        <f ca="1"/>
        <v>0</v>
      </c>
      <c r="P471">
        <f ca="1"/>
        <v>0.98802400000000001</v>
      </c>
      <c r="Q471">
        <f ca="1"/>
        <v>0</v>
      </c>
      <c r="R471">
        <f ca="1"/>
        <v>0.656134</v>
      </c>
      <c r="S471">
        <f ca="1"/>
        <v>0</v>
      </c>
      <c r="T471">
        <f ca="1"/>
        <v>0</v>
      </c>
      <c r="U471">
        <f ca="1"/>
        <v>0.98802400000000001</v>
      </c>
      <c r="V471">
        <f ca="1"/>
        <v>0</v>
      </c>
    </row>
    <row r="472" spans="1:22" x14ac:dyDescent="0.3">
      <c r="A472" t="str">
        <f ca="1"/>
        <v>471</v>
      </c>
      <c r="B472" t="str">
        <f ca="1"/>
        <v>Nyaruguru_HS2_15</v>
      </c>
      <c r="C472">
        <f ca="1"/>
        <v>0.72334799999999999</v>
      </c>
      <c r="D472">
        <f ca="1"/>
        <v>0</v>
      </c>
      <c r="E472">
        <f ca="1"/>
        <v>0</v>
      </c>
      <c r="F472">
        <f ca="1"/>
        <v>0.39332600000000001</v>
      </c>
      <c r="G472">
        <f ca="1"/>
        <v>0</v>
      </c>
      <c r="H472">
        <f ca="1"/>
        <v>1.0654239999999999</v>
      </c>
      <c r="I472">
        <f ca="1"/>
        <v>0</v>
      </c>
      <c r="J472">
        <f ca="1"/>
        <v>0</v>
      </c>
      <c r="K472">
        <f ca="1"/>
        <v>0</v>
      </c>
      <c r="L472">
        <f ca="1"/>
        <v>0</v>
      </c>
      <c r="M472">
        <f ca="1"/>
        <v>0.83739799999999998</v>
      </c>
      <c r="N472">
        <f ca="1"/>
        <v>0</v>
      </c>
      <c r="O472">
        <f ca="1"/>
        <v>0</v>
      </c>
      <c r="P472">
        <f ca="1"/>
        <v>0.99342200000000003</v>
      </c>
      <c r="Q472">
        <f ca="1"/>
        <v>0</v>
      </c>
      <c r="R472">
        <f ca="1"/>
        <v>1.0488170000000001</v>
      </c>
      <c r="S472">
        <f ca="1"/>
        <v>0</v>
      </c>
      <c r="T472">
        <f ca="1"/>
        <v>0</v>
      </c>
      <c r="U472">
        <f ca="1"/>
        <v>0.99342200000000003</v>
      </c>
      <c r="V472">
        <f ca="1"/>
        <v>0</v>
      </c>
    </row>
    <row r="473" spans="1:22" x14ac:dyDescent="0.3">
      <c r="A473" t="str">
        <f ca="1"/>
        <v>472</v>
      </c>
      <c r="B473" t="str">
        <f ca="1"/>
        <v>Nyaruguru_HS3_15</v>
      </c>
      <c r="C473">
        <f ca="1"/>
        <v>0.39835799999999999</v>
      </c>
      <c r="D473">
        <f ca="1"/>
        <v>0.94140100000000004</v>
      </c>
      <c r="E473">
        <f ca="1"/>
        <v>0</v>
      </c>
      <c r="F473">
        <f ca="1"/>
        <v>0.40169199999999999</v>
      </c>
      <c r="G473">
        <f ca="1"/>
        <v>0</v>
      </c>
      <c r="H473">
        <f ca="1"/>
        <v>0.50490299999999999</v>
      </c>
      <c r="I473">
        <f ca="1"/>
        <v>0</v>
      </c>
      <c r="J473">
        <f ca="1"/>
        <v>0</v>
      </c>
      <c r="K473">
        <f ca="1"/>
        <v>0</v>
      </c>
      <c r="L473">
        <f ca="1"/>
        <v>0</v>
      </c>
      <c r="M473">
        <f ca="1"/>
        <v>0.396152</v>
      </c>
      <c r="N473">
        <f ca="1"/>
        <v>0</v>
      </c>
      <c r="O473">
        <f ca="1"/>
        <v>0</v>
      </c>
      <c r="P473">
        <f ca="1"/>
        <v>0.99384799999999995</v>
      </c>
      <c r="Q473">
        <f ca="1"/>
        <v>0</v>
      </c>
      <c r="R473">
        <f ca="1"/>
        <v>0.49016799999999999</v>
      </c>
      <c r="S473">
        <f ca="1"/>
        <v>0</v>
      </c>
      <c r="T473">
        <f ca="1"/>
        <v>0</v>
      </c>
      <c r="U473">
        <f ca="1"/>
        <v>0.99384799999999995</v>
      </c>
      <c r="V473">
        <f ca="1"/>
        <v>0</v>
      </c>
    </row>
    <row r="474" spans="1:22" x14ac:dyDescent="0.3">
      <c r="A474" t="str">
        <f ca="1"/>
        <v>473</v>
      </c>
      <c r="B474" t="str">
        <f ca="1"/>
        <v>Nyaruguru_HS4_15</v>
      </c>
      <c r="C474">
        <f ca="1"/>
        <v>0.83523000000000003</v>
      </c>
      <c r="D474">
        <f ca="1"/>
        <v>0.44136700000000001</v>
      </c>
      <c r="E474">
        <f ca="1"/>
        <v>0</v>
      </c>
      <c r="F474">
        <f ca="1"/>
        <v>0.58315099999999997</v>
      </c>
      <c r="G474">
        <f ca="1"/>
        <v>2.0031E-2</v>
      </c>
      <c r="H474">
        <f ca="1"/>
        <v>1.438323</v>
      </c>
      <c r="I474">
        <f ca="1"/>
        <v>0</v>
      </c>
      <c r="J474">
        <f ca="1"/>
        <v>0</v>
      </c>
      <c r="K474">
        <f ca="1"/>
        <v>0</v>
      </c>
      <c r="L474">
        <f ca="1"/>
        <v>0</v>
      </c>
      <c r="M474">
        <f ca="1"/>
        <v>0.66341899999999998</v>
      </c>
      <c r="N474">
        <f ca="1"/>
        <v>0</v>
      </c>
      <c r="O474">
        <f ca="1"/>
        <v>0</v>
      </c>
      <c r="P474">
        <f ca="1"/>
        <v>0.99933300000000003</v>
      </c>
      <c r="Q474">
        <f ca="1"/>
        <v>4.9329999999999999E-2</v>
      </c>
      <c r="R474">
        <f ca="1"/>
        <v>0.81435800000000003</v>
      </c>
      <c r="S474">
        <f ca="1"/>
        <v>0</v>
      </c>
      <c r="T474">
        <f ca="1"/>
        <v>0</v>
      </c>
      <c r="U474">
        <f ca="1"/>
        <v>0.99935499999999999</v>
      </c>
      <c r="V474">
        <f ca="1"/>
        <v>1.5107000000000001E-2</v>
      </c>
    </row>
    <row r="475" spans="1:22" x14ac:dyDescent="0.3">
      <c r="A475" t="str">
        <f ca="1"/>
        <v>474</v>
      </c>
      <c r="B475" t="str">
        <f ca="1"/>
        <v>Nyaruguru_HS5_15</v>
      </c>
      <c r="C475">
        <f ca="1"/>
        <v>0.48090300000000002</v>
      </c>
      <c r="D475">
        <f ca="1"/>
        <v>0.46735599999999999</v>
      </c>
      <c r="E475">
        <f ca="1"/>
        <v>0.16</v>
      </c>
      <c r="F475">
        <f ca="1"/>
        <v>0.25867499999999999</v>
      </c>
      <c r="G475">
        <f ca="1"/>
        <v>0</v>
      </c>
      <c r="H475">
        <f ca="1"/>
        <v>0.70261399999999996</v>
      </c>
      <c r="I475">
        <f ca="1"/>
        <v>0</v>
      </c>
      <c r="J475">
        <f ca="1"/>
        <v>0</v>
      </c>
      <c r="K475">
        <f ca="1"/>
        <v>0</v>
      </c>
      <c r="L475">
        <f ca="1"/>
        <v>0</v>
      </c>
      <c r="M475">
        <f ca="1"/>
        <v>0.45783699999999999</v>
      </c>
      <c r="N475">
        <f ca="1"/>
        <v>0</v>
      </c>
      <c r="O475">
        <f ca="1"/>
        <v>0</v>
      </c>
      <c r="P475">
        <f ca="1"/>
        <v>0.97765999999999997</v>
      </c>
      <c r="Q475">
        <f ca="1"/>
        <v>0</v>
      </c>
      <c r="R475">
        <f ca="1"/>
        <v>0.53523500000000002</v>
      </c>
      <c r="S475">
        <f ca="1"/>
        <v>0</v>
      </c>
      <c r="T475">
        <f ca="1"/>
        <v>0</v>
      </c>
      <c r="U475">
        <f ca="1"/>
        <v>0.97765999999999997</v>
      </c>
      <c r="V475">
        <f ca="1"/>
        <v>0</v>
      </c>
    </row>
    <row r="476" spans="1:22" x14ac:dyDescent="0.3">
      <c r="A476" t="str">
        <f ca="1"/>
        <v>475</v>
      </c>
      <c r="B476" t="str">
        <f ca="1"/>
        <v>Nyaruguru_HS6_15</v>
      </c>
      <c r="C476">
        <f ca="1"/>
        <v>5.2454000000000001E-2</v>
      </c>
      <c r="D476">
        <f ca="1"/>
        <v>0</v>
      </c>
      <c r="E476">
        <f ca="1"/>
        <v>0</v>
      </c>
      <c r="F476">
        <f ca="1"/>
        <v>0.914883</v>
      </c>
      <c r="G476">
        <f ca="1"/>
        <v>0</v>
      </c>
      <c r="H476">
        <f ca="1"/>
        <v>3.4273999999999999E-2</v>
      </c>
      <c r="I476">
        <f ca="1"/>
        <v>0</v>
      </c>
      <c r="J476">
        <f ca="1"/>
        <v>0</v>
      </c>
      <c r="K476">
        <f ca="1"/>
        <v>0.996282</v>
      </c>
      <c r="L476">
        <f ca="1"/>
        <v>0</v>
      </c>
      <c r="M476">
        <f ca="1"/>
        <v>5.3839999999999999E-2</v>
      </c>
      <c r="N476">
        <f ca="1"/>
        <v>0</v>
      </c>
      <c r="O476">
        <f ca="1"/>
        <v>0</v>
      </c>
      <c r="P476">
        <f ca="1"/>
        <v>0.99336899999999995</v>
      </c>
      <c r="Q476">
        <f ca="1"/>
        <v>0</v>
      </c>
      <c r="R476">
        <f ca="1"/>
        <v>6.9018999999999997E-2</v>
      </c>
      <c r="S476">
        <f ca="1"/>
        <v>0</v>
      </c>
      <c r="T476">
        <f ca="1"/>
        <v>0</v>
      </c>
      <c r="U476">
        <f ca="1"/>
        <v>0.99336899999999995</v>
      </c>
      <c r="V476">
        <f ca="1"/>
        <v>0</v>
      </c>
    </row>
    <row r="477" spans="1:22" x14ac:dyDescent="0.3">
      <c r="A477" t="str">
        <f ca="1"/>
        <v>476</v>
      </c>
      <c r="B477" t="str">
        <f ca="1"/>
        <v>Nyaruguru_HS7_15</v>
      </c>
      <c r="C477">
        <f ca="1"/>
        <v>0.68773399999999996</v>
      </c>
      <c r="D477">
        <f ca="1"/>
        <v>0</v>
      </c>
      <c r="E477">
        <f ca="1"/>
        <v>0</v>
      </c>
      <c r="F477">
        <f ca="1"/>
        <v>0.20803099999999999</v>
      </c>
      <c r="G477">
        <f ca="1"/>
        <v>0</v>
      </c>
      <c r="H477">
        <f ca="1"/>
        <v>0.73394800000000004</v>
      </c>
      <c r="I477">
        <f ca="1"/>
        <v>0</v>
      </c>
      <c r="J477">
        <f ca="1"/>
        <v>0</v>
      </c>
      <c r="K477">
        <f ca="1"/>
        <v>0</v>
      </c>
      <c r="L477">
        <f ca="1"/>
        <v>0</v>
      </c>
      <c r="M477">
        <f ca="1"/>
        <v>0.68933900000000004</v>
      </c>
      <c r="N477">
        <f ca="1"/>
        <v>0.46866600000000003</v>
      </c>
      <c r="O477">
        <f ca="1"/>
        <v>0.54729000000000005</v>
      </c>
      <c r="P477">
        <f ca="1"/>
        <v>0</v>
      </c>
      <c r="Q477">
        <f ca="1"/>
        <v>0</v>
      </c>
      <c r="R477">
        <f ca="1"/>
        <v>0.68933900000000004</v>
      </c>
      <c r="S477">
        <f ca="1"/>
        <v>0.46866600000000003</v>
      </c>
      <c r="T477">
        <f ca="1"/>
        <v>0.54729000000000005</v>
      </c>
      <c r="U477">
        <f ca="1"/>
        <v>0</v>
      </c>
      <c r="V477">
        <f ca="1"/>
        <v>0</v>
      </c>
    </row>
    <row r="478" spans="1:22" x14ac:dyDescent="0.3">
      <c r="A478" t="str">
        <f ca="1"/>
        <v>477</v>
      </c>
      <c r="B478" t="str">
        <f ca="1"/>
        <v>Nyaruguru_HS8_15</v>
      </c>
      <c r="C478">
        <f ca="1"/>
        <v>0.28803699999999999</v>
      </c>
      <c r="D478">
        <f ca="1"/>
        <v>0</v>
      </c>
      <c r="E478">
        <f ca="1"/>
        <v>0</v>
      </c>
      <c r="F478">
        <f ca="1"/>
        <v>0.42086699999999999</v>
      </c>
      <c r="G478">
        <f ca="1"/>
        <v>6.7226999999999995E-2</v>
      </c>
      <c r="H478">
        <f ca="1"/>
        <v>0.52790400000000004</v>
      </c>
      <c r="I478">
        <f ca="1"/>
        <v>0</v>
      </c>
      <c r="J478">
        <f ca="1"/>
        <v>0</v>
      </c>
      <c r="K478">
        <f ca="1"/>
        <v>0</v>
      </c>
      <c r="L478">
        <f ca="1"/>
        <v>0</v>
      </c>
      <c r="M478">
        <f ca="1"/>
        <v>0.37707499999999999</v>
      </c>
      <c r="N478">
        <f ca="1"/>
        <v>0.55322300000000002</v>
      </c>
      <c r="O478">
        <f ca="1"/>
        <v>0.49</v>
      </c>
      <c r="P478">
        <f ca="1"/>
        <v>0</v>
      </c>
      <c r="Q478">
        <f ca="1"/>
        <v>0</v>
      </c>
      <c r="R478">
        <f ca="1"/>
        <v>0.41284300000000002</v>
      </c>
      <c r="S478">
        <f ca="1"/>
        <v>0.49701899999999999</v>
      </c>
      <c r="T478">
        <f ca="1"/>
        <v>0.48</v>
      </c>
      <c r="U478">
        <f ca="1"/>
        <v>0</v>
      </c>
      <c r="V478">
        <f ca="1"/>
        <v>0</v>
      </c>
    </row>
    <row r="479" spans="1:22" x14ac:dyDescent="0.3">
      <c r="A479" t="str">
        <f ca="1"/>
        <v>478</v>
      </c>
      <c r="B479" t="str">
        <f ca="1"/>
        <v>Nyaruguru_HS9_15</v>
      </c>
      <c r="C479">
        <f ca="1"/>
        <v>0.536134</v>
      </c>
      <c r="D479">
        <f ca="1"/>
        <v>0</v>
      </c>
      <c r="E479">
        <f ca="1"/>
        <v>0</v>
      </c>
      <c r="F479">
        <f ca="1"/>
        <v>0.19379399999999999</v>
      </c>
      <c r="G479">
        <f ca="1"/>
        <v>0</v>
      </c>
      <c r="H479">
        <f ca="1"/>
        <v>0.71929200000000004</v>
      </c>
      <c r="I479">
        <f ca="1"/>
        <v>0</v>
      </c>
      <c r="J479">
        <f ca="1"/>
        <v>0</v>
      </c>
      <c r="K479">
        <f ca="1"/>
        <v>0</v>
      </c>
      <c r="L479">
        <f ca="1"/>
        <v>0</v>
      </c>
      <c r="M479">
        <f ca="1"/>
        <v>0.76125799999999999</v>
      </c>
      <c r="N479">
        <f ca="1"/>
        <v>0</v>
      </c>
      <c r="O479">
        <f ca="1"/>
        <v>0</v>
      </c>
      <c r="P479">
        <f ca="1"/>
        <v>0.98747399999999996</v>
      </c>
      <c r="Q479">
        <f ca="1"/>
        <v>0</v>
      </c>
      <c r="R479">
        <f ca="1"/>
        <v>0.94606599999999996</v>
      </c>
      <c r="S479">
        <f ca="1"/>
        <v>0</v>
      </c>
      <c r="T479">
        <f ca="1"/>
        <v>0</v>
      </c>
      <c r="U479">
        <f ca="1"/>
        <v>0.98748899999999995</v>
      </c>
      <c r="V479">
        <f ca="1"/>
        <v>7.6000000000000004E-4</v>
      </c>
    </row>
    <row r="480" spans="1:22" x14ac:dyDescent="0.3">
      <c r="A480" t="str">
        <f ca="1"/>
        <v>479</v>
      </c>
      <c r="B480" t="str">
        <f ca="1"/>
        <v>Nzove_15</v>
      </c>
      <c r="C480">
        <f ca="1"/>
        <v>0.92295099999999997</v>
      </c>
      <c r="D480">
        <f ca="1"/>
        <v>0.705816</v>
      </c>
      <c r="E480">
        <f ca="1"/>
        <v>0</v>
      </c>
      <c r="F480">
        <f ca="1"/>
        <v>0.58753100000000003</v>
      </c>
      <c r="G480">
        <f ca="1"/>
        <v>0.92735000000000001</v>
      </c>
      <c r="H480">
        <f ca="1"/>
        <v>0.34117500000000001</v>
      </c>
      <c r="I480">
        <f ca="1"/>
        <v>0</v>
      </c>
      <c r="J480">
        <f ca="1"/>
        <v>0</v>
      </c>
      <c r="K480">
        <f ca="1"/>
        <v>0.999996</v>
      </c>
      <c r="L480">
        <f ca="1"/>
        <v>0.34222599999999997</v>
      </c>
      <c r="M480">
        <f ca="1"/>
        <v>0.31820199999999998</v>
      </c>
      <c r="N480">
        <f ca="1"/>
        <v>0</v>
      </c>
      <c r="O480">
        <f ca="1"/>
        <v>0</v>
      </c>
      <c r="P480">
        <f ca="1"/>
        <v>0.99997599999999998</v>
      </c>
      <c r="Q480">
        <f ca="1"/>
        <v>0.98513600000000001</v>
      </c>
      <c r="R480">
        <f ca="1"/>
        <v>0.49338500000000002</v>
      </c>
      <c r="S480">
        <f ca="1"/>
        <v>0</v>
      </c>
      <c r="T480">
        <f ca="1"/>
        <v>0</v>
      </c>
      <c r="U480">
        <f ca="1"/>
        <v>1</v>
      </c>
      <c r="V480">
        <f ca="1"/>
        <v>0.88882300000000003</v>
      </c>
    </row>
    <row r="481" spans="1:22" x14ac:dyDescent="0.3">
      <c r="A481" t="str">
        <f ca="1"/>
        <v>480</v>
      </c>
      <c r="B481" t="str">
        <f ca="1"/>
        <v>Rubavu_15</v>
      </c>
      <c r="C481">
        <f ca="1"/>
        <v>1.520813</v>
      </c>
      <c r="D481">
        <f ca="1"/>
        <v>0.49871900000000002</v>
      </c>
      <c r="E481">
        <f ca="1"/>
        <v>0</v>
      </c>
      <c r="F481">
        <f ca="1"/>
        <v>0.480267</v>
      </c>
      <c r="G481">
        <f ca="1"/>
        <v>0.915493</v>
      </c>
      <c r="H481">
        <f ca="1"/>
        <v>0.493452</v>
      </c>
      <c r="I481">
        <f ca="1"/>
        <v>0</v>
      </c>
      <c r="J481">
        <f ca="1"/>
        <v>0</v>
      </c>
      <c r="K481">
        <f ca="1"/>
        <v>0.99983900000000003</v>
      </c>
      <c r="L481">
        <f ca="1"/>
        <v>0.29283599999999999</v>
      </c>
      <c r="M481">
        <f ca="1"/>
        <v>0.55989500000000003</v>
      </c>
      <c r="N481">
        <f ca="1"/>
        <v>0</v>
      </c>
      <c r="O481">
        <f ca="1"/>
        <v>0</v>
      </c>
      <c r="P481">
        <f ca="1"/>
        <v>0.99947799999999998</v>
      </c>
      <c r="Q481">
        <f ca="1"/>
        <v>0.93935199999999996</v>
      </c>
      <c r="R481">
        <f ca="1"/>
        <v>0.79001500000000002</v>
      </c>
      <c r="S481">
        <f ca="1"/>
        <v>0</v>
      </c>
      <c r="T481">
        <f ca="1"/>
        <v>0</v>
      </c>
      <c r="U481">
        <f ca="1"/>
        <v>0.99844200000000005</v>
      </c>
      <c r="V481">
        <f ca="1"/>
        <v>0.64088900000000004</v>
      </c>
    </row>
    <row r="482" spans="1:22" x14ac:dyDescent="0.3">
      <c r="A482" t="str">
        <f ca="1"/>
        <v>481</v>
      </c>
      <c r="B482" t="str">
        <f ca="1"/>
        <v>Rubavu_HS0_15</v>
      </c>
      <c r="C482">
        <f ca="1"/>
        <v>0.47980699999999998</v>
      </c>
      <c r="D482">
        <f ca="1"/>
        <v>0.48625299999999999</v>
      </c>
      <c r="E482">
        <f ca="1"/>
        <v>1.3724E-2</v>
      </c>
      <c r="F482">
        <f ca="1"/>
        <v>0.85068500000000002</v>
      </c>
      <c r="G482">
        <f ca="1"/>
        <v>1</v>
      </c>
      <c r="H482">
        <f ca="1"/>
        <v>0.194855</v>
      </c>
      <c r="I482">
        <f ca="1"/>
        <v>0</v>
      </c>
      <c r="J482">
        <f ca="1"/>
        <v>0</v>
      </c>
      <c r="K482">
        <f ca="1"/>
        <v>1</v>
      </c>
      <c r="L482">
        <f ca="1"/>
        <v>1</v>
      </c>
      <c r="M482">
        <f ca="1"/>
        <v>0.22744</v>
      </c>
      <c r="N482">
        <f ca="1"/>
        <v>0</v>
      </c>
      <c r="O482">
        <f ca="1"/>
        <v>0</v>
      </c>
      <c r="P482">
        <f ca="1"/>
        <v>1</v>
      </c>
      <c r="Q482">
        <f ca="1"/>
        <v>1</v>
      </c>
      <c r="R482">
        <f ca="1"/>
        <v>0.34586299999999998</v>
      </c>
      <c r="S482">
        <f ca="1"/>
        <v>0</v>
      </c>
      <c r="T482">
        <f ca="1"/>
        <v>0</v>
      </c>
      <c r="U482">
        <f ca="1"/>
        <v>1</v>
      </c>
      <c r="V482">
        <f ca="1"/>
        <v>1</v>
      </c>
    </row>
    <row r="483" spans="1:22" x14ac:dyDescent="0.3">
      <c r="A483" t="str">
        <f ca="1"/>
        <v>482</v>
      </c>
      <c r="B483" t="str">
        <f ca="1"/>
        <v>Rubavu_HS10_15</v>
      </c>
      <c r="C483">
        <f ca="1"/>
        <v>0.75641899999999995</v>
      </c>
      <c r="D483">
        <f ca="1"/>
        <v>0.93139899999999998</v>
      </c>
      <c r="E483">
        <f ca="1"/>
        <v>0</v>
      </c>
      <c r="F483">
        <f ca="1"/>
        <v>0.23987</v>
      </c>
      <c r="G483">
        <f ca="1"/>
        <v>0.86206899999999997</v>
      </c>
      <c r="H483">
        <f ca="1"/>
        <v>0.31818299999999999</v>
      </c>
      <c r="I483">
        <f ca="1"/>
        <v>0</v>
      </c>
      <c r="J483">
        <f ca="1"/>
        <v>0</v>
      </c>
      <c r="K483">
        <f ca="1"/>
        <v>0.99979200000000001</v>
      </c>
      <c r="L483">
        <f ca="1"/>
        <v>0.18626500000000001</v>
      </c>
      <c r="M483">
        <f ca="1"/>
        <v>0.33595900000000001</v>
      </c>
      <c r="N483">
        <f ca="1"/>
        <v>0</v>
      </c>
      <c r="O483">
        <f ca="1"/>
        <v>0</v>
      </c>
      <c r="P483">
        <f ca="1"/>
        <v>0.99859500000000001</v>
      </c>
      <c r="Q483">
        <f ca="1"/>
        <v>0.96318000000000004</v>
      </c>
      <c r="R483">
        <f ca="1"/>
        <v>0.487257</v>
      </c>
      <c r="S483">
        <f ca="1"/>
        <v>0</v>
      </c>
      <c r="T483">
        <f ca="1"/>
        <v>0</v>
      </c>
      <c r="U483">
        <f ca="1"/>
        <v>0.99827600000000005</v>
      </c>
      <c r="V483">
        <f ca="1"/>
        <v>0.69176300000000002</v>
      </c>
    </row>
    <row r="484" spans="1:22" x14ac:dyDescent="0.3">
      <c r="A484" t="str">
        <f ca="1"/>
        <v>483</v>
      </c>
      <c r="B484" t="str">
        <f ca="1"/>
        <v>Rubavu_HS11_15</v>
      </c>
      <c r="C484">
        <f ca="1"/>
        <v>0.70453500000000002</v>
      </c>
      <c r="D484">
        <f ca="1"/>
        <v>0.43357400000000001</v>
      </c>
      <c r="E484">
        <f ca="1"/>
        <v>6.0870000000000004E-3</v>
      </c>
      <c r="F484">
        <f ca="1"/>
        <v>0.31036399999999997</v>
      </c>
      <c r="G484">
        <f ca="1"/>
        <v>0</v>
      </c>
      <c r="H484">
        <f ca="1"/>
        <v>0.84376600000000002</v>
      </c>
      <c r="I484">
        <f ca="1"/>
        <v>0</v>
      </c>
      <c r="J484">
        <f ca="1"/>
        <v>0</v>
      </c>
      <c r="K484">
        <f ca="1"/>
        <v>0</v>
      </c>
      <c r="L484">
        <f ca="1"/>
        <v>0</v>
      </c>
      <c r="M484">
        <f ca="1"/>
        <v>0.44196099999999999</v>
      </c>
      <c r="N484">
        <f ca="1"/>
        <v>0</v>
      </c>
      <c r="O484">
        <f ca="1"/>
        <v>0</v>
      </c>
      <c r="P484">
        <f ca="1"/>
        <v>0.99826300000000001</v>
      </c>
      <c r="Q484">
        <f ca="1"/>
        <v>2.6041999999999999E-2</v>
      </c>
      <c r="R484">
        <f ca="1"/>
        <v>0.50661400000000001</v>
      </c>
      <c r="S484">
        <f ca="1"/>
        <v>0</v>
      </c>
      <c r="T484">
        <f ca="1"/>
        <v>0</v>
      </c>
      <c r="U484">
        <f ca="1"/>
        <v>0.99826899999999996</v>
      </c>
      <c r="V484">
        <f ca="1"/>
        <v>3.209E-3</v>
      </c>
    </row>
    <row r="485" spans="1:22" x14ac:dyDescent="0.3">
      <c r="A485" t="str">
        <f ca="1"/>
        <v>484</v>
      </c>
      <c r="B485" t="str">
        <f ca="1"/>
        <v>Rubavu_HS12_15</v>
      </c>
      <c r="C485">
        <f ca="1"/>
        <v>0.48605100000000001</v>
      </c>
      <c r="D485">
        <f ca="1"/>
        <v>0</v>
      </c>
      <c r="E485">
        <f ca="1"/>
        <v>0</v>
      </c>
      <c r="F485">
        <f ca="1"/>
        <v>0.243396</v>
      </c>
      <c r="G485">
        <f ca="1"/>
        <v>0</v>
      </c>
      <c r="H485">
        <f ca="1"/>
        <v>0.59486799999999995</v>
      </c>
      <c r="I485">
        <f ca="1"/>
        <v>0</v>
      </c>
      <c r="J485">
        <f ca="1"/>
        <v>0</v>
      </c>
      <c r="K485">
        <f ca="1"/>
        <v>0</v>
      </c>
      <c r="L485">
        <f ca="1"/>
        <v>0</v>
      </c>
      <c r="M485">
        <f ca="1"/>
        <v>0.29914499999999999</v>
      </c>
      <c r="N485">
        <f ca="1"/>
        <v>0</v>
      </c>
      <c r="O485">
        <f ca="1"/>
        <v>0</v>
      </c>
      <c r="P485">
        <f ca="1"/>
        <v>0.99509899999999996</v>
      </c>
      <c r="Q485">
        <f ca="1"/>
        <v>0.15954399999999999</v>
      </c>
      <c r="R485">
        <f ca="1"/>
        <v>0.33116400000000001</v>
      </c>
      <c r="S485">
        <f ca="1"/>
        <v>0</v>
      </c>
      <c r="T485">
        <f ca="1"/>
        <v>0</v>
      </c>
      <c r="U485">
        <f ca="1"/>
        <v>0.99519800000000003</v>
      </c>
      <c r="V485">
        <f ca="1"/>
        <v>1.8589000000000001E-2</v>
      </c>
    </row>
    <row r="486" spans="1:22" x14ac:dyDescent="0.3">
      <c r="A486" t="str">
        <f ca="1"/>
        <v>485</v>
      </c>
      <c r="B486" t="str">
        <f ca="1"/>
        <v>Rubavu_HS13_15</v>
      </c>
      <c r="C486">
        <f ca="1"/>
        <v>1.141591</v>
      </c>
      <c r="D486">
        <f ca="1"/>
        <v>0.498168</v>
      </c>
      <c r="E486">
        <f ca="1"/>
        <v>0</v>
      </c>
      <c r="F486">
        <f ca="1"/>
        <v>0.237676</v>
      </c>
      <c r="G486">
        <f ca="1"/>
        <v>0.244898</v>
      </c>
      <c r="H486">
        <f ca="1"/>
        <v>0.53928200000000004</v>
      </c>
      <c r="I486">
        <f ca="1"/>
        <v>0</v>
      </c>
      <c r="J486">
        <f ca="1"/>
        <v>0</v>
      </c>
      <c r="K486">
        <f ca="1"/>
        <v>0.998359</v>
      </c>
      <c r="L486">
        <f ca="1"/>
        <v>1.5502999999999999E-2</v>
      </c>
      <c r="M486">
        <f ca="1"/>
        <v>0.90145299999999995</v>
      </c>
      <c r="N486">
        <f ca="1"/>
        <v>0</v>
      </c>
      <c r="O486">
        <f ca="1"/>
        <v>0</v>
      </c>
      <c r="P486">
        <f ca="1"/>
        <v>0.993093</v>
      </c>
      <c r="Q486">
        <f ca="1"/>
        <v>0.68122400000000005</v>
      </c>
      <c r="R486">
        <f ca="1"/>
        <v>1.0947990000000001</v>
      </c>
      <c r="S486">
        <f ca="1"/>
        <v>0</v>
      </c>
      <c r="T486">
        <f ca="1"/>
        <v>0</v>
      </c>
      <c r="U486">
        <f ca="1"/>
        <v>0.99416800000000005</v>
      </c>
      <c r="V486">
        <f ca="1"/>
        <v>0.15242700000000001</v>
      </c>
    </row>
    <row r="487" spans="1:22" x14ac:dyDescent="0.3">
      <c r="A487" t="str">
        <f ca="1"/>
        <v>486</v>
      </c>
      <c r="B487" t="str">
        <f ca="1"/>
        <v>Rubavu_HS14_15</v>
      </c>
      <c r="C487">
        <f ca="1"/>
        <v>0.44125900000000001</v>
      </c>
      <c r="D487">
        <f ca="1"/>
        <v>0</v>
      </c>
      <c r="E487">
        <f ca="1"/>
        <v>0</v>
      </c>
      <c r="F487">
        <f ca="1"/>
        <v>0.33561000000000002</v>
      </c>
      <c r="G487">
        <f ca="1"/>
        <v>5.8824000000000001E-2</v>
      </c>
      <c r="H487">
        <f ca="1"/>
        <v>0.66397099999999998</v>
      </c>
      <c r="I487">
        <f ca="1"/>
        <v>0</v>
      </c>
      <c r="J487">
        <f ca="1"/>
        <v>0</v>
      </c>
      <c r="K487">
        <f ca="1"/>
        <v>0</v>
      </c>
      <c r="L487">
        <f ca="1"/>
        <v>0</v>
      </c>
      <c r="M487">
        <f ca="1"/>
        <v>0.317992</v>
      </c>
      <c r="N487">
        <f ca="1"/>
        <v>0</v>
      </c>
      <c r="O487">
        <f ca="1"/>
        <v>0</v>
      </c>
      <c r="P487">
        <f ca="1"/>
        <v>0.99360400000000004</v>
      </c>
      <c r="Q487">
        <f ca="1"/>
        <v>0.43227700000000002</v>
      </c>
      <c r="R487">
        <f ca="1"/>
        <v>0.38146000000000002</v>
      </c>
      <c r="S487">
        <f ca="1"/>
        <v>0</v>
      </c>
      <c r="T487">
        <f ca="1"/>
        <v>0</v>
      </c>
      <c r="U487">
        <f ca="1"/>
        <v>0.98908799999999997</v>
      </c>
      <c r="V487">
        <f ca="1"/>
        <v>6.9603999999999999E-2</v>
      </c>
    </row>
    <row r="488" spans="1:22" x14ac:dyDescent="0.3">
      <c r="A488" t="str">
        <f ca="1"/>
        <v>487</v>
      </c>
      <c r="B488" t="str">
        <f ca="1"/>
        <v>Rubavu_HS1_15</v>
      </c>
      <c r="C488">
        <f ca="1"/>
        <v>1.201897</v>
      </c>
      <c r="D488">
        <f ca="1"/>
        <v>0.74195199999999994</v>
      </c>
      <c r="E488">
        <f ca="1"/>
        <v>3.5479999999999999E-3</v>
      </c>
      <c r="F488">
        <f ca="1"/>
        <v>0.80134000000000005</v>
      </c>
      <c r="G488">
        <f ca="1"/>
        <v>0.99557899999999999</v>
      </c>
      <c r="H488">
        <f ca="1"/>
        <v>0.54266099999999995</v>
      </c>
      <c r="I488">
        <f ca="1"/>
        <v>0</v>
      </c>
      <c r="J488">
        <f ca="1"/>
        <v>0</v>
      </c>
      <c r="K488">
        <f ca="1"/>
        <v>1</v>
      </c>
      <c r="L488">
        <f ca="1"/>
        <v>0.92533399999999999</v>
      </c>
      <c r="M488">
        <f ca="1"/>
        <v>0.51691500000000001</v>
      </c>
      <c r="N488">
        <f ca="1"/>
        <v>0</v>
      </c>
      <c r="O488">
        <f ca="1"/>
        <v>0</v>
      </c>
      <c r="P488">
        <f ca="1"/>
        <v>0.999973</v>
      </c>
      <c r="Q488">
        <f ca="1"/>
        <v>0.99384899999999998</v>
      </c>
      <c r="R488">
        <f ca="1"/>
        <v>0.81684999999999997</v>
      </c>
      <c r="S488">
        <f ca="1"/>
        <v>0</v>
      </c>
      <c r="T488">
        <f ca="1"/>
        <v>0</v>
      </c>
      <c r="U488">
        <f ca="1"/>
        <v>1</v>
      </c>
      <c r="V488">
        <f ca="1"/>
        <v>0.96801499999999996</v>
      </c>
    </row>
    <row r="489" spans="1:22" x14ac:dyDescent="0.3">
      <c r="A489" t="str">
        <f ca="1"/>
        <v>488</v>
      </c>
      <c r="B489" t="str">
        <f ca="1"/>
        <v>Rubavu_HS2_15</v>
      </c>
      <c r="C489">
        <f ca="1"/>
        <v>2.1296539999999999</v>
      </c>
      <c r="D489">
        <f ca="1"/>
        <v>0.47788000000000003</v>
      </c>
      <c r="E489">
        <f ca="1"/>
        <v>4.2129999999999997E-3</v>
      </c>
      <c r="F489">
        <f ca="1"/>
        <v>0.47881899999999999</v>
      </c>
      <c r="G489">
        <f ca="1"/>
        <v>1</v>
      </c>
      <c r="H489">
        <f ca="1"/>
        <v>0.56808599999999998</v>
      </c>
      <c r="I489">
        <f ca="1"/>
        <v>0</v>
      </c>
      <c r="J489">
        <f ca="1"/>
        <v>0</v>
      </c>
      <c r="K489">
        <f ca="1"/>
        <v>1</v>
      </c>
      <c r="L489">
        <f ca="1"/>
        <v>1</v>
      </c>
      <c r="M489">
        <f ca="1"/>
        <v>0.58343800000000001</v>
      </c>
      <c r="N489">
        <f ca="1"/>
        <v>0</v>
      </c>
      <c r="O489">
        <f ca="1"/>
        <v>0</v>
      </c>
      <c r="P489">
        <f ca="1"/>
        <v>0.99963400000000002</v>
      </c>
      <c r="Q489">
        <f ca="1"/>
        <v>1</v>
      </c>
      <c r="R489">
        <f ca="1"/>
        <v>0.92256199999999999</v>
      </c>
      <c r="S489">
        <f ca="1"/>
        <v>0</v>
      </c>
      <c r="T489">
        <f ca="1"/>
        <v>0</v>
      </c>
      <c r="U489">
        <f ca="1"/>
        <v>1</v>
      </c>
      <c r="V489">
        <f ca="1"/>
        <v>1</v>
      </c>
    </row>
    <row r="490" spans="1:22" x14ac:dyDescent="0.3">
      <c r="A490" t="str">
        <f ca="1"/>
        <v>489</v>
      </c>
      <c r="B490" t="str">
        <f ca="1"/>
        <v>Rubavu_HS3_15</v>
      </c>
      <c r="C490">
        <f ca="1"/>
        <v>1.5487869999999999</v>
      </c>
      <c r="D490">
        <f ca="1"/>
        <v>0.50391600000000003</v>
      </c>
      <c r="E490">
        <f ca="1"/>
        <v>7.1060000000000003E-3</v>
      </c>
      <c r="F490">
        <f ca="1"/>
        <v>0.36531000000000002</v>
      </c>
      <c r="G490">
        <f ca="1"/>
        <v>1</v>
      </c>
      <c r="H490">
        <f ca="1"/>
        <v>0.45574599999999998</v>
      </c>
      <c r="I490">
        <f ca="1"/>
        <v>0</v>
      </c>
      <c r="J490">
        <f ca="1"/>
        <v>0</v>
      </c>
      <c r="K490">
        <f ca="1"/>
        <v>0.99990599999999996</v>
      </c>
      <c r="L490">
        <f ca="1"/>
        <v>1</v>
      </c>
      <c r="M490">
        <f ca="1"/>
        <v>0.41749999999999998</v>
      </c>
      <c r="N490">
        <f ca="1"/>
        <v>0</v>
      </c>
      <c r="O490">
        <f ca="1"/>
        <v>0</v>
      </c>
      <c r="P490">
        <f ca="1"/>
        <v>0.99668699999999999</v>
      </c>
      <c r="Q490">
        <f ca="1"/>
        <v>1</v>
      </c>
      <c r="R490">
        <f ca="1"/>
        <v>0.66921600000000003</v>
      </c>
      <c r="S490">
        <f ca="1"/>
        <v>0</v>
      </c>
      <c r="T490">
        <f ca="1"/>
        <v>0</v>
      </c>
      <c r="U490">
        <f ca="1"/>
        <v>0.99990599999999996</v>
      </c>
      <c r="V490">
        <f ca="1"/>
        <v>1</v>
      </c>
    </row>
    <row r="491" spans="1:22" x14ac:dyDescent="0.3">
      <c r="A491" t="str">
        <f ca="1"/>
        <v>490</v>
      </c>
      <c r="B491" t="str">
        <f ca="1"/>
        <v>Rubavu_HS4_15</v>
      </c>
      <c r="C491">
        <f ca="1"/>
        <v>0.86465099999999995</v>
      </c>
      <c r="D491">
        <f ca="1"/>
        <v>0</v>
      </c>
      <c r="E491">
        <f ca="1"/>
        <v>0</v>
      </c>
      <c r="F491">
        <f ca="1"/>
        <v>0.52590700000000001</v>
      </c>
      <c r="G491">
        <f ca="1"/>
        <v>0.74270599999999998</v>
      </c>
      <c r="H491">
        <f ca="1"/>
        <v>0.35587400000000002</v>
      </c>
      <c r="I491">
        <f ca="1"/>
        <v>0</v>
      </c>
      <c r="J491">
        <f ca="1"/>
        <v>0</v>
      </c>
      <c r="K491">
        <f ca="1"/>
        <v>0.99970000000000003</v>
      </c>
      <c r="L491">
        <f ca="1"/>
        <v>0.45818900000000001</v>
      </c>
      <c r="M491">
        <f ca="1"/>
        <v>0.36369299999999999</v>
      </c>
      <c r="N491">
        <f ca="1"/>
        <v>0</v>
      </c>
      <c r="O491">
        <f ca="1"/>
        <v>0</v>
      </c>
      <c r="P491">
        <f ca="1"/>
        <v>0.99926099999999995</v>
      </c>
      <c r="Q491">
        <f ca="1"/>
        <v>0.98443700000000001</v>
      </c>
      <c r="R491">
        <f ca="1"/>
        <v>0.54070600000000002</v>
      </c>
      <c r="S491">
        <f ca="1"/>
        <v>0</v>
      </c>
      <c r="T491">
        <f ca="1"/>
        <v>0</v>
      </c>
      <c r="U491">
        <f ca="1"/>
        <v>0.99976900000000002</v>
      </c>
      <c r="V491">
        <f ca="1"/>
        <v>0.79775200000000002</v>
      </c>
    </row>
    <row r="492" spans="1:22" x14ac:dyDescent="0.3">
      <c r="A492" t="str">
        <f ca="1"/>
        <v>491</v>
      </c>
      <c r="B492" t="str">
        <f ca="1"/>
        <v>Rubavu_HS5_15</v>
      </c>
      <c r="C492">
        <f ca="1"/>
        <v>1.0099450000000001</v>
      </c>
      <c r="D492">
        <f ca="1"/>
        <v>0.64317800000000003</v>
      </c>
      <c r="E492">
        <f ca="1"/>
        <v>0.02</v>
      </c>
      <c r="F492">
        <f ca="1"/>
        <v>0.49736599999999997</v>
      </c>
      <c r="G492">
        <f ca="1"/>
        <v>0.91847199999999996</v>
      </c>
      <c r="H492">
        <f ca="1"/>
        <v>0.31007600000000002</v>
      </c>
      <c r="I492">
        <f ca="1"/>
        <v>0</v>
      </c>
      <c r="J492">
        <f ca="1"/>
        <v>0</v>
      </c>
      <c r="K492">
        <f ca="1"/>
        <v>0.99885500000000005</v>
      </c>
      <c r="L492">
        <f ca="1"/>
        <v>0.14019400000000001</v>
      </c>
      <c r="M492">
        <f ca="1"/>
        <v>0.44314300000000001</v>
      </c>
      <c r="N492">
        <f ca="1"/>
        <v>0</v>
      </c>
      <c r="O492">
        <f ca="1"/>
        <v>0</v>
      </c>
      <c r="P492">
        <f ca="1"/>
        <v>0.99827600000000005</v>
      </c>
      <c r="Q492">
        <f ca="1"/>
        <v>0.66503100000000004</v>
      </c>
      <c r="R492">
        <f ca="1"/>
        <v>0.57525700000000002</v>
      </c>
      <c r="S492">
        <f ca="1"/>
        <v>0</v>
      </c>
      <c r="T492">
        <f ca="1"/>
        <v>0</v>
      </c>
      <c r="U492">
        <f ca="1"/>
        <v>0.99641000000000002</v>
      </c>
      <c r="V492">
        <f ca="1"/>
        <v>0.32447799999999999</v>
      </c>
    </row>
    <row r="493" spans="1:22" x14ac:dyDescent="0.3">
      <c r="A493" t="str">
        <f ca="1"/>
        <v>492</v>
      </c>
      <c r="B493" t="str">
        <f ca="1"/>
        <v>Rubavu_HS6_15</v>
      </c>
      <c r="C493">
        <f ca="1"/>
        <v>2.2317459999999998</v>
      </c>
      <c r="D493">
        <f ca="1"/>
        <v>0.53730599999999995</v>
      </c>
      <c r="E493">
        <f ca="1"/>
        <v>0</v>
      </c>
      <c r="F493">
        <f ca="1"/>
        <v>0.42671199999999998</v>
      </c>
      <c r="G493">
        <f ca="1"/>
        <v>0.96551699999999996</v>
      </c>
      <c r="H493">
        <f ca="1"/>
        <v>0.77036400000000005</v>
      </c>
      <c r="I493">
        <f ca="1"/>
        <v>0</v>
      </c>
      <c r="J493">
        <f ca="1"/>
        <v>0</v>
      </c>
      <c r="K493">
        <f ca="1"/>
        <v>0.998668</v>
      </c>
      <c r="L493">
        <f ca="1"/>
        <v>0.336814</v>
      </c>
      <c r="M493">
        <f ca="1"/>
        <v>0.70785799999999999</v>
      </c>
      <c r="N493">
        <f ca="1"/>
        <v>0</v>
      </c>
      <c r="O493">
        <f ca="1"/>
        <v>0</v>
      </c>
      <c r="P493">
        <f ca="1"/>
        <v>0.99383200000000005</v>
      </c>
      <c r="Q493">
        <f ca="1"/>
        <v>0.943442</v>
      </c>
      <c r="R493">
        <f ca="1"/>
        <v>1.0468980000000001</v>
      </c>
      <c r="S493">
        <f ca="1"/>
        <v>0</v>
      </c>
      <c r="T493">
        <f ca="1"/>
        <v>0</v>
      </c>
      <c r="U493">
        <f ca="1"/>
        <v>0.99779499999999999</v>
      </c>
      <c r="V493">
        <f ca="1"/>
        <v>0.77130299999999996</v>
      </c>
    </row>
    <row r="494" spans="1:22" x14ac:dyDescent="0.3">
      <c r="A494" t="str">
        <f ca="1"/>
        <v>493</v>
      </c>
      <c r="B494" t="str">
        <f ca="1"/>
        <v>Rubavu_HS7_15</v>
      </c>
      <c r="C494">
        <f ca="1"/>
        <v>0.40441500000000002</v>
      </c>
      <c r="D494">
        <f ca="1"/>
        <v>0</v>
      </c>
      <c r="E494">
        <f ca="1"/>
        <v>0</v>
      </c>
      <c r="F494">
        <f ca="1"/>
        <v>0.183583</v>
      </c>
      <c r="G494">
        <f ca="1"/>
        <v>0</v>
      </c>
      <c r="H494">
        <f ca="1"/>
        <v>0.47803400000000001</v>
      </c>
      <c r="I494">
        <f ca="1"/>
        <v>0</v>
      </c>
      <c r="J494">
        <f ca="1"/>
        <v>0</v>
      </c>
      <c r="K494">
        <f ca="1"/>
        <v>0</v>
      </c>
      <c r="L494">
        <f ca="1"/>
        <v>0</v>
      </c>
      <c r="M494">
        <f ca="1"/>
        <v>0.39750600000000003</v>
      </c>
      <c r="N494">
        <f ca="1"/>
        <v>0.43610199999999999</v>
      </c>
      <c r="O494">
        <f ca="1"/>
        <v>0.54</v>
      </c>
      <c r="P494">
        <f ca="1"/>
        <v>0</v>
      </c>
      <c r="Q494">
        <f ca="1"/>
        <v>0</v>
      </c>
      <c r="R494">
        <f ca="1"/>
        <v>0.40383799999999997</v>
      </c>
      <c r="S494">
        <f ca="1"/>
        <v>0.42377300000000001</v>
      </c>
      <c r="T494">
        <f ca="1"/>
        <v>0.54</v>
      </c>
      <c r="U494">
        <f ca="1"/>
        <v>0</v>
      </c>
      <c r="V494">
        <f ca="1"/>
        <v>0</v>
      </c>
    </row>
    <row r="495" spans="1:22" x14ac:dyDescent="0.3">
      <c r="A495" t="str">
        <f ca="1"/>
        <v>494</v>
      </c>
      <c r="B495" t="str">
        <f ca="1"/>
        <v>Rubavu_HS8_15</v>
      </c>
      <c r="C495">
        <f ca="1"/>
        <v>0.57901199999999997</v>
      </c>
      <c r="D495">
        <f ca="1"/>
        <v>0.58069199999999999</v>
      </c>
      <c r="E495">
        <f ca="1"/>
        <v>0</v>
      </c>
      <c r="F495">
        <f ca="1"/>
        <v>0.22692399999999999</v>
      </c>
      <c r="G495">
        <f ca="1"/>
        <v>0</v>
      </c>
      <c r="H495">
        <f ca="1"/>
        <v>0.66555699999999995</v>
      </c>
      <c r="I495">
        <f ca="1"/>
        <v>0</v>
      </c>
      <c r="J495">
        <f ca="1"/>
        <v>0</v>
      </c>
      <c r="K495">
        <f ca="1"/>
        <v>0</v>
      </c>
      <c r="L495">
        <f ca="1"/>
        <v>0</v>
      </c>
      <c r="M495">
        <f ca="1"/>
        <v>0.32065199999999999</v>
      </c>
      <c r="N495">
        <f ca="1"/>
        <v>0</v>
      </c>
      <c r="O495">
        <f ca="1"/>
        <v>0</v>
      </c>
      <c r="P495">
        <f ca="1"/>
        <v>0.99890400000000001</v>
      </c>
      <c r="Q495">
        <f ca="1"/>
        <v>0</v>
      </c>
      <c r="R495">
        <f ca="1"/>
        <v>0.36565599999999998</v>
      </c>
      <c r="S495">
        <f ca="1"/>
        <v>0</v>
      </c>
      <c r="T495">
        <f ca="1"/>
        <v>0</v>
      </c>
      <c r="U495">
        <f ca="1"/>
        <v>0.99890400000000001</v>
      </c>
      <c r="V495">
        <f ca="1"/>
        <v>0</v>
      </c>
    </row>
    <row r="496" spans="1:22" x14ac:dyDescent="0.3">
      <c r="A496" t="str">
        <f ca="1"/>
        <v>495</v>
      </c>
      <c r="B496" t="str">
        <f ca="1"/>
        <v>Rubavu_HS9_15</v>
      </c>
      <c r="C496">
        <f ca="1"/>
        <v>0.43268099999999998</v>
      </c>
      <c r="D496">
        <f ca="1"/>
        <v>0</v>
      </c>
      <c r="E496">
        <f ca="1"/>
        <v>0</v>
      </c>
      <c r="F496">
        <f ca="1"/>
        <v>0.26152300000000001</v>
      </c>
      <c r="G496">
        <f ca="1"/>
        <v>0.97652600000000001</v>
      </c>
      <c r="H496">
        <f ca="1"/>
        <v>0.403866</v>
      </c>
      <c r="I496">
        <f ca="1"/>
        <v>0.30880299999999999</v>
      </c>
      <c r="J496">
        <f ca="1"/>
        <v>0.5</v>
      </c>
      <c r="K496">
        <f ca="1"/>
        <v>0</v>
      </c>
      <c r="L496">
        <f ca="1"/>
        <v>0</v>
      </c>
      <c r="M496">
        <f ca="1"/>
        <v>0.16197800000000001</v>
      </c>
      <c r="N496">
        <f ca="1"/>
        <v>0</v>
      </c>
      <c r="O496">
        <f ca="1"/>
        <v>0</v>
      </c>
      <c r="P496">
        <f ca="1"/>
        <v>0.99882000000000004</v>
      </c>
      <c r="Q496">
        <f ca="1"/>
        <v>0.98772000000000004</v>
      </c>
      <c r="R496">
        <f ca="1"/>
        <v>0.252585</v>
      </c>
      <c r="S496">
        <f ca="1"/>
        <v>0</v>
      </c>
      <c r="T496">
        <f ca="1"/>
        <v>0</v>
      </c>
      <c r="U496">
        <f ca="1"/>
        <v>1</v>
      </c>
      <c r="V496">
        <f ca="1"/>
        <v>0.94977299999999998</v>
      </c>
    </row>
    <row r="497" spans="1:22" x14ac:dyDescent="0.3">
      <c r="A497" t="str">
        <f ca="1"/>
        <v>496</v>
      </c>
      <c r="B497" t="str">
        <f ca="1"/>
        <v>Ruhango_HS0_15</v>
      </c>
      <c r="C497">
        <f ca="1"/>
        <v>0.45264399999999999</v>
      </c>
      <c r="D497">
        <f ca="1"/>
        <v>0.38315900000000003</v>
      </c>
      <c r="E497">
        <f ca="1"/>
        <v>0</v>
      </c>
      <c r="F497">
        <f ca="1"/>
        <v>0.21326700000000001</v>
      </c>
      <c r="G497">
        <f ca="1"/>
        <v>0</v>
      </c>
      <c r="H497">
        <f ca="1"/>
        <v>0.72463599999999995</v>
      </c>
      <c r="I497">
        <f ca="1"/>
        <v>0</v>
      </c>
      <c r="J497">
        <f ca="1"/>
        <v>0</v>
      </c>
      <c r="K497">
        <f ca="1"/>
        <v>0</v>
      </c>
      <c r="L497">
        <f ca="1"/>
        <v>0</v>
      </c>
      <c r="M497">
        <f ca="1"/>
        <v>0.419595</v>
      </c>
      <c r="N497">
        <f ca="1"/>
        <v>0</v>
      </c>
      <c r="O497">
        <f ca="1"/>
        <v>0</v>
      </c>
      <c r="P497">
        <f ca="1"/>
        <v>0.96320300000000003</v>
      </c>
      <c r="Q497">
        <f ca="1"/>
        <v>0.45117400000000002</v>
      </c>
      <c r="R497">
        <f ca="1"/>
        <v>0.46591700000000003</v>
      </c>
      <c r="S497">
        <f ca="1"/>
        <v>0</v>
      </c>
      <c r="T497">
        <f ca="1"/>
        <v>0</v>
      </c>
      <c r="U497">
        <f ca="1"/>
        <v>0.96598099999999998</v>
      </c>
      <c r="V497">
        <f ca="1"/>
        <v>7.8706999999999999E-2</v>
      </c>
    </row>
    <row r="498" spans="1:22" x14ac:dyDescent="0.3">
      <c r="A498" t="str">
        <f ca="1"/>
        <v>497</v>
      </c>
      <c r="B498" t="str">
        <f ca="1"/>
        <v>Ruhango_HS10_15</v>
      </c>
      <c r="C498">
        <f ca="1"/>
        <v>0.19536000000000001</v>
      </c>
      <c r="D498">
        <f ca="1"/>
        <v>0</v>
      </c>
      <c r="E498">
        <f ca="1"/>
        <v>0</v>
      </c>
      <c r="F498">
        <f ca="1"/>
        <v>0.106298</v>
      </c>
      <c r="G498">
        <f ca="1"/>
        <v>0</v>
      </c>
      <c r="H498">
        <f ca="1"/>
        <v>0.19846800000000001</v>
      </c>
      <c r="I498">
        <f ca="1"/>
        <v>0</v>
      </c>
      <c r="J498">
        <f ca="1"/>
        <v>0</v>
      </c>
      <c r="K498">
        <f ca="1"/>
        <v>0</v>
      </c>
      <c r="L498">
        <f ca="1"/>
        <v>0</v>
      </c>
      <c r="M498">
        <f ca="1"/>
        <v>0.28931099999999998</v>
      </c>
      <c r="N498">
        <f ca="1"/>
        <v>0.59373500000000001</v>
      </c>
      <c r="O498">
        <f ca="1"/>
        <v>0.49</v>
      </c>
      <c r="P498">
        <f ca="1"/>
        <v>0</v>
      </c>
      <c r="Q498">
        <f ca="1"/>
        <v>0</v>
      </c>
      <c r="R498">
        <f ca="1"/>
        <v>0.28931099999999998</v>
      </c>
      <c r="S498">
        <f ca="1"/>
        <v>0.59373500000000001</v>
      </c>
      <c r="T498">
        <f ca="1"/>
        <v>0.49</v>
      </c>
      <c r="U498">
        <f ca="1"/>
        <v>0</v>
      </c>
      <c r="V498">
        <f ca="1"/>
        <v>0</v>
      </c>
    </row>
    <row r="499" spans="1:22" x14ac:dyDescent="0.3">
      <c r="A499" t="str">
        <f ca="1"/>
        <v>498</v>
      </c>
      <c r="B499" t="str">
        <f ca="1"/>
        <v>Ruhango_HS11_15</v>
      </c>
      <c r="C499">
        <f ca="1"/>
        <v>0.48192600000000002</v>
      </c>
      <c r="D499">
        <f ca="1"/>
        <v>0.36674600000000002</v>
      </c>
      <c r="E499">
        <f ca="1"/>
        <v>0</v>
      </c>
      <c r="F499">
        <f ca="1"/>
        <v>0.22647500000000001</v>
      </c>
      <c r="G499">
        <f ca="1"/>
        <v>0.47191</v>
      </c>
      <c r="H499">
        <f ca="1"/>
        <v>0.203184</v>
      </c>
      <c r="I499">
        <f ca="1"/>
        <v>0.73186399999999996</v>
      </c>
      <c r="J499">
        <f ca="1"/>
        <v>0.59</v>
      </c>
      <c r="K499">
        <f ca="1"/>
        <v>0</v>
      </c>
      <c r="L499">
        <f ca="1"/>
        <v>0</v>
      </c>
      <c r="M499">
        <f ca="1"/>
        <v>0.40338200000000002</v>
      </c>
      <c r="N499">
        <f ca="1"/>
        <v>0.50067700000000004</v>
      </c>
      <c r="O499">
        <f ca="1"/>
        <v>0.55000000000000004</v>
      </c>
      <c r="P499">
        <f ca="1"/>
        <v>0</v>
      </c>
      <c r="Q499">
        <f ca="1"/>
        <v>0</v>
      </c>
      <c r="R499">
        <f ca="1"/>
        <v>0.48426000000000002</v>
      </c>
      <c r="S499">
        <f ca="1"/>
        <v>0.41028900000000001</v>
      </c>
      <c r="T499">
        <f ca="1"/>
        <v>0.52</v>
      </c>
      <c r="U499">
        <f ca="1"/>
        <v>0</v>
      </c>
      <c r="V499">
        <f ca="1"/>
        <v>0</v>
      </c>
    </row>
    <row r="500" spans="1:22" x14ac:dyDescent="0.3">
      <c r="A500" t="str">
        <f ca="1"/>
        <v>499</v>
      </c>
      <c r="B500" t="str">
        <f ca="1"/>
        <v>Ruhango_HS12_15</v>
      </c>
      <c r="C500">
        <f ca="1"/>
        <v>0.61910600000000005</v>
      </c>
      <c r="D500">
        <f ca="1"/>
        <v>0</v>
      </c>
      <c r="E500">
        <f ca="1"/>
        <v>0</v>
      </c>
      <c r="F500">
        <f ca="1"/>
        <v>0.14532900000000001</v>
      </c>
      <c r="G500">
        <f ca="1"/>
        <v>0</v>
      </c>
      <c r="H500">
        <f ca="1"/>
        <v>0.77376400000000001</v>
      </c>
      <c r="I500">
        <f ca="1"/>
        <v>0</v>
      </c>
      <c r="J500">
        <f ca="1"/>
        <v>0</v>
      </c>
      <c r="K500">
        <f ca="1"/>
        <v>0</v>
      </c>
      <c r="L500">
        <f ca="1"/>
        <v>0</v>
      </c>
      <c r="M500">
        <f ca="1"/>
        <v>0.47560799999999998</v>
      </c>
      <c r="N500">
        <f ca="1"/>
        <v>0</v>
      </c>
      <c r="O500">
        <f ca="1"/>
        <v>0</v>
      </c>
      <c r="P500">
        <f ca="1"/>
        <v>0.99474399999999996</v>
      </c>
      <c r="Q500">
        <f ca="1"/>
        <v>7.6900999999999997E-2</v>
      </c>
      <c r="R500">
        <f ca="1"/>
        <v>0.56685099999999999</v>
      </c>
      <c r="S500">
        <f ca="1"/>
        <v>0</v>
      </c>
      <c r="T500">
        <f ca="1"/>
        <v>0</v>
      </c>
      <c r="U500">
        <f ca="1"/>
        <v>0.99431800000000004</v>
      </c>
      <c r="V500">
        <f ca="1"/>
        <v>1.3749000000000001E-2</v>
      </c>
    </row>
    <row r="501" spans="1:22" x14ac:dyDescent="0.3">
      <c r="A501" t="str">
        <f ca="1"/>
        <v>500</v>
      </c>
      <c r="B501" t="str">
        <f ca="1"/>
        <v>Ruhango_HS13_15</v>
      </c>
      <c r="C501">
        <f ca="1"/>
        <v>0.17089299999999999</v>
      </c>
      <c r="D501">
        <f ca="1"/>
        <v>1.0464979999999999</v>
      </c>
      <c r="E501">
        <f ca="1"/>
        <v>0</v>
      </c>
      <c r="F501">
        <f ca="1"/>
        <v>0.25311600000000001</v>
      </c>
      <c r="G501">
        <f ca="1"/>
        <v>0</v>
      </c>
      <c r="H501">
        <f ca="1"/>
        <v>0.16641500000000001</v>
      </c>
      <c r="I501">
        <f ca="1"/>
        <v>0</v>
      </c>
      <c r="J501">
        <f ca="1"/>
        <v>0</v>
      </c>
      <c r="K501">
        <f ca="1"/>
        <v>0</v>
      </c>
      <c r="L501">
        <f ca="1"/>
        <v>0</v>
      </c>
      <c r="M501">
        <f ca="1"/>
        <v>0.19692599999999999</v>
      </c>
      <c r="N501">
        <f ca="1"/>
        <v>0.44692300000000001</v>
      </c>
      <c r="O501">
        <f ca="1"/>
        <v>0.5</v>
      </c>
      <c r="P501">
        <f ca="1"/>
        <v>0</v>
      </c>
      <c r="Q501">
        <f ca="1"/>
        <v>0</v>
      </c>
      <c r="R501">
        <f ca="1"/>
        <v>0.19692599999999999</v>
      </c>
      <c r="S501">
        <f ca="1"/>
        <v>0.44692300000000001</v>
      </c>
      <c r="T501">
        <f ca="1"/>
        <v>0.5</v>
      </c>
      <c r="U501">
        <f ca="1"/>
        <v>0</v>
      </c>
      <c r="V501">
        <f ca="1"/>
        <v>0</v>
      </c>
    </row>
    <row r="502" spans="1:22" x14ac:dyDescent="0.3">
      <c r="A502" t="str">
        <f ca="1"/>
        <v>501</v>
      </c>
      <c r="B502" t="str">
        <f ca="1"/>
        <v>Ruhango_HS14_15</v>
      </c>
      <c r="C502">
        <f ca="1"/>
        <v>0.32150299999999998</v>
      </c>
      <c r="D502">
        <f ca="1"/>
        <v>1.1823900000000001</v>
      </c>
      <c r="E502">
        <f ca="1"/>
        <v>0</v>
      </c>
      <c r="F502">
        <f ca="1"/>
        <v>0.33767799999999998</v>
      </c>
      <c r="G502">
        <f ca="1"/>
        <v>0</v>
      </c>
      <c r="H502">
        <f ca="1"/>
        <v>0.354823</v>
      </c>
      <c r="I502">
        <f ca="1"/>
        <v>0</v>
      </c>
      <c r="J502">
        <f ca="1"/>
        <v>0</v>
      </c>
      <c r="K502">
        <f ca="1"/>
        <v>0</v>
      </c>
      <c r="L502">
        <f ca="1"/>
        <v>0</v>
      </c>
      <c r="M502">
        <f ca="1"/>
        <v>0.410694</v>
      </c>
      <c r="N502">
        <f ca="1"/>
        <v>0.53365399999999996</v>
      </c>
      <c r="O502">
        <f ca="1"/>
        <v>0.49</v>
      </c>
      <c r="P502">
        <f ca="1"/>
        <v>0</v>
      </c>
      <c r="Q502">
        <f ca="1"/>
        <v>0</v>
      </c>
      <c r="R502">
        <f ca="1"/>
        <v>0.41184599999999999</v>
      </c>
      <c r="S502">
        <f ca="1"/>
        <v>0.53437500000000004</v>
      </c>
      <c r="T502">
        <f ca="1"/>
        <v>0.49</v>
      </c>
      <c r="U502">
        <f ca="1"/>
        <v>0</v>
      </c>
      <c r="V502">
        <f ca="1"/>
        <v>0</v>
      </c>
    </row>
    <row r="503" spans="1:22" x14ac:dyDescent="0.3">
      <c r="A503" t="str">
        <f ca="1"/>
        <v>502</v>
      </c>
      <c r="B503" t="str">
        <f ca="1"/>
        <v>Ruhango_HS15_15</v>
      </c>
      <c r="C503">
        <f ca="1"/>
        <v>0.317639</v>
      </c>
      <c r="D503">
        <f ca="1"/>
        <v>0</v>
      </c>
      <c r="E503">
        <f ca="1"/>
        <v>0</v>
      </c>
      <c r="F503">
        <f ca="1"/>
        <v>0.180367</v>
      </c>
      <c r="G503">
        <f ca="1"/>
        <v>0</v>
      </c>
      <c r="H503">
        <f ca="1"/>
        <v>0.32165199999999999</v>
      </c>
      <c r="I503">
        <f ca="1"/>
        <v>0</v>
      </c>
      <c r="J503">
        <f ca="1"/>
        <v>0</v>
      </c>
      <c r="K503">
        <f ca="1"/>
        <v>0</v>
      </c>
      <c r="L503">
        <f ca="1"/>
        <v>0</v>
      </c>
      <c r="M503">
        <f ca="1"/>
        <v>0.41386600000000001</v>
      </c>
      <c r="N503">
        <f ca="1"/>
        <v>0.45253199999999999</v>
      </c>
      <c r="O503">
        <f ca="1"/>
        <v>0.49</v>
      </c>
      <c r="P503">
        <f ca="1"/>
        <v>0</v>
      </c>
      <c r="Q503">
        <f ca="1"/>
        <v>0</v>
      </c>
      <c r="R503">
        <f ca="1"/>
        <v>0.41386600000000001</v>
      </c>
      <c r="S503">
        <f ca="1"/>
        <v>0.45253199999999999</v>
      </c>
      <c r="T503">
        <f ca="1"/>
        <v>0.49</v>
      </c>
      <c r="U503">
        <f ca="1"/>
        <v>0</v>
      </c>
      <c r="V503">
        <f ca="1"/>
        <v>0</v>
      </c>
    </row>
    <row r="504" spans="1:22" x14ac:dyDescent="0.3">
      <c r="A504" t="str">
        <f ca="1"/>
        <v>503</v>
      </c>
      <c r="B504" t="str">
        <f ca="1"/>
        <v>Ruhango_HS16_15</v>
      </c>
      <c r="C504">
        <f ca="1"/>
        <v>0.48541000000000001</v>
      </c>
      <c r="D504">
        <f ca="1"/>
        <v>0</v>
      </c>
      <c r="E504">
        <f ca="1"/>
        <v>0</v>
      </c>
      <c r="F504">
        <f ca="1"/>
        <v>0.10968799999999999</v>
      </c>
      <c r="G504">
        <f ca="1"/>
        <v>0</v>
      </c>
      <c r="H504">
        <f ca="1"/>
        <v>0.54845200000000005</v>
      </c>
      <c r="I504">
        <f ca="1"/>
        <v>0</v>
      </c>
      <c r="J504">
        <f ca="1"/>
        <v>0</v>
      </c>
      <c r="K504">
        <f ca="1"/>
        <v>0</v>
      </c>
      <c r="L504">
        <f ca="1"/>
        <v>0</v>
      </c>
      <c r="M504">
        <f ca="1"/>
        <v>0.39091999999999999</v>
      </c>
      <c r="N504">
        <f ca="1"/>
        <v>0</v>
      </c>
      <c r="O504">
        <f ca="1"/>
        <v>0</v>
      </c>
      <c r="P504">
        <f ca="1"/>
        <v>0.98253400000000002</v>
      </c>
      <c r="Q504">
        <f ca="1"/>
        <v>0</v>
      </c>
      <c r="R504">
        <f ca="1"/>
        <v>0.453592</v>
      </c>
      <c r="S504">
        <f ca="1"/>
        <v>0</v>
      </c>
      <c r="T504">
        <f ca="1"/>
        <v>0</v>
      </c>
      <c r="U504">
        <f ca="1"/>
        <v>0.98253400000000002</v>
      </c>
      <c r="V504">
        <f ca="1"/>
        <v>0</v>
      </c>
    </row>
    <row r="505" spans="1:22" x14ac:dyDescent="0.3">
      <c r="A505" t="str">
        <f ca="1"/>
        <v>504</v>
      </c>
      <c r="B505" t="str">
        <f ca="1"/>
        <v>Ruhango_HS17_15</v>
      </c>
      <c r="C505">
        <f ca="1"/>
        <v>0.18929000000000001</v>
      </c>
      <c r="D505">
        <f ca="1"/>
        <v>0</v>
      </c>
      <c r="E505">
        <f ca="1"/>
        <v>0</v>
      </c>
      <c r="F505">
        <f ca="1"/>
        <v>0.72836599999999996</v>
      </c>
      <c r="G505">
        <f ca="1"/>
        <v>0</v>
      </c>
      <c r="H505">
        <f ca="1"/>
        <v>0.18790100000000001</v>
      </c>
      <c r="I505">
        <f ca="1"/>
        <v>0.44628099999999998</v>
      </c>
      <c r="J505">
        <f ca="1"/>
        <v>0.56999999999999995</v>
      </c>
      <c r="K505">
        <f ca="1"/>
        <v>0</v>
      </c>
      <c r="L505">
        <f ca="1"/>
        <v>0</v>
      </c>
      <c r="M505">
        <f ca="1"/>
        <v>9.1243000000000005E-2</v>
      </c>
      <c r="N505">
        <f ca="1"/>
        <v>0</v>
      </c>
      <c r="O505">
        <f ca="1"/>
        <v>0</v>
      </c>
      <c r="P505">
        <f ca="1"/>
        <v>0.98671900000000001</v>
      </c>
      <c r="Q505">
        <f ca="1"/>
        <v>0.95120000000000005</v>
      </c>
      <c r="R505">
        <f ca="1"/>
        <v>0.29380099999999998</v>
      </c>
      <c r="S505">
        <f ca="1"/>
        <v>0.36054900000000001</v>
      </c>
      <c r="T505">
        <f ca="1"/>
        <v>0.54</v>
      </c>
      <c r="U505">
        <f ca="1"/>
        <v>0</v>
      </c>
      <c r="V505">
        <f ca="1"/>
        <v>0</v>
      </c>
    </row>
    <row r="506" spans="1:22" x14ac:dyDescent="0.3">
      <c r="A506" t="str">
        <f ca="1"/>
        <v>505</v>
      </c>
      <c r="B506" t="str">
        <f ca="1"/>
        <v>Ruhango_HS1_15</v>
      </c>
      <c r="C506">
        <f ca="1"/>
        <v>0.63093900000000003</v>
      </c>
      <c r="D506">
        <f ca="1"/>
        <v>0</v>
      </c>
      <c r="E506">
        <f ca="1"/>
        <v>0</v>
      </c>
      <c r="F506">
        <f ca="1"/>
        <v>0.31001400000000001</v>
      </c>
      <c r="G506">
        <f ca="1"/>
        <v>0</v>
      </c>
      <c r="H506">
        <f ca="1"/>
        <v>0.75333099999999997</v>
      </c>
      <c r="I506">
        <f ca="1"/>
        <v>0</v>
      </c>
      <c r="J506">
        <f ca="1"/>
        <v>0</v>
      </c>
      <c r="K506">
        <f ca="1"/>
        <v>0</v>
      </c>
      <c r="L506">
        <f ca="1"/>
        <v>0</v>
      </c>
      <c r="M506">
        <f ca="1"/>
        <v>0.57189199999999996</v>
      </c>
      <c r="N506">
        <f ca="1"/>
        <v>0</v>
      </c>
      <c r="O506">
        <f ca="1"/>
        <v>0</v>
      </c>
      <c r="P506">
        <f ca="1"/>
        <v>0.99018600000000001</v>
      </c>
      <c r="Q506">
        <f ca="1"/>
        <v>0</v>
      </c>
      <c r="R506">
        <f ca="1"/>
        <v>0.65632800000000002</v>
      </c>
      <c r="S506">
        <f ca="1"/>
        <v>0</v>
      </c>
      <c r="T506">
        <f ca="1"/>
        <v>0</v>
      </c>
      <c r="U506">
        <f ca="1"/>
        <v>0.99018600000000001</v>
      </c>
      <c r="V506">
        <f ca="1"/>
        <v>0</v>
      </c>
    </row>
    <row r="507" spans="1:22" x14ac:dyDescent="0.3">
      <c r="A507" t="str">
        <f ca="1"/>
        <v>506</v>
      </c>
      <c r="B507" t="str">
        <f ca="1"/>
        <v>Ruhango_HS2_15</v>
      </c>
      <c r="C507">
        <f ca="1"/>
        <v>1.1851719999999999</v>
      </c>
      <c r="D507">
        <f ca="1"/>
        <v>0.39314199999999999</v>
      </c>
      <c r="E507">
        <f ca="1"/>
        <v>4.6389999999999999E-3</v>
      </c>
      <c r="F507">
        <f ca="1"/>
        <v>0.19048200000000001</v>
      </c>
      <c r="G507">
        <f ca="1"/>
        <v>0.17368400000000001</v>
      </c>
      <c r="H507">
        <f ca="1"/>
        <v>0.40682099999999999</v>
      </c>
      <c r="I507">
        <f ca="1"/>
        <v>0</v>
      </c>
      <c r="J507">
        <f ca="1"/>
        <v>0</v>
      </c>
      <c r="K507">
        <f ca="1"/>
        <v>0.99214599999999997</v>
      </c>
      <c r="L507">
        <f ca="1"/>
        <v>8.8909999999999996E-3</v>
      </c>
      <c r="M507">
        <f ca="1"/>
        <v>0.75286600000000004</v>
      </c>
      <c r="N507">
        <f ca="1"/>
        <v>0</v>
      </c>
      <c r="O507">
        <f ca="1"/>
        <v>0</v>
      </c>
      <c r="P507">
        <f ca="1"/>
        <v>0.97877800000000004</v>
      </c>
      <c r="Q507">
        <f ca="1"/>
        <v>0.17968400000000001</v>
      </c>
      <c r="R507">
        <f ca="1"/>
        <v>0.89497400000000005</v>
      </c>
      <c r="S507">
        <f ca="1"/>
        <v>0</v>
      </c>
      <c r="T507">
        <f ca="1"/>
        <v>0</v>
      </c>
      <c r="U507">
        <f ca="1"/>
        <v>0.97978600000000005</v>
      </c>
      <c r="V507">
        <f ca="1"/>
        <v>4.7381E-2</v>
      </c>
    </row>
    <row r="508" spans="1:22" x14ac:dyDescent="0.3">
      <c r="A508" t="str">
        <f ca="1"/>
        <v>507</v>
      </c>
      <c r="B508" t="str">
        <f ca="1"/>
        <v>Ruhango_HS3_15</v>
      </c>
      <c r="C508">
        <f ca="1"/>
        <v>0.66929799999999995</v>
      </c>
      <c r="D508">
        <f ca="1"/>
        <v>0</v>
      </c>
      <c r="E508">
        <f ca="1"/>
        <v>0</v>
      </c>
      <c r="F508">
        <f ca="1"/>
        <v>0.104934</v>
      </c>
      <c r="G508">
        <f ca="1"/>
        <v>0</v>
      </c>
      <c r="H508">
        <f ca="1"/>
        <v>0.78410299999999999</v>
      </c>
      <c r="I508">
        <f ca="1"/>
        <v>0</v>
      </c>
      <c r="J508">
        <f ca="1"/>
        <v>0</v>
      </c>
      <c r="K508">
        <f ca="1"/>
        <v>0</v>
      </c>
      <c r="L508">
        <f ca="1"/>
        <v>0</v>
      </c>
      <c r="M508">
        <f ca="1"/>
        <v>0.57169599999999998</v>
      </c>
      <c r="N508">
        <f ca="1"/>
        <v>0</v>
      </c>
      <c r="O508">
        <f ca="1"/>
        <v>0</v>
      </c>
      <c r="P508">
        <f ca="1"/>
        <v>0.98758599999999996</v>
      </c>
      <c r="Q508">
        <f ca="1"/>
        <v>0</v>
      </c>
      <c r="R508">
        <f ca="1"/>
        <v>0.67437999999999998</v>
      </c>
      <c r="S508">
        <f ca="1"/>
        <v>0</v>
      </c>
      <c r="T508">
        <f ca="1"/>
        <v>0</v>
      </c>
      <c r="U508">
        <f ca="1"/>
        <v>0.98758599999999996</v>
      </c>
      <c r="V508">
        <f ca="1"/>
        <v>0</v>
      </c>
    </row>
    <row r="509" spans="1:22" x14ac:dyDescent="0.3">
      <c r="A509" t="str">
        <f ca="1"/>
        <v>508</v>
      </c>
      <c r="B509" t="str">
        <f ca="1"/>
        <v>Ruhango_HS4_15</v>
      </c>
      <c r="C509">
        <f ca="1"/>
        <v>0.59328000000000003</v>
      </c>
      <c r="D509">
        <f ca="1"/>
        <v>0</v>
      </c>
      <c r="E509">
        <f ca="1"/>
        <v>0</v>
      </c>
      <c r="F509">
        <f ca="1"/>
        <v>0.14399200000000001</v>
      </c>
      <c r="G509">
        <f ca="1"/>
        <v>0</v>
      </c>
      <c r="H509">
        <f ca="1"/>
        <v>0.69895700000000005</v>
      </c>
      <c r="I509">
        <f ca="1"/>
        <v>0</v>
      </c>
      <c r="J509">
        <f ca="1"/>
        <v>0</v>
      </c>
      <c r="K509">
        <f ca="1"/>
        <v>0</v>
      </c>
      <c r="L509">
        <f ca="1"/>
        <v>0</v>
      </c>
      <c r="M509">
        <f ca="1"/>
        <v>0.48849199999999998</v>
      </c>
      <c r="N509">
        <f ca="1"/>
        <v>0</v>
      </c>
      <c r="O509">
        <f ca="1"/>
        <v>0</v>
      </c>
      <c r="P509">
        <f ca="1"/>
        <v>0.99031400000000003</v>
      </c>
      <c r="Q509">
        <f ca="1"/>
        <v>0</v>
      </c>
      <c r="R509">
        <f ca="1"/>
        <v>0.58085600000000004</v>
      </c>
      <c r="S509">
        <f ca="1"/>
        <v>0</v>
      </c>
      <c r="T509">
        <f ca="1"/>
        <v>0</v>
      </c>
      <c r="U509">
        <f ca="1"/>
        <v>0.99031400000000003</v>
      </c>
      <c r="V509">
        <f ca="1"/>
        <v>0</v>
      </c>
    </row>
    <row r="510" spans="1:22" x14ac:dyDescent="0.3">
      <c r="A510" t="str">
        <f ca="1"/>
        <v>509</v>
      </c>
      <c r="B510" t="str">
        <f ca="1"/>
        <v>Ruhango_HS5_15</v>
      </c>
      <c r="C510">
        <f ca="1"/>
        <v>0.59087000000000001</v>
      </c>
      <c r="D510">
        <f ca="1"/>
        <v>0.32176900000000003</v>
      </c>
      <c r="E510">
        <f ca="1"/>
        <v>0</v>
      </c>
      <c r="F510">
        <f ca="1"/>
        <v>0.16231799999999999</v>
      </c>
      <c r="G510">
        <f ca="1"/>
        <v>0</v>
      </c>
      <c r="H510">
        <f ca="1"/>
        <v>0.62007599999999996</v>
      </c>
      <c r="I510">
        <f ca="1"/>
        <v>0</v>
      </c>
      <c r="J510">
        <f ca="1"/>
        <v>0</v>
      </c>
      <c r="K510">
        <f ca="1"/>
        <v>0</v>
      </c>
      <c r="L510">
        <f ca="1"/>
        <v>0</v>
      </c>
      <c r="M510">
        <f ca="1"/>
        <v>0.51034400000000002</v>
      </c>
      <c r="N510">
        <f ca="1"/>
        <v>0.44661800000000001</v>
      </c>
      <c r="O510">
        <f ca="1"/>
        <v>0.57999999999999996</v>
      </c>
      <c r="P510">
        <f ca="1"/>
        <v>0</v>
      </c>
      <c r="Q510">
        <f ca="1"/>
        <v>0</v>
      </c>
      <c r="R510">
        <f ca="1"/>
        <v>0.51034400000000002</v>
      </c>
      <c r="S510">
        <f ca="1"/>
        <v>0.44661800000000001</v>
      </c>
      <c r="T510">
        <f ca="1"/>
        <v>0.57999999999999996</v>
      </c>
      <c r="U510">
        <f ca="1"/>
        <v>0</v>
      </c>
      <c r="V510">
        <f ca="1"/>
        <v>0</v>
      </c>
    </row>
    <row r="511" spans="1:22" x14ac:dyDescent="0.3">
      <c r="A511" t="str">
        <f ca="1"/>
        <v>510</v>
      </c>
      <c r="B511" t="str">
        <f ca="1"/>
        <v>Ruhango_HS6_15</v>
      </c>
      <c r="C511">
        <f ca="1"/>
        <v>0.56206800000000001</v>
      </c>
      <c r="D511">
        <f ca="1"/>
        <v>0</v>
      </c>
      <c r="E511">
        <f ca="1"/>
        <v>0</v>
      </c>
      <c r="F511">
        <f ca="1"/>
        <v>0.15132300000000001</v>
      </c>
      <c r="G511">
        <f ca="1"/>
        <v>0</v>
      </c>
      <c r="H511">
        <f ca="1"/>
        <v>0.55957100000000004</v>
      </c>
      <c r="I511">
        <f ca="1"/>
        <v>0</v>
      </c>
      <c r="J511">
        <f ca="1"/>
        <v>0</v>
      </c>
      <c r="K511">
        <f ca="1"/>
        <v>0</v>
      </c>
      <c r="L511">
        <f ca="1"/>
        <v>0</v>
      </c>
      <c r="M511">
        <f ca="1"/>
        <v>0.718669</v>
      </c>
      <c r="N511">
        <f ca="1"/>
        <v>0.52936000000000005</v>
      </c>
      <c r="O511">
        <f ca="1"/>
        <v>0.50272600000000001</v>
      </c>
      <c r="P511">
        <f ca="1"/>
        <v>0</v>
      </c>
      <c r="Q511">
        <f ca="1"/>
        <v>0</v>
      </c>
      <c r="R511">
        <f ca="1"/>
        <v>0.718669</v>
      </c>
      <c r="S511">
        <f ca="1"/>
        <v>0.52936000000000005</v>
      </c>
      <c r="T511">
        <f ca="1"/>
        <v>0.50272600000000001</v>
      </c>
      <c r="U511">
        <f ca="1"/>
        <v>0</v>
      </c>
      <c r="V511">
        <f ca="1"/>
        <v>0</v>
      </c>
    </row>
    <row r="512" spans="1:22" x14ac:dyDescent="0.3">
      <c r="A512" t="str">
        <f ca="1"/>
        <v>511</v>
      </c>
      <c r="B512" t="str">
        <f ca="1"/>
        <v>Ruhango_HS7_15</v>
      </c>
      <c r="C512">
        <f ca="1"/>
        <v>0.17865800000000001</v>
      </c>
      <c r="D512">
        <f ca="1"/>
        <v>0</v>
      </c>
      <c r="E512">
        <f ca="1"/>
        <v>0</v>
      </c>
      <c r="F512">
        <f ca="1"/>
        <v>0.91281500000000004</v>
      </c>
      <c r="G512">
        <f ca="1"/>
        <v>0</v>
      </c>
      <c r="H512">
        <f ca="1"/>
        <v>0.640401</v>
      </c>
      <c r="I512">
        <f ca="1"/>
        <v>0</v>
      </c>
      <c r="J512">
        <f ca="1"/>
        <v>0</v>
      </c>
      <c r="K512">
        <f ca="1"/>
        <v>0</v>
      </c>
      <c r="L512">
        <f ca="1"/>
        <v>0</v>
      </c>
      <c r="M512">
        <f ca="1"/>
        <v>0.18529899999999999</v>
      </c>
      <c r="N512">
        <f ca="1"/>
        <v>0</v>
      </c>
      <c r="O512">
        <f ca="1"/>
        <v>0</v>
      </c>
      <c r="P512">
        <f ca="1"/>
        <v>0.99155099999999996</v>
      </c>
      <c r="Q512">
        <f ca="1"/>
        <v>0</v>
      </c>
      <c r="R512">
        <f ca="1"/>
        <v>0.20763799999999999</v>
      </c>
      <c r="S512">
        <f ca="1"/>
        <v>0</v>
      </c>
      <c r="T512">
        <f ca="1"/>
        <v>0</v>
      </c>
      <c r="U512">
        <f ca="1"/>
        <v>0.99155099999999996</v>
      </c>
      <c r="V512">
        <f ca="1"/>
        <v>0</v>
      </c>
    </row>
    <row r="513" spans="1:22" x14ac:dyDescent="0.3">
      <c r="A513" t="str">
        <f ca="1"/>
        <v>512</v>
      </c>
      <c r="B513" t="str">
        <f ca="1"/>
        <v>Ruhango_HS8_15</v>
      </c>
      <c r="C513">
        <f ca="1"/>
        <v>0.31897199999999998</v>
      </c>
      <c r="D513">
        <f ca="1"/>
        <v>0</v>
      </c>
      <c r="E513">
        <f ca="1"/>
        <v>0</v>
      </c>
      <c r="F513">
        <f ca="1"/>
        <v>0.150725</v>
      </c>
      <c r="G513">
        <f ca="1"/>
        <v>0</v>
      </c>
      <c r="H513">
        <f ca="1"/>
        <v>0.38360300000000003</v>
      </c>
      <c r="I513">
        <f ca="1"/>
        <v>0</v>
      </c>
      <c r="J513">
        <f ca="1"/>
        <v>0</v>
      </c>
      <c r="K513">
        <f ca="1"/>
        <v>0</v>
      </c>
      <c r="L513">
        <f ca="1"/>
        <v>0</v>
      </c>
      <c r="M513">
        <f ca="1"/>
        <v>0.39819199999999999</v>
      </c>
      <c r="N513">
        <f ca="1"/>
        <v>0</v>
      </c>
      <c r="O513">
        <f ca="1"/>
        <v>0</v>
      </c>
      <c r="P513">
        <f ca="1"/>
        <v>0.95998899999999998</v>
      </c>
      <c r="Q513">
        <f ca="1"/>
        <v>0</v>
      </c>
      <c r="R513">
        <f ca="1"/>
        <v>0.44932699999999998</v>
      </c>
      <c r="S513">
        <f ca="1"/>
        <v>0</v>
      </c>
      <c r="T513">
        <f ca="1"/>
        <v>0</v>
      </c>
      <c r="U513">
        <f ca="1"/>
        <v>0.95998899999999998</v>
      </c>
      <c r="V513">
        <f ca="1"/>
        <v>0</v>
      </c>
    </row>
    <row r="514" spans="1:22" x14ac:dyDescent="0.3">
      <c r="A514" t="str">
        <f ca="1"/>
        <v>513</v>
      </c>
      <c r="B514" t="str">
        <f ca="1"/>
        <v>Ruhango_HS9_15</v>
      </c>
      <c r="C514">
        <f ca="1"/>
        <v>0.52565899999999999</v>
      </c>
      <c r="D514">
        <f ca="1"/>
        <v>1.134247</v>
      </c>
      <c r="E514">
        <f ca="1"/>
        <v>1.8019E-2</v>
      </c>
      <c r="F514">
        <f ca="1"/>
        <v>0.33526299999999998</v>
      </c>
      <c r="G514">
        <f ca="1"/>
        <v>0</v>
      </c>
      <c r="H514">
        <f ca="1"/>
        <v>0.66597799999999996</v>
      </c>
      <c r="I514">
        <f ca="1"/>
        <v>0</v>
      </c>
      <c r="J514">
        <f ca="1"/>
        <v>0</v>
      </c>
      <c r="K514">
        <f ca="1"/>
        <v>0</v>
      </c>
      <c r="L514">
        <f ca="1"/>
        <v>0</v>
      </c>
      <c r="M514">
        <f ca="1"/>
        <v>0.446932</v>
      </c>
      <c r="N514">
        <f ca="1"/>
        <v>0</v>
      </c>
      <c r="O514">
        <f ca="1"/>
        <v>0</v>
      </c>
      <c r="P514">
        <f ca="1"/>
        <v>0.98616099999999995</v>
      </c>
      <c r="Q514">
        <f ca="1"/>
        <v>0</v>
      </c>
      <c r="R514">
        <f ca="1"/>
        <v>0.51009000000000004</v>
      </c>
      <c r="S514">
        <f ca="1"/>
        <v>0</v>
      </c>
      <c r="T514">
        <f ca="1"/>
        <v>0</v>
      </c>
      <c r="U514">
        <f ca="1"/>
        <v>0.98616099999999995</v>
      </c>
      <c r="V514">
        <f ca="1"/>
        <v>0</v>
      </c>
    </row>
    <row r="515" spans="1:22" x14ac:dyDescent="0.3">
      <c r="A515" t="str">
        <f ca="1"/>
        <v>514</v>
      </c>
      <c r="B515" t="str">
        <f ca="1"/>
        <v>Rukarara_15</v>
      </c>
      <c r="C515">
        <f ca="1"/>
        <v>0.94622499999999998</v>
      </c>
      <c r="D515">
        <f ca="1"/>
        <v>0</v>
      </c>
      <c r="E515">
        <f ca="1"/>
        <v>0</v>
      </c>
      <c r="F515">
        <f ca="1"/>
        <v>0.14466599999999999</v>
      </c>
      <c r="G515">
        <f ca="1"/>
        <v>0</v>
      </c>
      <c r="H515">
        <f ca="1"/>
        <v>1.030356</v>
      </c>
      <c r="I515">
        <f ca="1"/>
        <v>0</v>
      </c>
      <c r="J515">
        <f ca="1"/>
        <v>0</v>
      </c>
      <c r="K515">
        <f ca="1"/>
        <v>0</v>
      </c>
      <c r="L515">
        <f ca="1"/>
        <v>0</v>
      </c>
      <c r="M515">
        <f ca="1"/>
        <v>0.48358200000000001</v>
      </c>
      <c r="N515">
        <f ca="1"/>
        <v>0</v>
      </c>
      <c r="O515">
        <f ca="1"/>
        <v>0</v>
      </c>
      <c r="P515">
        <f ca="1"/>
        <v>0.98518799999999995</v>
      </c>
      <c r="Q515">
        <f ca="1"/>
        <v>0</v>
      </c>
      <c r="R515">
        <f ca="1"/>
        <v>0.558172</v>
      </c>
      <c r="S515">
        <f ca="1"/>
        <v>0</v>
      </c>
      <c r="T515">
        <f ca="1"/>
        <v>0</v>
      </c>
      <c r="U515">
        <f ca="1"/>
        <v>0.98518799999999995</v>
      </c>
      <c r="V515">
        <f ca="1"/>
        <v>0</v>
      </c>
    </row>
    <row r="516" spans="1:22" x14ac:dyDescent="0.3">
      <c r="A516" t="str">
        <f ca="1"/>
        <v>515</v>
      </c>
      <c r="B516" t="str">
        <f ca="1"/>
        <v>Rulindo_15</v>
      </c>
      <c r="C516">
        <f ca="1"/>
        <v>1.2781340000000001</v>
      </c>
      <c r="D516">
        <f ca="1"/>
        <v>0.82852899999999996</v>
      </c>
      <c r="E516">
        <f ca="1"/>
        <v>0</v>
      </c>
      <c r="F516">
        <f ca="1"/>
        <v>0.353827</v>
      </c>
      <c r="G516">
        <f ca="1"/>
        <v>7.3011000000000006E-2</v>
      </c>
      <c r="H516">
        <f ca="1"/>
        <v>1.4381630000000001</v>
      </c>
      <c r="I516">
        <f ca="1"/>
        <v>0.58782800000000002</v>
      </c>
      <c r="J516">
        <f ca="1"/>
        <v>0.52</v>
      </c>
      <c r="K516">
        <f ca="1"/>
        <v>0</v>
      </c>
      <c r="L516">
        <f ca="1"/>
        <v>0</v>
      </c>
      <c r="M516">
        <f ca="1"/>
        <v>0.83100300000000005</v>
      </c>
      <c r="N516">
        <f ca="1"/>
        <v>0</v>
      </c>
      <c r="O516">
        <f ca="1"/>
        <v>0</v>
      </c>
      <c r="P516">
        <f ca="1"/>
        <v>0.98151999999999995</v>
      </c>
      <c r="Q516">
        <f ca="1"/>
        <v>0.235092</v>
      </c>
      <c r="R516">
        <f ca="1"/>
        <v>0.96484999999999999</v>
      </c>
      <c r="S516">
        <f ca="1"/>
        <v>0</v>
      </c>
      <c r="T516">
        <f ca="1"/>
        <v>0</v>
      </c>
      <c r="U516">
        <f ca="1"/>
        <v>0.98267300000000002</v>
      </c>
      <c r="V516">
        <f ca="1"/>
        <v>6.9095000000000004E-2</v>
      </c>
    </row>
    <row r="517" spans="1:22" x14ac:dyDescent="0.3">
      <c r="A517" t="str">
        <f ca="1"/>
        <v>516</v>
      </c>
      <c r="B517" t="str">
        <f ca="1"/>
        <v>Rulindo_HS0_15</v>
      </c>
      <c r="C517">
        <f ca="1"/>
        <v>0.60019900000000004</v>
      </c>
      <c r="D517">
        <f ca="1"/>
        <v>0</v>
      </c>
      <c r="E517">
        <f ca="1"/>
        <v>0</v>
      </c>
      <c r="F517">
        <f ca="1"/>
        <v>0.278889</v>
      </c>
      <c r="G517">
        <f ca="1"/>
        <v>0</v>
      </c>
      <c r="H517">
        <f ca="1"/>
        <v>0.72255899999999995</v>
      </c>
      <c r="I517">
        <f ca="1"/>
        <v>0</v>
      </c>
      <c r="J517">
        <f ca="1"/>
        <v>0</v>
      </c>
      <c r="K517">
        <f ca="1"/>
        <v>0</v>
      </c>
      <c r="L517">
        <f ca="1"/>
        <v>0</v>
      </c>
      <c r="M517">
        <f ca="1"/>
        <v>0.48540299999999997</v>
      </c>
      <c r="N517">
        <f ca="1"/>
        <v>0</v>
      </c>
      <c r="O517">
        <f ca="1"/>
        <v>0</v>
      </c>
      <c r="P517">
        <f ca="1"/>
        <v>0.95084000000000002</v>
      </c>
      <c r="Q517">
        <f ca="1"/>
        <v>0</v>
      </c>
      <c r="R517">
        <f ca="1"/>
        <v>0.54581500000000005</v>
      </c>
      <c r="S517">
        <f ca="1"/>
        <v>0</v>
      </c>
      <c r="T517">
        <f ca="1"/>
        <v>0</v>
      </c>
      <c r="U517">
        <f ca="1"/>
        <v>0.95084000000000002</v>
      </c>
      <c r="V517">
        <f ca="1"/>
        <v>0</v>
      </c>
    </row>
    <row r="518" spans="1:22" x14ac:dyDescent="0.3">
      <c r="A518" t="str">
        <f ca="1"/>
        <v>517</v>
      </c>
      <c r="B518" t="str">
        <f ca="1"/>
        <v>Rulindo_HS10_15</v>
      </c>
      <c r="C518">
        <f ca="1"/>
        <v>0.41313899999999998</v>
      </c>
      <c r="D518">
        <f ca="1"/>
        <v>0</v>
      </c>
      <c r="E518">
        <f ca="1"/>
        <v>0</v>
      </c>
      <c r="F518">
        <f ca="1"/>
        <v>0.470385</v>
      </c>
      <c r="G518">
        <f ca="1"/>
        <v>0</v>
      </c>
      <c r="H518">
        <f ca="1"/>
        <v>0.50664200000000004</v>
      </c>
      <c r="I518">
        <f ca="1"/>
        <v>0</v>
      </c>
      <c r="J518">
        <f ca="1"/>
        <v>0</v>
      </c>
      <c r="K518">
        <f ca="1"/>
        <v>0</v>
      </c>
      <c r="L518">
        <f ca="1"/>
        <v>0</v>
      </c>
      <c r="M518">
        <f ca="1"/>
        <v>0.39996700000000002</v>
      </c>
      <c r="N518">
        <f ca="1"/>
        <v>0</v>
      </c>
      <c r="O518">
        <f ca="1"/>
        <v>0</v>
      </c>
      <c r="P518">
        <f ca="1"/>
        <v>0.985954</v>
      </c>
      <c r="Q518">
        <f ca="1"/>
        <v>0</v>
      </c>
      <c r="R518">
        <f ca="1"/>
        <v>0.46268500000000001</v>
      </c>
      <c r="S518">
        <f ca="1"/>
        <v>0</v>
      </c>
      <c r="T518">
        <f ca="1"/>
        <v>0</v>
      </c>
      <c r="U518">
        <f ca="1"/>
        <v>0.985954</v>
      </c>
      <c r="V518">
        <f ca="1"/>
        <v>0</v>
      </c>
    </row>
    <row r="519" spans="1:22" x14ac:dyDescent="0.3">
      <c r="A519" t="str">
        <f ca="1"/>
        <v>518</v>
      </c>
      <c r="B519" t="str">
        <f ca="1"/>
        <v>Rulindo_HS11_15</v>
      </c>
      <c r="C519">
        <f ca="1"/>
        <v>1.1564570000000001</v>
      </c>
      <c r="D519">
        <f ca="1"/>
        <v>0</v>
      </c>
      <c r="E519">
        <f ca="1"/>
        <v>0</v>
      </c>
      <c r="F519">
        <f ca="1"/>
        <v>7.7015E-2</v>
      </c>
      <c r="G519">
        <f ca="1"/>
        <v>0</v>
      </c>
      <c r="H519">
        <f ca="1"/>
        <v>1.159432</v>
      </c>
      <c r="I519">
        <f ca="1"/>
        <v>0</v>
      </c>
      <c r="J519">
        <f ca="1"/>
        <v>0</v>
      </c>
      <c r="K519">
        <f ca="1"/>
        <v>0</v>
      </c>
      <c r="L519">
        <f ca="1"/>
        <v>0</v>
      </c>
      <c r="M519">
        <f ca="1"/>
        <v>0.80411900000000003</v>
      </c>
      <c r="N519">
        <f ca="1"/>
        <v>0.51775400000000005</v>
      </c>
      <c r="O519">
        <f ca="1"/>
        <v>0.60584400000000005</v>
      </c>
      <c r="P519">
        <f ca="1"/>
        <v>0</v>
      </c>
      <c r="Q519">
        <f ca="1"/>
        <v>0</v>
      </c>
      <c r="R519">
        <f ca="1"/>
        <v>0.80411900000000003</v>
      </c>
      <c r="S519">
        <f ca="1"/>
        <v>0.51775400000000005</v>
      </c>
      <c r="T519">
        <f ca="1"/>
        <v>0.60584400000000005</v>
      </c>
      <c r="U519">
        <f ca="1"/>
        <v>0</v>
      </c>
      <c r="V519">
        <f ca="1"/>
        <v>0</v>
      </c>
    </row>
    <row r="520" spans="1:22" x14ac:dyDescent="0.3">
      <c r="A520" t="str">
        <f ca="1"/>
        <v>519</v>
      </c>
      <c r="B520" t="str">
        <f ca="1"/>
        <v>Rulindo_HS12_15</v>
      </c>
      <c r="C520">
        <f ca="1"/>
        <v>0.40384500000000001</v>
      </c>
      <c r="D520">
        <f ca="1"/>
        <v>0</v>
      </c>
      <c r="E520">
        <f ca="1"/>
        <v>0</v>
      </c>
      <c r="F520">
        <f ca="1"/>
        <v>0.47606900000000002</v>
      </c>
      <c r="G520">
        <f ca="1"/>
        <v>0</v>
      </c>
      <c r="H520">
        <f ca="1"/>
        <v>0.51903200000000005</v>
      </c>
      <c r="I520">
        <f ca="1"/>
        <v>0</v>
      </c>
      <c r="J520">
        <f ca="1"/>
        <v>0</v>
      </c>
      <c r="K520">
        <f ca="1"/>
        <v>0</v>
      </c>
      <c r="L520">
        <f ca="1"/>
        <v>0</v>
      </c>
      <c r="M520">
        <f ca="1"/>
        <v>0.44218600000000002</v>
      </c>
      <c r="N520">
        <f ca="1"/>
        <v>0</v>
      </c>
      <c r="O520">
        <f ca="1"/>
        <v>0</v>
      </c>
      <c r="P520">
        <f ca="1"/>
        <v>0.96971799999999997</v>
      </c>
      <c r="Q520">
        <f ca="1"/>
        <v>0</v>
      </c>
      <c r="R520">
        <f ca="1"/>
        <v>0.50196600000000002</v>
      </c>
      <c r="S520">
        <f ca="1"/>
        <v>0</v>
      </c>
      <c r="T520">
        <f ca="1"/>
        <v>0</v>
      </c>
      <c r="U520">
        <f ca="1"/>
        <v>0.96971799999999997</v>
      </c>
      <c r="V520">
        <f ca="1"/>
        <v>0</v>
      </c>
    </row>
    <row r="521" spans="1:22" x14ac:dyDescent="0.3">
      <c r="A521" t="str">
        <f ca="1"/>
        <v>520</v>
      </c>
      <c r="B521" t="str">
        <f ca="1"/>
        <v>Rulindo_HS13_15</v>
      </c>
      <c r="C521">
        <f ca="1"/>
        <v>0.81724300000000005</v>
      </c>
      <c r="D521">
        <f ca="1"/>
        <v>0.69272100000000003</v>
      </c>
      <c r="E521">
        <f ca="1"/>
        <v>0</v>
      </c>
      <c r="F521">
        <f ca="1"/>
        <v>0.189858</v>
      </c>
      <c r="G521">
        <f ca="1"/>
        <v>0.17866699999999999</v>
      </c>
      <c r="H521">
        <f ca="1"/>
        <v>0.229465</v>
      </c>
      <c r="I521">
        <f ca="1"/>
        <v>0</v>
      </c>
      <c r="J521">
        <f ca="1"/>
        <v>0</v>
      </c>
      <c r="K521">
        <f ca="1"/>
        <v>0.99574799999999997</v>
      </c>
      <c r="L521">
        <f ca="1"/>
        <v>6.3587000000000005E-2</v>
      </c>
      <c r="M521">
        <f ca="1"/>
        <v>0.30266599999999999</v>
      </c>
      <c r="N521">
        <f ca="1"/>
        <v>0</v>
      </c>
      <c r="O521">
        <f ca="1"/>
        <v>0</v>
      </c>
      <c r="P521">
        <f ca="1"/>
        <v>0.986178</v>
      </c>
      <c r="Q521">
        <f ca="1"/>
        <v>0.81506999999999996</v>
      </c>
      <c r="R521">
        <f ca="1"/>
        <v>0.77587600000000001</v>
      </c>
      <c r="S521">
        <f ca="1"/>
        <v>0.41547400000000001</v>
      </c>
      <c r="T521">
        <f ca="1"/>
        <v>0.49</v>
      </c>
      <c r="U521">
        <f ca="1"/>
        <v>0</v>
      </c>
      <c r="V521">
        <f ca="1"/>
        <v>0</v>
      </c>
    </row>
    <row r="522" spans="1:22" x14ac:dyDescent="0.3">
      <c r="A522" t="str">
        <f ca="1"/>
        <v>521</v>
      </c>
      <c r="B522" t="str">
        <f ca="1"/>
        <v>Rulindo_HS14_15</v>
      </c>
      <c r="C522">
        <f ca="1"/>
        <v>0.227184</v>
      </c>
      <c r="D522">
        <f ca="1"/>
        <v>0</v>
      </c>
      <c r="E522">
        <f ca="1"/>
        <v>0</v>
      </c>
      <c r="F522">
        <f ca="1"/>
        <v>0.40002199999999999</v>
      </c>
      <c r="G522">
        <f ca="1"/>
        <v>0</v>
      </c>
      <c r="H522">
        <f ca="1"/>
        <v>0.25176399999999999</v>
      </c>
      <c r="I522">
        <f ca="1"/>
        <v>0</v>
      </c>
      <c r="J522">
        <f ca="1"/>
        <v>0</v>
      </c>
      <c r="K522">
        <f ca="1"/>
        <v>0</v>
      </c>
      <c r="L522">
        <f ca="1"/>
        <v>0</v>
      </c>
      <c r="M522">
        <f ca="1"/>
        <v>0.28693200000000002</v>
      </c>
      <c r="N522">
        <f ca="1"/>
        <v>0.52009000000000005</v>
      </c>
      <c r="O522">
        <f ca="1"/>
        <v>0.5</v>
      </c>
      <c r="P522">
        <f ca="1"/>
        <v>0</v>
      </c>
      <c r="Q522">
        <f ca="1"/>
        <v>0</v>
      </c>
      <c r="R522">
        <f ca="1"/>
        <v>0.28693200000000002</v>
      </c>
      <c r="S522">
        <f ca="1"/>
        <v>0.52009000000000005</v>
      </c>
      <c r="T522">
        <f ca="1"/>
        <v>0.5</v>
      </c>
      <c r="U522">
        <f ca="1"/>
        <v>0</v>
      </c>
      <c r="V522">
        <f ca="1"/>
        <v>0</v>
      </c>
    </row>
    <row r="523" spans="1:22" x14ac:dyDescent="0.3">
      <c r="A523" t="str">
        <f ca="1"/>
        <v>522</v>
      </c>
      <c r="B523" t="str">
        <f ca="1"/>
        <v>Rulindo_HS15_15</v>
      </c>
      <c r="C523">
        <f ca="1"/>
        <v>0.45819300000000002</v>
      </c>
      <c r="D523">
        <f ca="1"/>
        <v>0</v>
      </c>
      <c r="E523">
        <f ca="1"/>
        <v>0</v>
      </c>
      <c r="F523">
        <f ca="1"/>
        <v>0.26804299999999998</v>
      </c>
      <c r="G523">
        <f ca="1"/>
        <v>9.4488000000000003E-2</v>
      </c>
      <c r="H523">
        <f ca="1"/>
        <v>0.66609200000000002</v>
      </c>
      <c r="I523">
        <f ca="1"/>
        <v>0</v>
      </c>
      <c r="J523">
        <f ca="1"/>
        <v>0</v>
      </c>
      <c r="K523">
        <f ca="1"/>
        <v>0</v>
      </c>
      <c r="L523">
        <f ca="1"/>
        <v>0</v>
      </c>
      <c r="M523">
        <f ca="1"/>
        <v>0.44273899999999999</v>
      </c>
      <c r="N523">
        <f ca="1"/>
        <v>0.46835500000000002</v>
      </c>
      <c r="O523">
        <f ca="1"/>
        <v>0.52</v>
      </c>
      <c r="P523">
        <f ca="1"/>
        <v>0</v>
      </c>
      <c r="Q523">
        <f ca="1"/>
        <v>0</v>
      </c>
      <c r="R523">
        <f ca="1"/>
        <v>0.47256100000000001</v>
      </c>
      <c r="S523">
        <f ca="1"/>
        <v>0.43864300000000001</v>
      </c>
      <c r="T523">
        <f ca="1"/>
        <v>0.51</v>
      </c>
      <c r="U523">
        <f ca="1"/>
        <v>0</v>
      </c>
      <c r="V523">
        <f ca="1"/>
        <v>0</v>
      </c>
    </row>
    <row r="524" spans="1:22" x14ac:dyDescent="0.3">
      <c r="A524" t="str">
        <f ca="1"/>
        <v>523</v>
      </c>
      <c r="B524" t="str">
        <f ca="1"/>
        <v>Rulindo_HS1_15</v>
      </c>
      <c r="C524">
        <f ca="1"/>
        <v>0.416437</v>
      </c>
      <c r="D524">
        <f ca="1"/>
        <v>0</v>
      </c>
      <c r="E524">
        <f ca="1"/>
        <v>0</v>
      </c>
      <c r="F524">
        <f ca="1"/>
        <v>0.196099</v>
      </c>
      <c r="G524">
        <f ca="1"/>
        <v>0</v>
      </c>
      <c r="H524">
        <f ca="1"/>
        <v>0.46909899999999999</v>
      </c>
      <c r="I524">
        <f ca="1"/>
        <v>0</v>
      </c>
      <c r="J524">
        <f ca="1"/>
        <v>0</v>
      </c>
      <c r="K524">
        <f ca="1"/>
        <v>0</v>
      </c>
      <c r="L524">
        <f ca="1"/>
        <v>0</v>
      </c>
      <c r="M524">
        <f ca="1"/>
        <v>0.32595000000000002</v>
      </c>
      <c r="N524">
        <f ca="1"/>
        <v>0</v>
      </c>
      <c r="O524">
        <f ca="1"/>
        <v>0</v>
      </c>
      <c r="P524">
        <f ca="1"/>
        <v>0.97184400000000004</v>
      </c>
      <c r="Q524">
        <f ca="1"/>
        <v>0</v>
      </c>
      <c r="R524">
        <f ca="1"/>
        <v>0.35999700000000001</v>
      </c>
      <c r="S524">
        <f ca="1"/>
        <v>0</v>
      </c>
      <c r="T524">
        <f ca="1"/>
        <v>0</v>
      </c>
      <c r="U524">
        <f ca="1"/>
        <v>0.97184400000000004</v>
      </c>
      <c r="V524">
        <f ca="1"/>
        <v>0</v>
      </c>
    </row>
    <row r="525" spans="1:22" x14ac:dyDescent="0.3">
      <c r="A525" t="str">
        <f ca="1"/>
        <v>524</v>
      </c>
      <c r="B525" t="str">
        <f ca="1"/>
        <v>Rulindo_HS2_15</v>
      </c>
      <c r="C525">
        <f ca="1"/>
        <v>0.412047</v>
      </c>
      <c r="D525">
        <f ca="1"/>
        <v>0.424902</v>
      </c>
      <c r="E525">
        <f ca="1"/>
        <v>0.01</v>
      </c>
      <c r="F525">
        <f ca="1"/>
        <v>3.6923999999999998E-2</v>
      </c>
      <c r="G525">
        <f ca="1"/>
        <v>0</v>
      </c>
      <c r="H525">
        <f ca="1"/>
        <v>0.20546700000000001</v>
      </c>
      <c r="I525">
        <f ca="1"/>
        <v>0</v>
      </c>
      <c r="J525">
        <f ca="1"/>
        <v>0</v>
      </c>
      <c r="K525">
        <f ca="1"/>
        <v>0.76817000000000002</v>
      </c>
      <c r="L525">
        <f ca="1"/>
        <v>0</v>
      </c>
      <c r="M525">
        <f ca="1"/>
        <v>0.32927099999999998</v>
      </c>
      <c r="N525">
        <f ca="1"/>
        <v>0.58745099999999995</v>
      </c>
      <c r="O525">
        <f ca="1"/>
        <v>0.61</v>
      </c>
      <c r="P525">
        <f ca="1"/>
        <v>0</v>
      </c>
      <c r="Q525">
        <f ca="1"/>
        <v>0</v>
      </c>
      <c r="R525">
        <f ca="1"/>
        <v>0.32927099999999998</v>
      </c>
      <c r="S525">
        <f ca="1"/>
        <v>0.58745099999999995</v>
      </c>
      <c r="T525">
        <f ca="1"/>
        <v>0.61</v>
      </c>
      <c r="U525">
        <f ca="1"/>
        <v>0</v>
      </c>
      <c r="V525">
        <f ca="1"/>
        <v>0</v>
      </c>
    </row>
    <row r="526" spans="1:22" x14ac:dyDescent="0.3">
      <c r="A526" t="str">
        <f ca="1"/>
        <v>525</v>
      </c>
      <c r="B526" t="str">
        <f ca="1"/>
        <v>Rulindo_HS3_15</v>
      </c>
      <c r="C526">
        <f ca="1"/>
        <v>1.3041959999999999</v>
      </c>
      <c r="D526">
        <f ca="1"/>
        <v>0.39396599999999998</v>
      </c>
      <c r="E526">
        <f ca="1"/>
        <v>1.1207999999999999E-2</v>
      </c>
      <c r="F526">
        <f ca="1"/>
        <v>0.39948099999999998</v>
      </c>
      <c r="G526">
        <f ca="1"/>
        <v>0</v>
      </c>
      <c r="H526">
        <f ca="1"/>
        <v>1.503851</v>
      </c>
      <c r="I526">
        <f ca="1"/>
        <v>0</v>
      </c>
      <c r="J526">
        <f ca="1"/>
        <v>0</v>
      </c>
      <c r="K526">
        <f ca="1"/>
        <v>0</v>
      </c>
      <c r="L526">
        <f ca="1"/>
        <v>0</v>
      </c>
      <c r="M526">
        <f ca="1"/>
        <v>0.98158999999999996</v>
      </c>
      <c r="N526">
        <f ca="1"/>
        <v>0.48289900000000002</v>
      </c>
      <c r="O526">
        <f ca="1"/>
        <v>0.51</v>
      </c>
      <c r="P526">
        <f ca="1"/>
        <v>0.63819999999999999</v>
      </c>
      <c r="Q526">
        <f ca="1"/>
        <v>0</v>
      </c>
      <c r="R526">
        <f ca="1"/>
        <v>1.071861</v>
      </c>
      <c r="S526">
        <f ca="1"/>
        <v>0.48289900000000002</v>
      </c>
      <c r="T526">
        <f ca="1"/>
        <v>0.51</v>
      </c>
      <c r="U526">
        <f ca="1"/>
        <v>0.63819999999999999</v>
      </c>
      <c r="V526">
        <f ca="1"/>
        <v>0</v>
      </c>
    </row>
    <row r="527" spans="1:22" x14ac:dyDescent="0.3">
      <c r="A527" t="str">
        <f ca="1"/>
        <v>526</v>
      </c>
      <c r="B527" t="str">
        <f ca="1"/>
        <v>Rulindo_HS4_15</v>
      </c>
      <c r="C527">
        <f ca="1"/>
        <v>1.592978</v>
      </c>
      <c r="D527">
        <f ca="1"/>
        <v>0.33810099999999998</v>
      </c>
      <c r="E527">
        <f ca="1"/>
        <v>0</v>
      </c>
      <c r="F527">
        <f ca="1"/>
        <v>0.42164299999999999</v>
      </c>
      <c r="G527">
        <f ca="1"/>
        <v>0.77307700000000001</v>
      </c>
      <c r="H527">
        <f ca="1"/>
        <v>0.51433200000000001</v>
      </c>
      <c r="I527">
        <f ca="1"/>
        <v>0</v>
      </c>
      <c r="J527">
        <f ca="1"/>
        <v>0</v>
      </c>
      <c r="K527">
        <f ca="1"/>
        <v>0.99847300000000005</v>
      </c>
      <c r="L527">
        <f ca="1"/>
        <v>0.238339</v>
      </c>
      <c r="M527">
        <f ca="1"/>
        <v>0.64463599999999999</v>
      </c>
      <c r="N527">
        <f ca="1"/>
        <v>0</v>
      </c>
      <c r="O527">
        <f ca="1"/>
        <v>0</v>
      </c>
      <c r="P527">
        <f ca="1"/>
        <v>0.98806400000000005</v>
      </c>
      <c r="Q527">
        <f ca="1"/>
        <v>0.90788800000000003</v>
      </c>
      <c r="R527">
        <f ca="1"/>
        <v>0.84990399999999999</v>
      </c>
      <c r="S527">
        <f ca="1"/>
        <v>0</v>
      </c>
      <c r="T527">
        <f ca="1"/>
        <v>0</v>
      </c>
      <c r="U527">
        <f ca="1"/>
        <v>0.99513099999999999</v>
      </c>
      <c r="V527">
        <f ca="1"/>
        <v>0.57662000000000002</v>
      </c>
    </row>
    <row r="528" spans="1:22" x14ac:dyDescent="0.3">
      <c r="A528" t="str">
        <f ca="1"/>
        <v>527</v>
      </c>
      <c r="B528" t="str">
        <f ca="1"/>
        <v>Rulindo_HS5_15</v>
      </c>
      <c r="C528">
        <f ca="1"/>
        <v>0.20027300000000001</v>
      </c>
      <c r="D528">
        <f ca="1"/>
        <v>0</v>
      </c>
      <c r="E528">
        <f ca="1"/>
        <v>0</v>
      </c>
      <c r="F528">
        <f ca="1"/>
        <v>0.44281999999999999</v>
      </c>
      <c r="G528">
        <f ca="1"/>
        <v>0</v>
      </c>
      <c r="H528">
        <f ca="1"/>
        <v>0.21371499999999999</v>
      </c>
      <c r="I528">
        <f ca="1"/>
        <v>0</v>
      </c>
      <c r="J528">
        <f ca="1"/>
        <v>0</v>
      </c>
      <c r="K528">
        <f ca="1"/>
        <v>0</v>
      </c>
      <c r="L528">
        <f ca="1"/>
        <v>0</v>
      </c>
      <c r="M528">
        <f ca="1"/>
        <v>0.303533</v>
      </c>
      <c r="N528">
        <f ca="1"/>
        <v>0.54491299999999998</v>
      </c>
      <c r="O528">
        <f ca="1"/>
        <v>0.49</v>
      </c>
      <c r="P528">
        <f ca="1"/>
        <v>0</v>
      </c>
      <c r="Q528">
        <f ca="1"/>
        <v>0</v>
      </c>
      <c r="R528">
        <f ca="1"/>
        <v>0.303533</v>
      </c>
      <c r="S528">
        <f ca="1"/>
        <v>0.54491299999999998</v>
      </c>
      <c r="T528">
        <f ca="1"/>
        <v>0.49</v>
      </c>
      <c r="U528">
        <f ca="1"/>
        <v>0</v>
      </c>
      <c r="V528">
        <f ca="1"/>
        <v>0</v>
      </c>
    </row>
    <row r="529" spans="1:22" x14ac:dyDescent="0.3">
      <c r="A529" t="str">
        <f ca="1"/>
        <v>528</v>
      </c>
      <c r="B529" t="str">
        <f ca="1"/>
        <v>Rulindo_HS6_15</v>
      </c>
      <c r="C529">
        <f ca="1"/>
        <v>0.75378000000000001</v>
      </c>
      <c r="D529">
        <f ca="1"/>
        <v>0.27060099999999998</v>
      </c>
      <c r="E529">
        <f ca="1"/>
        <v>0.01</v>
      </c>
      <c r="F529">
        <f ca="1"/>
        <v>0.239116</v>
      </c>
      <c r="G529">
        <f ca="1"/>
        <v>9.8039000000000001E-2</v>
      </c>
      <c r="H529">
        <f ca="1"/>
        <v>1.4239090000000001</v>
      </c>
      <c r="I529">
        <f ca="1"/>
        <v>0</v>
      </c>
      <c r="J529">
        <f ca="1"/>
        <v>0</v>
      </c>
      <c r="K529">
        <f ca="1"/>
        <v>0</v>
      </c>
      <c r="L529">
        <f ca="1"/>
        <v>0</v>
      </c>
      <c r="M529">
        <f ca="1"/>
        <v>0.55291400000000002</v>
      </c>
      <c r="N529">
        <f ca="1"/>
        <v>0</v>
      </c>
      <c r="O529">
        <f ca="1"/>
        <v>0</v>
      </c>
      <c r="P529">
        <f ca="1"/>
        <v>0.97489700000000001</v>
      </c>
      <c r="Q529">
        <f ca="1"/>
        <v>0.741004</v>
      </c>
      <c r="R529">
        <f ca="1"/>
        <v>0.66156899999999996</v>
      </c>
      <c r="S529">
        <f ca="1"/>
        <v>0</v>
      </c>
      <c r="T529">
        <f ca="1"/>
        <v>0</v>
      </c>
      <c r="U529">
        <f ca="1"/>
        <v>0.977047</v>
      </c>
      <c r="V529">
        <f ca="1"/>
        <v>0.26159300000000002</v>
      </c>
    </row>
    <row r="530" spans="1:22" x14ac:dyDescent="0.3">
      <c r="A530" t="str">
        <f ca="1"/>
        <v>529</v>
      </c>
      <c r="B530" t="str">
        <f ca="1"/>
        <v>Rulindo_HS7_15</v>
      </c>
      <c r="C530">
        <f ca="1"/>
        <v>0.41089100000000001</v>
      </c>
      <c r="D530">
        <f ca="1"/>
        <v>0.266513</v>
      </c>
      <c r="E530">
        <f ca="1"/>
        <v>0</v>
      </c>
      <c r="F530">
        <f ca="1"/>
        <v>0.38494400000000001</v>
      </c>
      <c r="G530">
        <f ca="1"/>
        <v>0</v>
      </c>
      <c r="H530">
        <f ca="1"/>
        <v>0.48544300000000001</v>
      </c>
      <c r="I530">
        <f ca="1"/>
        <v>0</v>
      </c>
      <c r="J530">
        <f ca="1"/>
        <v>0</v>
      </c>
      <c r="K530">
        <f ca="1"/>
        <v>0</v>
      </c>
      <c r="L530">
        <f ca="1"/>
        <v>0</v>
      </c>
      <c r="M530">
        <f ca="1"/>
        <v>0.39243800000000001</v>
      </c>
      <c r="N530">
        <f ca="1"/>
        <v>0</v>
      </c>
      <c r="O530">
        <f ca="1"/>
        <v>0</v>
      </c>
      <c r="P530">
        <f ca="1"/>
        <v>0.98221400000000003</v>
      </c>
      <c r="Q530">
        <f ca="1"/>
        <v>0</v>
      </c>
      <c r="R530">
        <f ca="1"/>
        <v>0.45491700000000002</v>
      </c>
      <c r="S530">
        <f ca="1"/>
        <v>0</v>
      </c>
      <c r="T530">
        <f ca="1"/>
        <v>0</v>
      </c>
      <c r="U530">
        <f ca="1"/>
        <v>0.98221400000000003</v>
      </c>
      <c r="V530">
        <f ca="1"/>
        <v>0</v>
      </c>
    </row>
    <row r="531" spans="1:22" x14ac:dyDescent="0.3">
      <c r="A531" t="str">
        <f ca="1"/>
        <v>530</v>
      </c>
      <c r="B531" t="str">
        <f ca="1"/>
        <v>Rulindo_HS8_15</v>
      </c>
      <c r="C531">
        <f ca="1"/>
        <v>0.503363</v>
      </c>
      <c r="D531">
        <f ca="1"/>
        <v>0.22733300000000001</v>
      </c>
      <c r="E531">
        <f ca="1"/>
        <v>0</v>
      </c>
      <c r="F531">
        <f ca="1"/>
        <v>0.48924099999999998</v>
      </c>
      <c r="G531">
        <f ca="1"/>
        <v>0</v>
      </c>
      <c r="H531">
        <f ca="1"/>
        <v>0.66775499999999999</v>
      </c>
      <c r="I531">
        <f ca="1"/>
        <v>0</v>
      </c>
      <c r="J531">
        <f ca="1"/>
        <v>0</v>
      </c>
      <c r="K531">
        <f ca="1"/>
        <v>0</v>
      </c>
      <c r="L531">
        <f ca="1"/>
        <v>0</v>
      </c>
      <c r="M531">
        <f ca="1"/>
        <v>0.56219600000000003</v>
      </c>
      <c r="N531">
        <f ca="1"/>
        <v>0</v>
      </c>
      <c r="O531">
        <f ca="1"/>
        <v>0</v>
      </c>
      <c r="P531">
        <f ca="1"/>
        <v>0.96613800000000005</v>
      </c>
      <c r="Q531">
        <f ca="1"/>
        <v>0</v>
      </c>
      <c r="R531">
        <f ca="1"/>
        <v>0.64849000000000001</v>
      </c>
      <c r="S531">
        <f ca="1"/>
        <v>0</v>
      </c>
      <c r="T531">
        <f ca="1"/>
        <v>0</v>
      </c>
      <c r="U531">
        <f ca="1"/>
        <v>0.96613800000000005</v>
      </c>
      <c r="V531">
        <f ca="1"/>
        <v>0</v>
      </c>
    </row>
    <row r="532" spans="1:22" x14ac:dyDescent="0.3">
      <c r="A532" t="str">
        <f ca="1"/>
        <v>531</v>
      </c>
      <c r="B532" t="str">
        <f ca="1"/>
        <v>Rulindo_HS9_15</v>
      </c>
      <c r="C532">
        <f ca="1"/>
        <v>0.32478000000000001</v>
      </c>
      <c r="D532">
        <f ca="1"/>
        <v>0</v>
      </c>
      <c r="E532">
        <f ca="1"/>
        <v>0</v>
      </c>
      <c r="F532">
        <f ca="1"/>
        <v>0.293605</v>
      </c>
      <c r="G532">
        <f ca="1"/>
        <v>0.1</v>
      </c>
      <c r="H532">
        <f ca="1"/>
        <v>0.56733599999999995</v>
      </c>
      <c r="I532">
        <f ca="1"/>
        <v>0</v>
      </c>
      <c r="J532">
        <f ca="1"/>
        <v>0</v>
      </c>
      <c r="K532">
        <f ca="1"/>
        <v>0</v>
      </c>
      <c r="L532">
        <f ca="1"/>
        <v>0</v>
      </c>
      <c r="M532">
        <f ca="1"/>
        <v>0.28051999999999999</v>
      </c>
      <c r="N532">
        <f ca="1"/>
        <v>0</v>
      </c>
      <c r="O532">
        <f ca="1"/>
        <v>0</v>
      </c>
      <c r="P532">
        <f ca="1"/>
        <v>0.98661100000000002</v>
      </c>
      <c r="Q532">
        <f ca="1"/>
        <v>0.59698200000000001</v>
      </c>
      <c r="R532">
        <f ca="1"/>
        <v>0.32853199999999999</v>
      </c>
      <c r="S532">
        <f ca="1"/>
        <v>0</v>
      </c>
      <c r="T532">
        <f ca="1"/>
        <v>0</v>
      </c>
      <c r="U532">
        <f ca="1"/>
        <v>0.98813600000000001</v>
      </c>
      <c r="V532">
        <f ca="1"/>
        <v>0.12296700000000001</v>
      </c>
    </row>
    <row r="533" spans="1:22" x14ac:dyDescent="0.3">
      <c r="A533" t="str">
        <f ca="1"/>
        <v>532</v>
      </c>
      <c r="B533" t="str">
        <f ca="1"/>
        <v>Rusizi_HS0_15</v>
      </c>
      <c r="C533">
        <f ca="1"/>
        <v>2.2311359999999998</v>
      </c>
      <c r="D533">
        <f ca="1"/>
        <v>0.52818799999999999</v>
      </c>
      <c r="E533">
        <f ca="1"/>
        <v>2.8960000000000001E-3</v>
      </c>
      <c r="F533">
        <f ca="1"/>
        <v>0.77224000000000004</v>
      </c>
      <c r="G533">
        <f ca="1"/>
        <v>0.980993</v>
      </c>
      <c r="H533">
        <f ca="1"/>
        <v>1.0093179999999999</v>
      </c>
      <c r="I533">
        <f ca="1"/>
        <v>0</v>
      </c>
      <c r="J533">
        <f ca="1"/>
        <v>0</v>
      </c>
      <c r="K533">
        <f ca="1"/>
        <v>0.99991099999999999</v>
      </c>
      <c r="L533">
        <f ca="1"/>
        <v>0.33229399999999998</v>
      </c>
      <c r="M533">
        <f ca="1"/>
        <v>1.3831089999999999</v>
      </c>
      <c r="N533">
        <f ca="1"/>
        <v>0</v>
      </c>
      <c r="O533">
        <f ca="1"/>
        <v>0</v>
      </c>
      <c r="P533">
        <f ca="1"/>
        <v>0.99958100000000005</v>
      </c>
      <c r="Q533">
        <f ca="1"/>
        <v>0.77422000000000002</v>
      </c>
      <c r="R533">
        <f ca="1"/>
        <v>1.9699850000000001</v>
      </c>
      <c r="S533">
        <f ca="1"/>
        <v>0</v>
      </c>
      <c r="T533">
        <f ca="1"/>
        <v>0</v>
      </c>
      <c r="U533">
        <f ca="1"/>
        <v>0.999471</v>
      </c>
      <c r="V533">
        <f ca="1"/>
        <v>0.59053599999999995</v>
      </c>
    </row>
    <row r="534" spans="1:22" x14ac:dyDescent="0.3">
      <c r="A534" t="str">
        <f ca="1"/>
        <v>533</v>
      </c>
      <c r="B534" t="str">
        <f ca="1"/>
        <v>Rusizi_HS10_15</v>
      </c>
      <c r="C534">
        <f ca="1"/>
        <v>0.31155500000000003</v>
      </c>
      <c r="D534">
        <f ca="1"/>
        <v>0</v>
      </c>
      <c r="E534">
        <f ca="1"/>
        <v>0</v>
      </c>
      <c r="F534">
        <f ca="1"/>
        <v>0.45185500000000001</v>
      </c>
      <c r="G534">
        <f ca="1"/>
        <v>0</v>
      </c>
      <c r="H534">
        <f ca="1"/>
        <v>0.493315</v>
      </c>
      <c r="I534">
        <f ca="1"/>
        <v>0</v>
      </c>
      <c r="J534">
        <f ca="1"/>
        <v>0</v>
      </c>
      <c r="K534">
        <f ca="1"/>
        <v>0</v>
      </c>
      <c r="L534">
        <f ca="1"/>
        <v>0</v>
      </c>
      <c r="M534">
        <f ca="1"/>
        <v>0.32014900000000002</v>
      </c>
      <c r="N534">
        <f ca="1"/>
        <v>0</v>
      </c>
      <c r="O534">
        <f ca="1"/>
        <v>0</v>
      </c>
      <c r="P534">
        <f ca="1"/>
        <v>0.99585000000000001</v>
      </c>
      <c r="Q534">
        <f ca="1"/>
        <v>0</v>
      </c>
      <c r="R534">
        <f ca="1"/>
        <v>0.38230700000000001</v>
      </c>
      <c r="S534">
        <f ca="1"/>
        <v>0</v>
      </c>
      <c r="T534">
        <f ca="1"/>
        <v>0</v>
      </c>
      <c r="U534">
        <f ca="1"/>
        <v>0.99585000000000001</v>
      </c>
      <c r="V534">
        <f ca="1"/>
        <v>0</v>
      </c>
    </row>
    <row r="535" spans="1:22" x14ac:dyDescent="0.3">
      <c r="A535" t="str">
        <f ca="1"/>
        <v>534</v>
      </c>
      <c r="B535" t="str">
        <f ca="1"/>
        <v>Rusizi_HS11_15</v>
      </c>
      <c r="C535">
        <f ca="1"/>
        <v>0.235787</v>
      </c>
      <c r="D535">
        <f ca="1"/>
        <v>0</v>
      </c>
      <c r="E535">
        <f ca="1"/>
        <v>0</v>
      </c>
      <c r="F535">
        <f ca="1"/>
        <v>0.101647</v>
      </c>
      <c r="G535">
        <f ca="1"/>
        <v>0</v>
      </c>
      <c r="H535">
        <f ca="1"/>
        <v>0.23983699999999999</v>
      </c>
      <c r="I535">
        <f ca="1"/>
        <v>0</v>
      </c>
      <c r="J535">
        <f ca="1"/>
        <v>0</v>
      </c>
      <c r="K535">
        <f ca="1"/>
        <v>0</v>
      </c>
      <c r="L535">
        <f ca="1"/>
        <v>0</v>
      </c>
      <c r="M535">
        <f ca="1"/>
        <v>0.26125700000000002</v>
      </c>
      <c r="N535">
        <f ca="1"/>
        <v>0.442691</v>
      </c>
      <c r="O535">
        <f ca="1"/>
        <v>0.5</v>
      </c>
      <c r="P535">
        <f ca="1"/>
        <v>0</v>
      </c>
      <c r="Q535">
        <f ca="1"/>
        <v>0</v>
      </c>
      <c r="R535">
        <f ca="1"/>
        <v>0.26125700000000002</v>
      </c>
      <c r="S535">
        <f ca="1"/>
        <v>0.442691</v>
      </c>
      <c r="T535">
        <f ca="1"/>
        <v>0.5</v>
      </c>
      <c r="U535">
        <f ca="1"/>
        <v>0</v>
      </c>
      <c r="V535">
        <f ca="1"/>
        <v>0</v>
      </c>
    </row>
    <row r="536" spans="1:22" x14ac:dyDescent="0.3">
      <c r="A536" t="str">
        <f ca="1"/>
        <v>535</v>
      </c>
      <c r="B536" t="str">
        <f ca="1"/>
        <v>Rusizi_HS12_15</v>
      </c>
      <c r="C536">
        <f ca="1"/>
        <v>2.0663999999999998E-2</v>
      </c>
      <c r="D536">
        <f ca="1"/>
        <v>0</v>
      </c>
      <c r="E536">
        <f ca="1"/>
        <v>0</v>
      </c>
      <c r="F536">
        <f ca="1"/>
        <v>0</v>
      </c>
      <c r="G536">
        <f ca="1"/>
        <v>0</v>
      </c>
      <c r="H536">
        <f ca="1"/>
        <v>2.0663999999999998E-2</v>
      </c>
      <c r="I536">
        <f ca="1"/>
        <v>0</v>
      </c>
      <c r="J536">
        <f ca="1"/>
        <v>0</v>
      </c>
      <c r="K536">
        <f ca="1"/>
        <v>0</v>
      </c>
      <c r="L536">
        <f ca="1"/>
        <v>0</v>
      </c>
      <c r="M536">
        <f ca="1"/>
        <v>2.7354E-2</v>
      </c>
      <c r="N536">
        <f ca="1"/>
        <v>0</v>
      </c>
      <c r="O536">
        <f ca="1"/>
        <v>0</v>
      </c>
      <c r="P536">
        <f ca="1"/>
        <v>0</v>
      </c>
      <c r="Q536">
        <f ca="1"/>
        <v>0</v>
      </c>
      <c r="R536">
        <f ca="1"/>
        <v>2.7354E-2</v>
      </c>
      <c r="S536">
        <f ca="1"/>
        <v>0</v>
      </c>
      <c r="T536">
        <f ca="1"/>
        <v>0</v>
      </c>
      <c r="U536">
        <f ca="1"/>
        <v>0</v>
      </c>
      <c r="V536">
        <f ca="1"/>
        <v>0</v>
      </c>
    </row>
    <row r="537" spans="1:22" x14ac:dyDescent="0.3">
      <c r="A537" t="str">
        <f ca="1"/>
        <v>536</v>
      </c>
      <c r="B537" t="str">
        <f ca="1"/>
        <v>Rusizi_HS1_15</v>
      </c>
      <c r="C537">
        <f ca="1"/>
        <v>0.63499499999999998</v>
      </c>
      <c r="D537">
        <f ca="1"/>
        <v>0.474661</v>
      </c>
      <c r="E537">
        <f ca="1"/>
        <v>0</v>
      </c>
      <c r="F537">
        <f ca="1"/>
        <v>0.29816599999999999</v>
      </c>
      <c r="G537">
        <f ca="1"/>
        <v>0.93348600000000004</v>
      </c>
      <c r="H537">
        <f ca="1"/>
        <v>0.27672600000000003</v>
      </c>
      <c r="I537">
        <f ca="1"/>
        <v>0</v>
      </c>
      <c r="J537">
        <f ca="1"/>
        <v>0</v>
      </c>
      <c r="K537">
        <f ca="1"/>
        <v>0.99827200000000005</v>
      </c>
      <c r="L537">
        <f ca="1"/>
        <v>0.33483099999999999</v>
      </c>
      <c r="M537">
        <f ca="1"/>
        <v>0.31384699999999999</v>
      </c>
      <c r="N537">
        <f ca="1"/>
        <v>0</v>
      </c>
      <c r="O537">
        <f ca="1"/>
        <v>0</v>
      </c>
      <c r="P537">
        <f ca="1"/>
        <v>0.99930099999999999</v>
      </c>
      <c r="Q537">
        <f ca="1"/>
        <v>0.95767500000000005</v>
      </c>
      <c r="R537">
        <f ca="1"/>
        <v>0.46746700000000002</v>
      </c>
      <c r="S537">
        <f ca="1"/>
        <v>0</v>
      </c>
      <c r="T537">
        <f ca="1"/>
        <v>0</v>
      </c>
      <c r="U537">
        <f ca="1"/>
        <v>0.99701799999999996</v>
      </c>
      <c r="V537">
        <f ca="1"/>
        <v>0.73998200000000003</v>
      </c>
    </row>
    <row r="538" spans="1:22" x14ac:dyDescent="0.3">
      <c r="A538" t="str">
        <f ca="1"/>
        <v>537</v>
      </c>
      <c r="B538" t="str">
        <f ca="1"/>
        <v>Rusizi_HS2_15</v>
      </c>
      <c r="C538">
        <f ca="1"/>
        <v>1.3386899999999999</v>
      </c>
      <c r="D538">
        <f ca="1"/>
        <v>0</v>
      </c>
      <c r="E538">
        <f ca="1"/>
        <v>0</v>
      </c>
      <c r="F538">
        <f ca="1"/>
        <v>0.13028000000000001</v>
      </c>
      <c r="G538">
        <f ca="1"/>
        <v>0</v>
      </c>
      <c r="H538">
        <f ca="1"/>
        <v>1.548916</v>
      </c>
      <c r="I538">
        <f ca="1"/>
        <v>0</v>
      </c>
      <c r="J538">
        <f ca="1"/>
        <v>0</v>
      </c>
      <c r="K538">
        <f ca="1"/>
        <v>0</v>
      </c>
      <c r="L538">
        <f ca="1"/>
        <v>0</v>
      </c>
      <c r="M538">
        <f ca="1"/>
        <v>0.71567700000000001</v>
      </c>
      <c r="N538">
        <f ca="1"/>
        <v>0</v>
      </c>
      <c r="O538">
        <f ca="1"/>
        <v>0</v>
      </c>
      <c r="P538">
        <f ca="1"/>
        <v>0.99816000000000005</v>
      </c>
      <c r="Q538">
        <f ca="1"/>
        <v>6.437E-3</v>
      </c>
      <c r="R538">
        <f ca="1"/>
        <v>0.87289300000000003</v>
      </c>
      <c r="S538">
        <f ca="1"/>
        <v>0</v>
      </c>
      <c r="T538">
        <f ca="1"/>
        <v>0</v>
      </c>
      <c r="U538">
        <f ca="1"/>
        <v>0.998058</v>
      </c>
      <c r="V538">
        <f ca="1"/>
        <v>1.7570000000000001E-3</v>
      </c>
    </row>
    <row r="539" spans="1:22" x14ac:dyDescent="0.3">
      <c r="A539" t="str">
        <f ca="1"/>
        <v>538</v>
      </c>
      <c r="B539" t="str">
        <f ca="1"/>
        <v>Rusizi_HS3_15</v>
      </c>
      <c r="C539">
        <f ca="1"/>
        <v>0.93645699999999998</v>
      </c>
      <c r="D539">
        <f ca="1"/>
        <v>0</v>
      </c>
      <c r="E539">
        <f ca="1"/>
        <v>0</v>
      </c>
      <c r="F539">
        <f ca="1"/>
        <v>0.36920500000000001</v>
      </c>
      <c r="G539">
        <f ca="1"/>
        <v>0</v>
      </c>
      <c r="H539">
        <f ca="1"/>
        <v>1.4899770000000001</v>
      </c>
      <c r="I539">
        <f ca="1"/>
        <v>0</v>
      </c>
      <c r="J539">
        <f ca="1"/>
        <v>0</v>
      </c>
      <c r="K539">
        <f ca="1"/>
        <v>0</v>
      </c>
      <c r="L539">
        <f ca="1"/>
        <v>0</v>
      </c>
      <c r="M539">
        <f ca="1"/>
        <v>0.684365</v>
      </c>
      <c r="N539">
        <f ca="1"/>
        <v>0</v>
      </c>
      <c r="O539">
        <f ca="1"/>
        <v>0</v>
      </c>
      <c r="P539">
        <f ca="1"/>
        <v>0.99768500000000004</v>
      </c>
      <c r="Q539">
        <f ca="1"/>
        <v>0.151501</v>
      </c>
      <c r="R539">
        <f ca="1"/>
        <v>0.87438199999999999</v>
      </c>
      <c r="S539">
        <f ca="1"/>
        <v>0</v>
      </c>
      <c r="T539">
        <f ca="1"/>
        <v>0</v>
      </c>
      <c r="U539">
        <f ca="1"/>
        <v>0.99771799999999999</v>
      </c>
      <c r="V539">
        <f ca="1"/>
        <v>4.6471999999999999E-2</v>
      </c>
    </row>
    <row r="540" spans="1:22" x14ac:dyDescent="0.3">
      <c r="A540" t="str">
        <f ca="1"/>
        <v>539</v>
      </c>
      <c r="B540" t="str">
        <f ca="1"/>
        <v>Rusizi_HS4_15</v>
      </c>
      <c r="C540">
        <f ca="1"/>
        <v>0.78583899999999995</v>
      </c>
      <c r="D540">
        <f ca="1"/>
        <v>0.80292200000000002</v>
      </c>
      <c r="E540">
        <f ca="1"/>
        <v>0</v>
      </c>
      <c r="F540">
        <f ca="1"/>
        <v>0.29603099999999999</v>
      </c>
      <c r="G540">
        <f ca="1"/>
        <v>0</v>
      </c>
      <c r="H540">
        <f ca="1"/>
        <v>1.0111760000000001</v>
      </c>
      <c r="I540">
        <f ca="1"/>
        <v>0</v>
      </c>
      <c r="J540">
        <f ca="1"/>
        <v>0</v>
      </c>
      <c r="K540">
        <f ca="1"/>
        <v>0</v>
      </c>
      <c r="L540">
        <f ca="1"/>
        <v>0</v>
      </c>
      <c r="M540">
        <f ca="1"/>
        <v>0.46607999999999999</v>
      </c>
      <c r="N540">
        <f ca="1"/>
        <v>0</v>
      </c>
      <c r="O540">
        <f ca="1"/>
        <v>0</v>
      </c>
      <c r="P540">
        <f ca="1"/>
        <v>0.99136299999999999</v>
      </c>
      <c r="Q540">
        <f ca="1"/>
        <v>0</v>
      </c>
      <c r="R540">
        <f ca="1"/>
        <v>0.56175600000000003</v>
      </c>
      <c r="S540">
        <f ca="1"/>
        <v>0</v>
      </c>
      <c r="T540">
        <f ca="1"/>
        <v>0</v>
      </c>
      <c r="U540">
        <f ca="1"/>
        <v>0.99136299999999999</v>
      </c>
      <c r="V540">
        <f ca="1"/>
        <v>0</v>
      </c>
    </row>
    <row r="541" spans="1:22" x14ac:dyDescent="0.3">
      <c r="A541" t="str">
        <f ca="1"/>
        <v>540</v>
      </c>
      <c r="B541" t="str">
        <f ca="1"/>
        <v>Rusizi_HS5_15</v>
      </c>
      <c r="C541">
        <f ca="1"/>
        <v>0.93453200000000003</v>
      </c>
      <c r="D541">
        <f ca="1"/>
        <v>0</v>
      </c>
      <c r="E541">
        <f ca="1"/>
        <v>0</v>
      </c>
      <c r="F541">
        <f ca="1"/>
        <v>0.232708</v>
      </c>
      <c r="G541">
        <f ca="1"/>
        <v>0.118644</v>
      </c>
      <c r="H541">
        <f ca="1"/>
        <v>1.692577</v>
      </c>
      <c r="I541">
        <f ca="1"/>
        <v>0</v>
      </c>
      <c r="J541">
        <f ca="1"/>
        <v>0</v>
      </c>
      <c r="K541">
        <f ca="1"/>
        <v>0</v>
      </c>
      <c r="L541">
        <f ca="1"/>
        <v>0</v>
      </c>
      <c r="M541">
        <f ca="1"/>
        <v>0.73581300000000005</v>
      </c>
      <c r="N541">
        <f ca="1"/>
        <v>0</v>
      </c>
      <c r="O541">
        <f ca="1"/>
        <v>0</v>
      </c>
      <c r="P541">
        <f ca="1"/>
        <v>0.99860300000000002</v>
      </c>
      <c r="Q541">
        <f ca="1"/>
        <v>0.44008700000000001</v>
      </c>
      <c r="R541">
        <f ca="1"/>
        <v>0.93278899999999998</v>
      </c>
      <c r="S541">
        <f ca="1"/>
        <v>0</v>
      </c>
      <c r="T541">
        <f ca="1"/>
        <v>0</v>
      </c>
      <c r="U541">
        <f ca="1"/>
        <v>0.99819899999999995</v>
      </c>
      <c r="V541">
        <f ca="1"/>
        <v>0.115061</v>
      </c>
    </row>
    <row r="542" spans="1:22" x14ac:dyDescent="0.3">
      <c r="A542" t="str">
        <f ca="1"/>
        <v>541</v>
      </c>
      <c r="B542" t="str">
        <f ca="1"/>
        <v>Rusizi_HS6_15</v>
      </c>
      <c r="C542">
        <f ca="1"/>
        <v>0.75827100000000003</v>
      </c>
      <c r="D542">
        <f ca="1"/>
        <v>0</v>
      </c>
      <c r="E542">
        <f ca="1"/>
        <v>0</v>
      </c>
      <c r="F542">
        <f ca="1"/>
        <v>0.121181</v>
      </c>
      <c r="G542">
        <f ca="1"/>
        <v>0.72262800000000005</v>
      </c>
      <c r="H542">
        <f ca="1"/>
        <v>0.303116</v>
      </c>
      <c r="I542">
        <f ca="1"/>
        <v>0</v>
      </c>
      <c r="J542">
        <f ca="1"/>
        <v>0</v>
      </c>
      <c r="K542">
        <f ca="1"/>
        <v>0.99810200000000004</v>
      </c>
      <c r="L542">
        <f ca="1"/>
        <v>0.28463899999999998</v>
      </c>
      <c r="M542">
        <f ca="1"/>
        <v>0.42791200000000001</v>
      </c>
      <c r="N542">
        <f ca="1"/>
        <v>0</v>
      </c>
      <c r="O542">
        <f ca="1"/>
        <v>0</v>
      </c>
      <c r="P542">
        <f ca="1"/>
        <v>0.99988900000000003</v>
      </c>
      <c r="Q542">
        <f ca="1"/>
        <v>0.77280400000000005</v>
      </c>
      <c r="R542">
        <f ca="1"/>
        <v>0.580982</v>
      </c>
      <c r="S542">
        <f ca="1"/>
        <v>0</v>
      </c>
      <c r="T542">
        <f ca="1"/>
        <v>0</v>
      </c>
      <c r="U542">
        <f ca="1"/>
        <v>0.99866200000000005</v>
      </c>
      <c r="V542">
        <f ca="1"/>
        <v>0.45739800000000003</v>
      </c>
    </row>
    <row r="543" spans="1:22" x14ac:dyDescent="0.3">
      <c r="A543" t="str">
        <f ca="1"/>
        <v>542</v>
      </c>
      <c r="B543" t="str">
        <f ca="1"/>
        <v>Rusizi_HS7_15</v>
      </c>
      <c r="C543">
        <f ca="1"/>
        <v>1.2864249999999999</v>
      </c>
      <c r="D543">
        <f ca="1"/>
        <v>0.79994699999999996</v>
      </c>
      <c r="E543">
        <f ca="1"/>
        <v>0</v>
      </c>
      <c r="F543">
        <f ca="1"/>
        <v>0.49731799999999998</v>
      </c>
      <c r="G543">
        <f ca="1"/>
        <v>0.89671400000000001</v>
      </c>
      <c r="H543">
        <f ca="1"/>
        <v>0.71933400000000003</v>
      </c>
      <c r="I543">
        <f ca="1"/>
        <v>0</v>
      </c>
      <c r="J543">
        <f ca="1"/>
        <v>0</v>
      </c>
      <c r="K543">
        <f ca="1"/>
        <v>0.99915399999999999</v>
      </c>
      <c r="L543">
        <f ca="1"/>
        <v>0.49656400000000001</v>
      </c>
      <c r="M543">
        <f ca="1"/>
        <v>0.84450099999999995</v>
      </c>
      <c r="N543">
        <f ca="1"/>
        <v>0</v>
      </c>
      <c r="O543">
        <f ca="1"/>
        <v>0</v>
      </c>
      <c r="P543">
        <f ca="1"/>
        <v>0.99879899999999999</v>
      </c>
      <c r="Q543">
        <f ca="1"/>
        <v>0.97679300000000002</v>
      </c>
      <c r="R543">
        <f ca="1"/>
        <v>1.3966369999999999</v>
      </c>
      <c r="S543">
        <f ca="1"/>
        <v>0.32802599999999998</v>
      </c>
      <c r="T543">
        <f ca="1"/>
        <v>0.5</v>
      </c>
      <c r="U543">
        <f ca="1"/>
        <v>0.79976499999999995</v>
      </c>
      <c r="V543">
        <f ca="1"/>
        <v>0.82208499999999995</v>
      </c>
    </row>
    <row r="544" spans="1:22" x14ac:dyDescent="0.3">
      <c r="A544" t="str">
        <f ca="1"/>
        <v>543</v>
      </c>
      <c r="B544" t="str">
        <f ca="1"/>
        <v>Rusizi_HS8_15</v>
      </c>
      <c r="C544">
        <f ca="1"/>
        <v>1.7423869999999999</v>
      </c>
      <c r="D544">
        <f ca="1"/>
        <v>0</v>
      </c>
      <c r="E544">
        <f ca="1"/>
        <v>0</v>
      </c>
      <c r="F544">
        <f ca="1"/>
        <v>0.16453300000000001</v>
      </c>
      <c r="G544">
        <f ca="1"/>
        <v>0.53125</v>
      </c>
      <c r="H544">
        <f ca="1"/>
        <v>0.60196000000000005</v>
      </c>
      <c r="I544">
        <f ca="1"/>
        <v>0</v>
      </c>
      <c r="J544">
        <f ca="1"/>
        <v>0</v>
      </c>
      <c r="K544">
        <f ca="1"/>
        <v>0.99938000000000005</v>
      </c>
      <c r="L544">
        <f ca="1"/>
        <v>1.5412E-2</v>
      </c>
      <c r="M544">
        <f ca="1"/>
        <v>0.93496800000000002</v>
      </c>
      <c r="N544">
        <f ca="1"/>
        <v>0</v>
      </c>
      <c r="O544">
        <f ca="1"/>
        <v>0</v>
      </c>
      <c r="P544">
        <f ca="1"/>
        <v>0.99848499999999996</v>
      </c>
      <c r="Q544">
        <f ca="1"/>
        <v>0.231044</v>
      </c>
      <c r="R544">
        <f ca="1"/>
        <v>1.1871970000000001</v>
      </c>
      <c r="S544">
        <f ca="1"/>
        <v>0</v>
      </c>
      <c r="T544">
        <f ca="1"/>
        <v>0</v>
      </c>
      <c r="U544">
        <f ca="1"/>
        <v>0.99992400000000004</v>
      </c>
      <c r="V544">
        <f ca="1"/>
        <v>0.144347</v>
      </c>
    </row>
    <row r="545" spans="1:22" x14ac:dyDescent="0.3">
      <c r="A545" t="str">
        <f ca="1"/>
        <v>544</v>
      </c>
      <c r="B545" t="str">
        <f ca="1"/>
        <v>Rusizi_HS9_15</v>
      </c>
      <c r="C545">
        <f ca="1"/>
        <v>0.72202</v>
      </c>
      <c r="D545">
        <f ca="1"/>
        <v>0</v>
      </c>
      <c r="E545">
        <f ca="1"/>
        <v>0</v>
      </c>
      <c r="F545">
        <f ca="1"/>
        <v>0.110217</v>
      </c>
      <c r="G545">
        <f ca="1"/>
        <v>0</v>
      </c>
      <c r="H545">
        <f ca="1"/>
        <v>0.86992100000000006</v>
      </c>
      <c r="I545">
        <f ca="1"/>
        <v>0</v>
      </c>
      <c r="J545">
        <f ca="1"/>
        <v>0</v>
      </c>
      <c r="K545">
        <f ca="1"/>
        <v>0</v>
      </c>
      <c r="L545">
        <f ca="1"/>
        <v>0</v>
      </c>
      <c r="M545">
        <f ca="1"/>
        <v>0.53293699999999999</v>
      </c>
      <c r="N545">
        <f ca="1"/>
        <v>0</v>
      </c>
      <c r="O545">
        <f ca="1"/>
        <v>0</v>
      </c>
      <c r="P545">
        <f ca="1"/>
        <v>0.99695900000000004</v>
      </c>
      <c r="Q545">
        <f ca="1"/>
        <v>0</v>
      </c>
      <c r="R545">
        <f ca="1"/>
        <v>0.66357600000000005</v>
      </c>
      <c r="S545">
        <f ca="1"/>
        <v>0</v>
      </c>
      <c r="T545">
        <f ca="1"/>
        <v>0</v>
      </c>
      <c r="U545">
        <f ca="1"/>
        <v>0.99695900000000004</v>
      </c>
      <c r="V545">
        <f ca="1"/>
        <v>0</v>
      </c>
    </row>
    <row r="546" spans="1:22" x14ac:dyDescent="0.3">
      <c r="A546" t="str">
        <f ca="1"/>
        <v>545</v>
      </c>
      <c r="B546" t="str">
        <f ca="1"/>
        <v>Rusizi_IP_SS_15</v>
      </c>
      <c r="C546">
        <f ca="1"/>
        <v>0.20958499999999999</v>
      </c>
      <c r="D546">
        <f ca="1"/>
        <v>0.63740300000000005</v>
      </c>
      <c r="E546">
        <f ca="1"/>
        <v>9.1900000000000003E-3</v>
      </c>
      <c r="F546">
        <f ca="1"/>
        <v>0.52997499999999997</v>
      </c>
      <c r="G546">
        <f ca="1"/>
        <v>0.55555600000000005</v>
      </c>
      <c r="H546">
        <f ca="1"/>
        <v>0.10612000000000001</v>
      </c>
      <c r="I546">
        <f ca="1"/>
        <v>0.62893299999999996</v>
      </c>
      <c r="J546">
        <f ca="1"/>
        <v>0.56000000000000005</v>
      </c>
      <c r="K546">
        <f ca="1"/>
        <v>0</v>
      </c>
      <c r="L546">
        <f ca="1"/>
        <v>0</v>
      </c>
      <c r="M546">
        <f ca="1"/>
        <v>6.4568E-2</v>
      </c>
      <c r="N546">
        <f ca="1"/>
        <v>0</v>
      </c>
      <c r="O546">
        <f ca="1"/>
        <v>0</v>
      </c>
      <c r="P546">
        <f ca="1"/>
        <v>0.99998799999999999</v>
      </c>
      <c r="Q546">
        <f ca="1"/>
        <v>0.74790800000000002</v>
      </c>
      <c r="R546">
        <f ca="1"/>
        <v>0.18932499999999999</v>
      </c>
      <c r="S546">
        <f ca="1"/>
        <v>0.41749999999999998</v>
      </c>
      <c r="T546">
        <f ca="1"/>
        <v>0.54</v>
      </c>
      <c r="U546">
        <f ca="1"/>
        <v>0</v>
      </c>
      <c r="V546">
        <f ca="1"/>
        <v>0</v>
      </c>
    </row>
    <row r="547" spans="1:22" x14ac:dyDescent="0.3">
      <c r="A547" t="str">
        <f ca="1"/>
        <v>546</v>
      </c>
      <c r="B547" t="str">
        <f ca="1"/>
        <v>Rusumo_Fall_15</v>
      </c>
      <c r="C547">
        <f ca="1"/>
        <v>6.7446999999999993E-2</v>
      </c>
      <c r="D547">
        <f ca="1"/>
        <v>0</v>
      </c>
      <c r="E547">
        <f ca="1"/>
        <v>0</v>
      </c>
      <c r="F547">
        <f ca="1"/>
        <v>0</v>
      </c>
      <c r="G547">
        <f ca="1"/>
        <v>0</v>
      </c>
      <c r="H547">
        <f ca="1"/>
        <v>6.7446999999999993E-2</v>
      </c>
      <c r="I547">
        <f ca="1"/>
        <v>0</v>
      </c>
      <c r="J547">
        <f ca="1"/>
        <v>0</v>
      </c>
      <c r="K547">
        <f ca="1"/>
        <v>0</v>
      </c>
      <c r="L547">
        <f ca="1"/>
        <v>0</v>
      </c>
      <c r="M547">
        <f ca="1"/>
        <v>8.9566000000000007E-2</v>
      </c>
      <c r="N547">
        <f ca="1"/>
        <v>0.50615699999999997</v>
      </c>
      <c r="O547">
        <f ca="1"/>
        <v>0.5</v>
      </c>
      <c r="P547">
        <f ca="1"/>
        <v>0</v>
      </c>
      <c r="Q547">
        <f ca="1"/>
        <v>0</v>
      </c>
      <c r="R547">
        <f ca="1"/>
        <v>8.9566000000000007E-2</v>
      </c>
      <c r="S547">
        <f ca="1"/>
        <v>0.50615699999999997</v>
      </c>
      <c r="T547">
        <f ca="1"/>
        <v>0.5</v>
      </c>
      <c r="U547">
        <f ca="1"/>
        <v>0</v>
      </c>
      <c r="V547">
        <f ca="1"/>
        <v>0</v>
      </c>
    </row>
    <row r="548" spans="1:22" x14ac:dyDescent="0.3">
      <c r="A548" t="str">
        <f ca="1"/>
        <v>547</v>
      </c>
      <c r="B548" t="str">
        <f ca="1"/>
        <v>Rutsiro_HS0_15</v>
      </c>
      <c r="C548">
        <f ca="1"/>
        <v>0.86044699999999996</v>
      </c>
      <c r="D548">
        <f ca="1"/>
        <v>0</v>
      </c>
      <c r="E548">
        <f ca="1"/>
        <v>0</v>
      </c>
      <c r="F548">
        <f ca="1"/>
        <v>0.35379500000000003</v>
      </c>
      <c r="G548">
        <f ca="1"/>
        <v>0</v>
      </c>
      <c r="H548">
        <f ca="1"/>
        <v>1.1549689999999999</v>
      </c>
      <c r="I548">
        <f ca="1"/>
        <v>0</v>
      </c>
      <c r="J548">
        <f ca="1"/>
        <v>0</v>
      </c>
      <c r="K548">
        <f ca="1"/>
        <v>0</v>
      </c>
      <c r="L548">
        <f ca="1"/>
        <v>0</v>
      </c>
      <c r="M548">
        <f ca="1"/>
        <v>0.57060299999999997</v>
      </c>
      <c r="N548">
        <f ca="1"/>
        <v>0</v>
      </c>
      <c r="O548">
        <f ca="1"/>
        <v>0</v>
      </c>
      <c r="P548">
        <f ca="1"/>
        <v>0.99377300000000002</v>
      </c>
      <c r="Q548">
        <f ca="1"/>
        <v>0</v>
      </c>
      <c r="R548">
        <f ca="1"/>
        <v>0.69298099999999996</v>
      </c>
      <c r="S548">
        <f ca="1"/>
        <v>0</v>
      </c>
      <c r="T548">
        <f ca="1"/>
        <v>0</v>
      </c>
      <c r="U548">
        <f ca="1"/>
        <v>0.99377300000000002</v>
      </c>
      <c r="V548">
        <f ca="1"/>
        <v>0</v>
      </c>
    </row>
    <row r="549" spans="1:22" x14ac:dyDescent="0.3">
      <c r="A549" t="str">
        <f ca="1"/>
        <v>548</v>
      </c>
      <c r="B549" t="str">
        <f ca="1"/>
        <v>Rutsiro_HS10_15</v>
      </c>
      <c r="C549">
        <f ca="1"/>
        <v>6.6940000000000003E-3</v>
      </c>
      <c r="D549">
        <f ca="1"/>
        <v>0</v>
      </c>
      <c r="E549">
        <f ca="1"/>
        <v>0</v>
      </c>
      <c r="F549">
        <f ca="1"/>
        <v>0.95153900000000002</v>
      </c>
      <c r="G549">
        <f ca="1"/>
        <v>0</v>
      </c>
      <c r="H549">
        <f ca="1"/>
        <v>1.1135000000000001E-2</v>
      </c>
      <c r="I549">
        <f ca="1"/>
        <v>0</v>
      </c>
      <c r="J549">
        <f ca="1"/>
        <v>0</v>
      </c>
      <c r="K549">
        <f ca="1"/>
        <v>0.99968500000000005</v>
      </c>
      <c r="L549">
        <f ca="1"/>
        <v>0</v>
      </c>
      <c r="M549">
        <f ca="1"/>
        <v>1.8206E-2</v>
      </c>
      <c r="N549">
        <f ca="1"/>
        <v>0</v>
      </c>
      <c r="O549">
        <f ca="1"/>
        <v>0</v>
      </c>
      <c r="P549">
        <f ca="1"/>
        <v>1</v>
      </c>
      <c r="Q549">
        <f ca="1"/>
        <v>0</v>
      </c>
      <c r="R549">
        <f ca="1"/>
        <v>2.4788000000000001E-2</v>
      </c>
      <c r="S549">
        <f ca="1"/>
        <v>0</v>
      </c>
      <c r="T549">
        <f ca="1"/>
        <v>0</v>
      </c>
      <c r="U549">
        <f ca="1"/>
        <v>1</v>
      </c>
      <c r="V549">
        <f ca="1"/>
        <v>0</v>
      </c>
    </row>
    <row r="550" spans="1:22" x14ac:dyDescent="0.3">
      <c r="A550" t="str">
        <f ca="1"/>
        <v>549</v>
      </c>
      <c r="B550" t="str">
        <f ca="1"/>
        <v>Rutsiro_HS11_15</v>
      </c>
      <c r="C550">
        <f ca="1"/>
        <v>0.11291900000000001</v>
      </c>
      <c r="D550">
        <f ca="1"/>
        <v>0</v>
      </c>
      <c r="E550">
        <f ca="1"/>
        <v>0</v>
      </c>
      <c r="F550">
        <f ca="1"/>
        <v>0.44573499999999999</v>
      </c>
      <c r="G550">
        <f ca="1"/>
        <v>1</v>
      </c>
      <c r="H550">
        <f ca="1"/>
        <v>0.101073</v>
      </c>
      <c r="I550">
        <f ca="1"/>
        <v>0.64918299999999995</v>
      </c>
      <c r="J550">
        <f ca="1"/>
        <v>0.51</v>
      </c>
      <c r="K550">
        <f ca="1"/>
        <v>0</v>
      </c>
      <c r="L550">
        <f ca="1"/>
        <v>0</v>
      </c>
      <c r="M550">
        <f ca="1"/>
        <v>0.123404</v>
      </c>
      <c r="N550">
        <f ca="1"/>
        <v>0.54921200000000003</v>
      </c>
      <c r="O550">
        <f ca="1"/>
        <v>0.51</v>
      </c>
      <c r="P550">
        <f ca="1"/>
        <v>0</v>
      </c>
      <c r="Q550">
        <f ca="1"/>
        <v>0</v>
      </c>
      <c r="R550">
        <f ca="1"/>
        <v>0.17186899999999999</v>
      </c>
      <c r="S550">
        <f ca="1"/>
        <v>0.412603</v>
      </c>
      <c r="T550">
        <f ca="1"/>
        <v>0.5</v>
      </c>
      <c r="U550">
        <f ca="1"/>
        <v>0</v>
      </c>
      <c r="V550">
        <f ca="1"/>
        <v>0</v>
      </c>
    </row>
    <row r="551" spans="1:22" x14ac:dyDescent="0.3">
      <c r="A551" t="str">
        <f ca="1"/>
        <v>550</v>
      </c>
      <c r="B551" t="str">
        <f ca="1"/>
        <v>Rutsiro_HS12_15</v>
      </c>
      <c r="C551">
        <f ca="1"/>
        <v>0.50556900000000005</v>
      </c>
      <c r="D551">
        <f ca="1"/>
        <v>0</v>
      </c>
      <c r="E551">
        <f ca="1"/>
        <v>0</v>
      </c>
      <c r="F551">
        <f ca="1"/>
        <v>0.21739700000000001</v>
      </c>
      <c r="G551">
        <f ca="1"/>
        <v>8.2474000000000006E-2</v>
      </c>
      <c r="H551">
        <f ca="1"/>
        <v>0.63199399999999994</v>
      </c>
      <c r="I551">
        <f ca="1"/>
        <v>0</v>
      </c>
      <c r="J551">
        <f ca="1"/>
        <v>0</v>
      </c>
      <c r="K551">
        <f ca="1"/>
        <v>0</v>
      </c>
      <c r="L551">
        <f ca="1"/>
        <v>0</v>
      </c>
      <c r="M551">
        <f ca="1"/>
        <v>0.28069699999999997</v>
      </c>
      <c r="N551">
        <f ca="1"/>
        <v>0</v>
      </c>
      <c r="O551">
        <f ca="1"/>
        <v>0</v>
      </c>
      <c r="P551">
        <f ca="1"/>
        <v>0.99673699999999998</v>
      </c>
      <c r="Q551">
        <f ca="1"/>
        <v>6.4215999999999995E-2</v>
      </c>
      <c r="R551">
        <f ca="1"/>
        <v>0.33548499999999998</v>
      </c>
      <c r="S551">
        <f ca="1"/>
        <v>0</v>
      </c>
      <c r="T551">
        <f ca="1"/>
        <v>0</v>
      </c>
      <c r="U551">
        <f ca="1"/>
        <v>0.99679399999999996</v>
      </c>
      <c r="V551">
        <f ca="1"/>
        <v>1.5844E-2</v>
      </c>
    </row>
    <row r="552" spans="1:22" x14ac:dyDescent="0.3">
      <c r="A552" t="str">
        <f ca="1"/>
        <v>551</v>
      </c>
      <c r="B552" t="str">
        <f ca="1"/>
        <v>Rutsiro_HS13_15</v>
      </c>
      <c r="C552">
        <f ca="1"/>
        <v>0.44915899999999997</v>
      </c>
      <c r="D552">
        <f ca="1"/>
        <v>0</v>
      </c>
      <c r="E552">
        <f ca="1"/>
        <v>0</v>
      </c>
      <c r="F552">
        <f ca="1"/>
        <v>0.41083799999999998</v>
      </c>
      <c r="G552">
        <f ca="1"/>
        <v>0.245283</v>
      </c>
      <c r="H552">
        <f ca="1"/>
        <v>0.73494999999999999</v>
      </c>
      <c r="I552">
        <f ca="1"/>
        <v>0</v>
      </c>
      <c r="J552">
        <f ca="1"/>
        <v>0</v>
      </c>
      <c r="K552">
        <f ca="1"/>
        <v>0</v>
      </c>
      <c r="L552">
        <f ca="1"/>
        <v>0</v>
      </c>
      <c r="M552">
        <f ca="1"/>
        <v>0.54945900000000003</v>
      </c>
      <c r="N552">
        <f ca="1"/>
        <v>0</v>
      </c>
      <c r="O552">
        <f ca="1"/>
        <v>0</v>
      </c>
      <c r="P552">
        <f ca="1"/>
        <v>0.98653000000000002</v>
      </c>
      <c r="Q552">
        <f ca="1"/>
        <v>0.48997400000000002</v>
      </c>
      <c r="R552">
        <f ca="1"/>
        <v>0.66885700000000003</v>
      </c>
      <c r="S552">
        <f ca="1"/>
        <v>0</v>
      </c>
      <c r="T552">
        <f ca="1"/>
        <v>0</v>
      </c>
      <c r="U552">
        <f ca="1"/>
        <v>0.985954</v>
      </c>
      <c r="V552">
        <f ca="1"/>
        <v>7.2040000000000007E-2</v>
      </c>
    </row>
    <row r="553" spans="1:22" x14ac:dyDescent="0.3">
      <c r="A553" t="str">
        <f ca="1"/>
        <v>552</v>
      </c>
      <c r="B553" t="str">
        <f ca="1"/>
        <v>Rutsiro_HS14_15</v>
      </c>
      <c r="C553">
        <f ca="1"/>
        <v>0.44697300000000001</v>
      </c>
      <c r="D553">
        <f ca="1"/>
        <v>0</v>
      </c>
      <c r="E553">
        <f ca="1"/>
        <v>0</v>
      </c>
      <c r="F553">
        <f ca="1"/>
        <v>0.353717</v>
      </c>
      <c r="G553">
        <f ca="1"/>
        <v>0</v>
      </c>
      <c r="H553">
        <f ca="1"/>
        <v>0.57821400000000001</v>
      </c>
      <c r="I553">
        <f ca="1"/>
        <v>0</v>
      </c>
      <c r="J553">
        <f ca="1"/>
        <v>0</v>
      </c>
      <c r="K553">
        <f ca="1"/>
        <v>0</v>
      </c>
      <c r="L553">
        <f ca="1"/>
        <v>0</v>
      </c>
      <c r="M553">
        <f ca="1"/>
        <v>0.54309399999999997</v>
      </c>
      <c r="N553">
        <f ca="1"/>
        <v>0</v>
      </c>
      <c r="O553">
        <f ca="1"/>
        <v>0</v>
      </c>
      <c r="P553">
        <f ca="1"/>
        <v>0.98508600000000002</v>
      </c>
      <c r="Q553">
        <f ca="1"/>
        <v>0</v>
      </c>
      <c r="R553">
        <f ca="1"/>
        <v>0.64425299999999996</v>
      </c>
      <c r="S553">
        <f ca="1"/>
        <v>0</v>
      </c>
      <c r="T553">
        <f ca="1"/>
        <v>0</v>
      </c>
      <c r="U553">
        <f ca="1"/>
        <v>0.98508600000000002</v>
      </c>
      <c r="V553">
        <f ca="1"/>
        <v>0</v>
      </c>
    </row>
    <row r="554" spans="1:22" x14ac:dyDescent="0.3">
      <c r="A554" t="str">
        <f ca="1"/>
        <v>553</v>
      </c>
      <c r="B554" t="str">
        <f ca="1"/>
        <v>Rutsiro_HS15_15</v>
      </c>
      <c r="C554">
        <f ca="1"/>
        <v>2.5049999999999998E-3</v>
      </c>
      <c r="D554">
        <f ca="1"/>
        <v>0</v>
      </c>
      <c r="E554">
        <f ca="1"/>
        <v>0</v>
      </c>
      <c r="F554">
        <f ca="1"/>
        <v>0</v>
      </c>
      <c r="G554">
        <f ca="1"/>
        <v>0</v>
      </c>
      <c r="H554">
        <f ca="1"/>
        <v>2.5049999999999998E-3</v>
      </c>
      <c r="I554">
        <f ca="1"/>
        <v>0</v>
      </c>
      <c r="J554">
        <f ca="1"/>
        <v>0</v>
      </c>
      <c r="K554">
        <f ca="1"/>
        <v>0</v>
      </c>
      <c r="L554">
        <f ca="1"/>
        <v>0</v>
      </c>
      <c r="M554">
        <f ca="1"/>
        <v>2.4545999999999998E-2</v>
      </c>
      <c r="N554">
        <f ca="1"/>
        <v>0</v>
      </c>
      <c r="O554">
        <f ca="1"/>
        <v>0</v>
      </c>
      <c r="P554">
        <f ca="1"/>
        <v>0</v>
      </c>
      <c r="Q554">
        <f ca="1"/>
        <v>0</v>
      </c>
      <c r="R554">
        <f ca="1"/>
        <v>2.4545999999999998E-2</v>
      </c>
      <c r="S554">
        <f ca="1"/>
        <v>0</v>
      </c>
      <c r="T554">
        <f ca="1"/>
        <v>0</v>
      </c>
      <c r="U554">
        <f ca="1"/>
        <v>0</v>
      </c>
      <c r="V554">
        <f ca="1"/>
        <v>0</v>
      </c>
    </row>
    <row r="555" spans="1:22" x14ac:dyDescent="0.3">
      <c r="A555" t="str">
        <f ca="1"/>
        <v>554</v>
      </c>
      <c r="B555" t="str">
        <f ca="1"/>
        <v>Rutsiro_HS16_15</v>
      </c>
      <c r="C555">
        <f ca="1"/>
        <v>0.57509100000000002</v>
      </c>
      <c r="D555">
        <f ca="1"/>
        <v>0</v>
      </c>
      <c r="E555">
        <f ca="1"/>
        <v>0</v>
      </c>
      <c r="F555">
        <f ca="1"/>
        <v>0.337785</v>
      </c>
      <c r="G555">
        <f ca="1"/>
        <v>0</v>
      </c>
      <c r="H555">
        <f ca="1"/>
        <v>0.73542799999999997</v>
      </c>
      <c r="I555">
        <f ca="1"/>
        <v>0</v>
      </c>
      <c r="J555">
        <f ca="1"/>
        <v>0</v>
      </c>
      <c r="K555">
        <f ca="1"/>
        <v>0</v>
      </c>
      <c r="L555">
        <f ca="1"/>
        <v>0</v>
      </c>
      <c r="M555">
        <f ca="1"/>
        <v>0.73515799999999998</v>
      </c>
      <c r="N555">
        <f ca="1"/>
        <v>0</v>
      </c>
      <c r="O555">
        <f ca="1"/>
        <v>0</v>
      </c>
      <c r="P555">
        <f ca="1"/>
        <v>0.97322399999999998</v>
      </c>
      <c r="Q555">
        <f ca="1"/>
        <v>0</v>
      </c>
      <c r="R555">
        <f ca="1"/>
        <v>0.868363</v>
      </c>
      <c r="S555">
        <f ca="1"/>
        <v>0</v>
      </c>
      <c r="T555">
        <f ca="1"/>
        <v>0</v>
      </c>
      <c r="U555">
        <f ca="1"/>
        <v>0.97322399999999998</v>
      </c>
      <c r="V555">
        <f ca="1"/>
        <v>0</v>
      </c>
    </row>
    <row r="556" spans="1:22" x14ac:dyDescent="0.3">
      <c r="A556" t="str">
        <f ca="1"/>
        <v>555</v>
      </c>
      <c r="B556" t="str">
        <f ca="1"/>
        <v>Rutsiro_HS1_15</v>
      </c>
      <c r="C556">
        <f ca="1"/>
        <v>1.125014</v>
      </c>
      <c r="D556">
        <f ca="1"/>
        <v>0.33788800000000002</v>
      </c>
      <c r="E556">
        <f ca="1"/>
        <v>0</v>
      </c>
      <c r="F556">
        <f ca="1"/>
        <v>0.66099600000000003</v>
      </c>
      <c r="G556">
        <f ca="1"/>
        <v>0.243697</v>
      </c>
      <c r="H556">
        <f ca="1"/>
        <v>0.51602099999999995</v>
      </c>
      <c r="I556">
        <f ca="1"/>
        <v>0</v>
      </c>
      <c r="J556">
        <f ca="1"/>
        <v>0</v>
      </c>
      <c r="K556">
        <f ca="1"/>
        <v>0.99590199999999995</v>
      </c>
      <c r="L556">
        <f ca="1"/>
        <v>2.3118E-2</v>
      </c>
      <c r="M556">
        <f ca="1"/>
        <v>0.724638</v>
      </c>
      <c r="N556">
        <f ca="1"/>
        <v>0</v>
      </c>
      <c r="O556">
        <f ca="1"/>
        <v>0</v>
      </c>
      <c r="P556">
        <f ca="1"/>
        <v>0.99411300000000002</v>
      </c>
      <c r="Q556">
        <f ca="1"/>
        <v>0.44029699999999999</v>
      </c>
      <c r="R556">
        <f ca="1"/>
        <v>0.90960099999999999</v>
      </c>
      <c r="S556">
        <f ca="1"/>
        <v>0</v>
      </c>
      <c r="T556">
        <f ca="1"/>
        <v>0</v>
      </c>
      <c r="U556">
        <f ca="1"/>
        <v>0.99408099999999999</v>
      </c>
      <c r="V556">
        <f ca="1"/>
        <v>0.19148100000000001</v>
      </c>
    </row>
    <row r="557" spans="1:22" x14ac:dyDescent="0.3">
      <c r="A557" t="str">
        <f ca="1"/>
        <v>556</v>
      </c>
      <c r="B557" t="str">
        <f ca="1"/>
        <v>Rutsiro_HS2_15</v>
      </c>
      <c r="C557">
        <f ca="1"/>
        <v>0.552535</v>
      </c>
      <c r="D557">
        <f ca="1"/>
        <v>0</v>
      </c>
      <c r="E557">
        <f ca="1"/>
        <v>0</v>
      </c>
      <c r="F557">
        <f ca="1"/>
        <v>0.68771000000000004</v>
      </c>
      <c r="G557">
        <f ca="1"/>
        <v>0</v>
      </c>
      <c r="H557">
        <f ca="1"/>
        <v>0.87895599999999996</v>
      </c>
      <c r="I557">
        <f ca="1"/>
        <v>0</v>
      </c>
      <c r="J557">
        <f ca="1"/>
        <v>0</v>
      </c>
      <c r="K557">
        <f ca="1"/>
        <v>0</v>
      </c>
      <c r="L557">
        <f ca="1"/>
        <v>0</v>
      </c>
      <c r="M557">
        <f ca="1"/>
        <v>0.46982099999999999</v>
      </c>
      <c r="N557">
        <f ca="1"/>
        <v>0</v>
      </c>
      <c r="O557">
        <f ca="1"/>
        <v>0</v>
      </c>
      <c r="P557">
        <f ca="1"/>
        <v>0.994417</v>
      </c>
      <c r="Q557">
        <f ca="1"/>
        <v>1.176E-3</v>
      </c>
      <c r="R557">
        <f ca="1"/>
        <v>0.55298199999999997</v>
      </c>
      <c r="S557">
        <f ca="1"/>
        <v>0</v>
      </c>
      <c r="T557">
        <f ca="1"/>
        <v>0</v>
      </c>
      <c r="U557">
        <f ca="1"/>
        <v>0.99441900000000005</v>
      </c>
      <c r="V557">
        <f ca="1"/>
        <v>2.5799999999999998E-4</v>
      </c>
    </row>
    <row r="558" spans="1:22" x14ac:dyDescent="0.3">
      <c r="A558" t="str">
        <f ca="1"/>
        <v>557</v>
      </c>
      <c r="B558" t="str">
        <f ca="1"/>
        <v>Rutsiro_HS3_15</v>
      </c>
      <c r="C558">
        <f ca="1"/>
        <v>0.33476400000000001</v>
      </c>
      <c r="D558">
        <f ca="1"/>
        <v>0</v>
      </c>
      <c r="E558">
        <f ca="1"/>
        <v>0</v>
      </c>
      <c r="F558">
        <f ca="1"/>
        <v>0.59947499999999998</v>
      </c>
      <c r="G558">
        <f ca="1"/>
        <v>0</v>
      </c>
      <c r="H558">
        <f ca="1"/>
        <v>0.459005</v>
      </c>
      <c r="I558">
        <f ca="1"/>
        <v>0</v>
      </c>
      <c r="J558">
        <f ca="1"/>
        <v>0</v>
      </c>
      <c r="K558">
        <f ca="1"/>
        <v>0</v>
      </c>
      <c r="L558">
        <f ca="1"/>
        <v>0</v>
      </c>
      <c r="M558">
        <f ca="1"/>
        <v>0.39638000000000001</v>
      </c>
      <c r="N558">
        <f ca="1"/>
        <v>0.44562499999999999</v>
      </c>
      <c r="O558">
        <f ca="1"/>
        <v>0.54</v>
      </c>
      <c r="P558">
        <f ca="1"/>
        <v>0</v>
      </c>
      <c r="Q558">
        <f ca="1"/>
        <v>0</v>
      </c>
      <c r="R558">
        <f ca="1"/>
        <v>0.39638000000000001</v>
      </c>
      <c r="S558">
        <f ca="1"/>
        <v>0.44562499999999999</v>
      </c>
      <c r="T558">
        <f ca="1"/>
        <v>0.54</v>
      </c>
      <c r="U558">
        <f ca="1"/>
        <v>0</v>
      </c>
      <c r="V558">
        <f ca="1"/>
        <v>0</v>
      </c>
    </row>
    <row r="559" spans="1:22" x14ac:dyDescent="0.3">
      <c r="A559" t="str">
        <f ca="1"/>
        <v>558</v>
      </c>
      <c r="B559" t="str">
        <f ca="1"/>
        <v>Rutsiro_HS4_15</v>
      </c>
      <c r="C559">
        <f ca="1"/>
        <v>0.591669</v>
      </c>
      <c r="D559">
        <f ca="1"/>
        <v>0</v>
      </c>
      <c r="E559">
        <f ca="1"/>
        <v>0</v>
      </c>
      <c r="F559">
        <f ca="1"/>
        <v>0.53309700000000004</v>
      </c>
      <c r="G559">
        <f ca="1"/>
        <v>0</v>
      </c>
      <c r="H559">
        <f ca="1"/>
        <v>0.85957799999999995</v>
      </c>
      <c r="I559">
        <f ca="1"/>
        <v>0</v>
      </c>
      <c r="J559">
        <f ca="1"/>
        <v>0</v>
      </c>
      <c r="K559">
        <f ca="1"/>
        <v>0</v>
      </c>
      <c r="L559">
        <f ca="1"/>
        <v>0</v>
      </c>
      <c r="M559">
        <f ca="1"/>
        <v>0.43642700000000001</v>
      </c>
      <c r="N559">
        <f ca="1"/>
        <v>0</v>
      </c>
      <c r="O559">
        <f ca="1"/>
        <v>0</v>
      </c>
      <c r="P559">
        <f ca="1"/>
        <v>0.99751900000000004</v>
      </c>
      <c r="Q559">
        <f ca="1"/>
        <v>1.2290000000000001E-3</v>
      </c>
      <c r="R559">
        <f ca="1"/>
        <v>0.53288599999999997</v>
      </c>
      <c r="S559">
        <f ca="1"/>
        <v>0</v>
      </c>
      <c r="T559">
        <f ca="1"/>
        <v>0</v>
      </c>
      <c r="U559">
        <f ca="1"/>
        <v>0.99751999999999996</v>
      </c>
      <c r="V559">
        <f ca="1"/>
        <v>3.2299999999999999E-4</v>
      </c>
    </row>
    <row r="560" spans="1:22" x14ac:dyDescent="0.3">
      <c r="A560" t="str">
        <f ca="1"/>
        <v>559</v>
      </c>
      <c r="B560" t="str">
        <f ca="1"/>
        <v>Rutsiro_HS5_15</v>
      </c>
      <c r="C560">
        <f ca="1"/>
        <v>0.61328000000000005</v>
      </c>
      <c r="D560">
        <f ca="1"/>
        <v>0</v>
      </c>
      <c r="E560">
        <f ca="1"/>
        <v>0</v>
      </c>
      <c r="F560">
        <f ca="1"/>
        <v>0.21406700000000001</v>
      </c>
      <c r="G560">
        <f ca="1"/>
        <v>0</v>
      </c>
      <c r="H560">
        <f ca="1"/>
        <v>0.69323199999999996</v>
      </c>
      <c r="I560">
        <f ca="1"/>
        <v>0</v>
      </c>
      <c r="J560">
        <f ca="1"/>
        <v>0</v>
      </c>
      <c r="K560">
        <f ca="1"/>
        <v>0</v>
      </c>
      <c r="L560">
        <f ca="1"/>
        <v>0</v>
      </c>
      <c r="M560">
        <f ca="1"/>
        <v>0.44594</v>
      </c>
      <c r="N560">
        <f ca="1"/>
        <v>0</v>
      </c>
      <c r="O560">
        <f ca="1"/>
        <v>0</v>
      </c>
      <c r="P560">
        <f ca="1"/>
        <v>0.99008700000000005</v>
      </c>
      <c r="Q560">
        <f ca="1"/>
        <v>0</v>
      </c>
      <c r="R560">
        <f ca="1"/>
        <v>0.49352099999999999</v>
      </c>
      <c r="S560">
        <f ca="1"/>
        <v>0</v>
      </c>
      <c r="T560">
        <f ca="1"/>
        <v>0</v>
      </c>
      <c r="U560">
        <f ca="1"/>
        <v>0.99008700000000005</v>
      </c>
      <c r="V560">
        <f ca="1"/>
        <v>0</v>
      </c>
    </row>
    <row r="561" spans="1:22" x14ac:dyDescent="0.3">
      <c r="A561" t="str">
        <f ca="1"/>
        <v>560</v>
      </c>
      <c r="B561" t="str">
        <f ca="1"/>
        <v>Rutsiro_HS6_15</v>
      </c>
      <c r="C561">
        <f ca="1"/>
        <v>1.0254540000000001</v>
      </c>
      <c r="D561">
        <f ca="1"/>
        <v>0</v>
      </c>
      <c r="E561">
        <f ca="1"/>
        <v>0</v>
      </c>
      <c r="F561">
        <f ca="1"/>
        <v>0.76095400000000002</v>
      </c>
      <c r="G561">
        <f ca="1"/>
        <v>0.190661</v>
      </c>
      <c r="H561">
        <f ca="1"/>
        <v>2.2815159999999999</v>
      </c>
      <c r="I561">
        <f ca="1"/>
        <v>0</v>
      </c>
      <c r="J561">
        <f ca="1"/>
        <v>0</v>
      </c>
      <c r="K561">
        <f ca="1"/>
        <v>0</v>
      </c>
      <c r="L561">
        <f ca="1"/>
        <v>0</v>
      </c>
      <c r="M561">
        <f ca="1"/>
        <v>1.065561</v>
      </c>
      <c r="N561">
        <f ca="1"/>
        <v>0</v>
      </c>
      <c r="O561">
        <f ca="1"/>
        <v>0</v>
      </c>
      <c r="P561">
        <f ca="1"/>
        <v>0.98690999999999995</v>
      </c>
      <c r="Q561">
        <f ca="1"/>
        <v>0.33966200000000002</v>
      </c>
      <c r="R561">
        <f ca="1"/>
        <v>1.326306</v>
      </c>
      <c r="S561">
        <f ca="1"/>
        <v>0</v>
      </c>
      <c r="T561">
        <f ca="1"/>
        <v>0</v>
      </c>
      <c r="U561">
        <f ca="1"/>
        <v>0.98715799999999998</v>
      </c>
      <c r="V561">
        <f ca="1"/>
        <v>6.5573000000000006E-2</v>
      </c>
    </row>
    <row r="562" spans="1:22" x14ac:dyDescent="0.3">
      <c r="A562" t="str">
        <f ca="1"/>
        <v>561</v>
      </c>
      <c r="B562" t="str">
        <f ca="1"/>
        <v>Rutsiro_HS7_15</v>
      </c>
      <c r="C562">
        <f ca="1"/>
        <v>0.53576500000000005</v>
      </c>
      <c r="D562">
        <f ca="1"/>
        <v>0</v>
      </c>
      <c r="E562">
        <f ca="1"/>
        <v>0</v>
      </c>
      <c r="F562">
        <f ca="1"/>
        <v>0.67283800000000005</v>
      </c>
      <c r="G562">
        <f ca="1"/>
        <v>0</v>
      </c>
      <c r="H562">
        <f ca="1"/>
        <v>0.850746</v>
      </c>
      <c r="I562">
        <f ca="1"/>
        <v>0</v>
      </c>
      <c r="J562">
        <f ca="1"/>
        <v>0</v>
      </c>
      <c r="K562">
        <f ca="1"/>
        <v>0</v>
      </c>
      <c r="L562">
        <f ca="1"/>
        <v>0</v>
      </c>
      <c r="M562">
        <f ca="1"/>
        <v>0.515177</v>
      </c>
      <c r="N562">
        <f ca="1"/>
        <v>0</v>
      </c>
      <c r="O562">
        <f ca="1"/>
        <v>0</v>
      </c>
      <c r="P562">
        <f ca="1"/>
        <v>0.99535300000000004</v>
      </c>
      <c r="Q562">
        <f ca="1"/>
        <v>4.653E-3</v>
      </c>
      <c r="R562">
        <f ca="1"/>
        <v>0.59774300000000002</v>
      </c>
      <c r="S562">
        <f ca="1"/>
        <v>0</v>
      </c>
      <c r="T562">
        <f ca="1"/>
        <v>0</v>
      </c>
      <c r="U562">
        <f ca="1"/>
        <v>0.99535799999999997</v>
      </c>
      <c r="V562">
        <f ca="1"/>
        <v>1.0430000000000001E-3</v>
      </c>
    </row>
    <row r="563" spans="1:22" x14ac:dyDescent="0.3">
      <c r="A563" t="str">
        <f ca="1"/>
        <v>562</v>
      </c>
      <c r="B563" t="str">
        <f ca="1"/>
        <v>Rutsiro_HS8_15</v>
      </c>
      <c r="C563">
        <f ca="1"/>
        <v>0.52908699999999997</v>
      </c>
      <c r="D563">
        <f ca="1"/>
        <v>0</v>
      </c>
      <c r="E563">
        <f ca="1"/>
        <v>0</v>
      </c>
      <c r="F563">
        <f ca="1"/>
        <v>0.44883800000000001</v>
      </c>
      <c r="G563">
        <f ca="1"/>
        <v>0</v>
      </c>
      <c r="H563">
        <f ca="1"/>
        <v>0.73060400000000003</v>
      </c>
      <c r="I563">
        <f ca="1"/>
        <v>0</v>
      </c>
      <c r="J563">
        <f ca="1"/>
        <v>0</v>
      </c>
      <c r="K563">
        <f ca="1"/>
        <v>0</v>
      </c>
      <c r="L563">
        <f ca="1"/>
        <v>0</v>
      </c>
      <c r="M563">
        <f ca="1"/>
        <v>0.55091900000000005</v>
      </c>
      <c r="N563">
        <f ca="1"/>
        <v>0</v>
      </c>
      <c r="O563">
        <f ca="1"/>
        <v>0</v>
      </c>
      <c r="P563">
        <f ca="1"/>
        <v>0.98322399999999999</v>
      </c>
      <c r="Q563">
        <f ca="1"/>
        <v>0</v>
      </c>
      <c r="R563">
        <f ca="1"/>
        <v>0.64771800000000002</v>
      </c>
      <c r="S563">
        <f ca="1"/>
        <v>0</v>
      </c>
      <c r="T563">
        <f ca="1"/>
        <v>0</v>
      </c>
      <c r="U563">
        <f ca="1"/>
        <v>0.98322399999999999</v>
      </c>
      <c r="V563">
        <f ca="1"/>
        <v>0</v>
      </c>
    </row>
    <row r="564" spans="1:22" x14ac:dyDescent="0.3">
      <c r="A564" t="str">
        <f ca="1"/>
        <v>563</v>
      </c>
      <c r="B564" t="str">
        <f ca="1"/>
        <v>Rutsiro_HS9_15</v>
      </c>
      <c r="C564">
        <f ca="1"/>
        <v>0.34021099999999999</v>
      </c>
      <c r="D564">
        <f ca="1"/>
        <v>0</v>
      </c>
      <c r="E564">
        <f ca="1"/>
        <v>0</v>
      </c>
      <c r="F564">
        <f ca="1"/>
        <v>0.196266</v>
      </c>
      <c r="G564">
        <f ca="1"/>
        <v>0</v>
      </c>
      <c r="H564">
        <f ca="1"/>
        <v>0.36648399999999998</v>
      </c>
      <c r="I564">
        <f ca="1"/>
        <v>0</v>
      </c>
      <c r="J564">
        <f ca="1"/>
        <v>0</v>
      </c>
      <c r="K564">
        <f ca="1"/>
        <v>0</v>
      </c>
      <c r="L564">
        <f ca="1"/>
        <v>0</v>
      </c>
      <c r="M564">
        <f ca="1"/>
        <v>0.377276</v>
      </c>
      <c r="N564">
        <f ca="1"/>
        <v>0.51325900000000002</v>
      </c>
      <c r="O564">
        <f ca="1"/>
        <v>0.54</v>
      </c>
      <c r="P564">
        <f ca="1"/>
        <v>0</v>
      </c>
      <c r="Q564">
        <f ca="1"/>
        <v>0</v>
      </c>
      <c r="R564">
        <f ca="1"/>
        <v>0.377276</v>
      </c>
      <c r="S564">
        <f ca="1"/>
        <v>0.51325900000000002</v>
      </c>
      <c r="T564">
        <f ca="1"/>
        <v>0.54</v>
      </c>
      <c r="U564">
        <f ca="1"/>
        <v>0</v>
      </c>
      <c r="V564">
        <f ca="1"/>
        <v>0</v>
      </c>
    </row>
    <row r="565" spans="1:22" x14ac:dyDescent="0.3">
      <c r="A565" t="str">
        <f ca="1"/>
        <v>564</v>
      </c>
      <c r="B565" t="str">
        <f ca="1"/>
        <v>Rwabusoro_15</v>
      </c>
      <c r="C565">
        <f ca="1"/>
        <v>0.44997999999999999</v>
      </c>
      <c r="D565">
        <f ca="1"/>
        <v>0</v>
      </c>
      <c r="E565">
        <f ca="1"/>
        <v>0</v>
      </c>
      <c r="F565">
        <f ca="1"/>
        <v>0.41019</v>
      </c>
      <c r="G565">
        <f ca="1"/>
        <v>0</v>
      </c>
      <c r="H565">
        <f ca="1"/>
        <v>0.58830199999999999</v>
      </c>
      <c r="I565">
        <f ca="1"/>
        <v>0</v>
      </c>
      <c r="J565">
        <f ca="1"/>
        <v>0</v>
      </c>
      <c r="K565">
        <f ca="1"/>
        <v>0</v>
      </c>
      <c r="L565">
        <f ca="1"/>
        <v>0</v>
      </c>
      <c r="M565">
        <f ca="1"/>
        <v>0.49158499999999999</v>
      </c>
      <c r="N565">
        <f ca="1"/>
        <v>0</v>
      </c>
      <c r="O565">
        <f ca="1"/>
        <v>0</v>
      </c>
      <c r="P565">
        <f ca="1"/>
        <v>0.98726100000000006</v>
      </c>
      <c r="Q565">
        <f ca="1"/>
        <v>0</v>
      </c>
      <c r="R565">
        <f ca="1"/>
        <v>0.58144300000000004</v>
      </c>
      <c r="S565">
        <f ca="1"/>
        <v>0</v>
      </c>
      <c r="T565">
        <f ca="1"/>
        <v>0</v>
      </c>
      <c r="U565">
        <f ca="1"/>
        <v>0.98726100000000006</v>
      </c>
      <c r="V565">
        <f ca="1"/>
        <v>0</v>
      </c>
    </row>
    <row r="566" spans="1:22" x14ac:dyDescent="0.3">
      <c r="A566" t="str">
        <f ca="1"/>
        <v>565</v>
      </c>
      <c r="B566" t="str">
        <f ca="1"/>
        <v>Rwamagana_HS0_15</v>
      </c>
      <c r="C566">
        <f ca="1"/>
        <v>1.1475519999999999</v>
      </c>
      <c r="D566">
        <f ca="1"/>
        <v>0.217446</v>
      </c>
      <c r="E566">
        <f ca="1"/>
        <v>0</v>
      </c>
      <c r="F566">
        <f ca="1"/>
        <v>0.18929099999999999</v>
      </c>
      <c r="G566">
        <f ca="1"/>
        <v>0.95320199999999999</v>
      </c>
      <c r="H566">
        <f ca="1"/>
        <v>0.40911199999999998</v>
      </c>
      <c r="I566">
        <f ca="1"/>
        <v>0</v>
      </c>
      <c r="J566">
        <f ca="1"/>
        <v>0</v>
      </c>
      <c r="K566">
        <f ca="1"/>
        <v>0.99827699999999997</v>
      </c>
      <c r="L566">
        <f ca="1"/>
        <v>0.265627</v>
      </c>
      <c r="M566">
        <f ca="1"/>
        <v>0.39885300000000001</v>
      </c>
      <c r="N566">
        <f ca="1"/>
        <v>0</v>
      </c>
      <c r="O566">
        <f ca="1"/>
        <v>0</v>
      </c>
      <c r="P566">
        <f ca="1"/>
        <v>0.99658199999999997</v>
      </c>
      <c r="Q566">
        <f ca="1"/>
        <v>0.96050000000000002</v>
      </c>
      <c r="R566">
        <f ca="1"/>
        <v>0.59834600000000004</v>
      </c>
      <c r="S566">
        <f ca="1"/>
        <v>0</v>
      </c>
      <c r="T566">
        <f ca="1"/>
        <v>0</v>
      </c>
      <c r="U566">
        <f ca="1"/>
        <v>0.99395599999999995</v>
      </c>
      <c r="V566">
        <f ca="1"/>
        <v>0.74366399999999999</v>
      </c>
    </row>
    <row r="567" spans="1:22" x14ac:dyDescent="0.3">
      <c r="A567" t="str">
        <f ca="1"/>
        <v>566</v>
      </c>
      <c r="B567" t="str">
        <f ca="1"/>
        <v>Rwamagana_HS10_15</v>
      </c>
      <c r="C567">
        <f ca="1"/>
        <v>0.62107500000000004</v>
      </c>
      <c r="D567">
        <f ca="1"/>
        <v>0</v>
      </c>
      <c r="E567">
        <f ca="1"/>
        <v>0</v>
      </c>
      <c r="F567">
        <f ca="1"/>
        <v>0.54679699999999998</v>
      </c>
      <c r="G567">
        <f ca="1"/>
        <v>0</v>
      </c>
      <c r="H567">
        <f ca="1"/>
        <v>0.92947000000000002</v>
      </c>
      <c r="I567">
        <f ca="1"/>
        <v>0</v>
      </c>
      <c r="J567">
        <f ca="1"/>
        <v>0</v>
      </c>
      <c r="K567">
        <f ca="1"/>
        <v>0</v>
      </c>
      <c r="L567">
        <f ca="1"/>
        <v>0</v>
      </c>
      <c r="M567">
        <f ca="1"/>
        <v>0.45786500000000002</v>
      </c>
      <c r="N567">
        <f ca="1"/>
        <v>0</v>
      </c>
      <c r="O567">
        <f ca="1"/>
        <v>0</v>
      </c>
      <c r="P567">
        <f ca="1"/>
        <v>0.98161600000000004</v>
      </c>
      <c r="Q567">
        <f ca="1"/>
        <v>0</v>
      </c>
      <c r="R567">
        <f ca="1"/>
        <v>0.52193900000000004</v>
      </c>
      <c r="S567">
        <f ca="1"/>
        <v>0</v>
      </c>
      <c r="T567">
        <f ca="1"/>
        <v>0</v>
      </c>
      <c r="U567">
        <f ca="1"/>
        <v>0.98161600000000004</v>
      </c>
      <c r="V567">
        <f ca="1"/>
        <v>0</v>
      </c>
    </row>
    <row r="568" spans="1:22" x14ac:dyDescent="0.3">
      <c r="A568" t="str">
        <f ca="1"/>
        <v>567</v>
      </c>
      <c r="B568" t="str">
        <f ca="1"/>
        <v>Rwamagana_HS11_15</v>
      </c>
      <c r="C568">
        <f ca="1"/>
        <v>0.71799299999999999</v>
      </c>
      <c r="D568">
        <f ca="1"/>
        <v>0.90154500000000004</v>
      </c>
      <c r="E568">
        <f ca="1"/>
        <v>0</v>
      </c>
      <c r="F568">
        <f ca="1"/>
        <v>0.29471900000000001</v>
      </c>
      <c r="G568">
        <f ca="1"/>
        <v>0.72839500000000001</v>
      </c>
      <c r="H568">
        <f ca="1"/>
        <v>0.26741900000000002</v>
      </c>
      <c r="I568">
        <f ca="1"/>
        <v>0</v>
      </c>
      <c r="J568">
        <f ca="1"/>
        <v>0</v>
      </c>
      <c r="K568">
        <f ca="1"/>
        <v>0.99602199999999996</v>
      </c>
      <c r="L568">
        <f ca="1"/>
        <v>0.239957</v>
      </c>
      <c r="M568">
        <f ca="1"/>
        <v>0.28281899999999999</v>
      </c>
      <c r="N568">
        <f ca="1"/>
        <v>0</v>
      </c>
      <c r="O568">
        <f ca="1"/>
        <v>0</v>
      </c>
      <c r="P568">
        <f ca="1"/>
        <v>0.98790699999999998</v>
      </c>
      <c r="Q568">
        <f ca="1"/>
        <v>0.937724</v>
      </c>
      <c r="R568">
        <f ca="1"/>
        <v>0.38896500000000001</v>
      </c>
      <c r="S568">
        <f ca="1"/>
        <v>0</v>
      </c>
      <c r="T568">
        <f ca="1"/>
        <v>0</v>
      </c>
      <c r="U568">
        <f ca="1"/>
        <v>0.99241299999999999</v>
      </c>
      <c r="V568">
        <f ca="1"/>
        <v>0.66221600000000003</v>
      </c>
    </row>
    <row r="569" spans="1:22" x14ac:dyDescent="0.3">
      <c r="A569" t="str">
        <f ca="1"/>
        <v>568</v>
      </c>
      <c r="B569" t="str">
        <f ca="1"/>
        <v>Rwamagana_HS12_15</v>
      </c>
      <c r="C569">
        <f ca="1"/>
        <v>1.188E-3</v>
      </c>
      <c r="D569">
        <f ca="1"/>
        <v>0</v>
      </c>
      <c r="E569">
        <f ca="1"/>
        <v>0</v>
      </c>
      <c r="F569">
        <f ca="1"/>
        <v>0</v>
      </c>
      <c r="G569">
        <f ca="1"/>
        <v>0</v>
      </c>
      <c r="H569">
        <f ca="1"/>
        <v>1.188E-3</v>
      </c>
      <c r="I569">
        <f ca="1"/>
        <v>0</v>
      </c>
      <c r="J569">
        <f ca="1"/>
        <v>0</v>
      </c>
      <c r="K569">
        <f ca="1"/>
        <v>0</v>
      </c>
      <c r="L569">
        <f ca="1"/>
        <v>0</v>
      </c>
      <c r="M569">
        <f ca="1"/>
        <v>1.1712999999999999E-2</v>
      </c>
      <c r="N569">
        <f ca="1"/>
        <v>0</v>
      </c>
      <c r="O569">
        <f ca="1"/>
        <v>0</v>
      </c>
      <c r="P569">
        <f ca="1"/>
        <v>0</v>
      </c>
      <c r="Q569">
        <f ca="1"/>
        <v>0</v>
      </c>
      <c r="R569">
        <f ca="1"/>
        <v>1.1712999999999999E-2</v>
      </c>
      <c r="S569">
        <f ca="1"/>
        <v>0</v>
      </c>
      <c r="T569">
        <f ca="1"/>
        <v>0</v>
      </c>
      <c r="U569">
        <f ca="1"/>
        <v>0</v>
      </c>
      <c r="V569">
        <f ca="1"/>
        <v>0</v>
      </c>
    </row>
    <row r="570" spans="1:22" x14ac:dyDescent="0.3">
      <c r="A570" t="str">
        <f ca="1"/>
        <v>569</v>
      </c>
      <c r="B570" t="str">
        <f ca="1"/>
        <v>Rwamagana_HS13_15</v>
      </c>
      <c r="C570">
        <f ca="1"/>
        <v>0.411242</v>
      </c>
      <c r="D570">
        <f ca="1"/>
        <v>0.77281900000000003</v>
      </c>
      <c r="E570">
        <f ca="1"/>
        <v>0</v>
      </c>
      <c r="F570">
        <f ca="1"/>
        <v>0.31948900000000002</v>
      </c>
      <c r="G570">
        <f ca="1"/>
        <v>0.87223799999999996</v>
      </c>
      <c r="H570">
        <f ca="1"/>
        <v>0.232067</v>
      </c>
      <c r="I570">
        <f ca="1"/>
        <v>0.44027500000000003</v>
      </c>
      <c r="J570">
        <f ca="1"/>
        <v>0.52</v>
      </c>
      <c r="K570">
        <f ca="1"/>
        <v>0</v>
      </c>
      <c r="L570">
        <f ca="1"/>
        <v>0</v>
      </c>
      <c r="M570">
        <f ca="1"/>
        <v>0.129523</v>
      </c>
      <c r="N570">
        <f ca="1"/>
        <v>0.84192599999999995</v>
      </c>
      <c r="O570">
        <f ca="1"/>
        <v>0.55000000000000004</v>
      </c>
      <c r="P570">
        <f ca="1"/>
        <v>0</v>
      </c>
      <c r="Q570">
        <f ca="1"/>
        <v>0</v>
      </c>
      <c r="R570">
        <f ca="1"/>
        <v>0.28806900000000002</v>
      </c>
      <c r="S570">
        <f ca="1"/>
        <v>0.38402599999999998</v>
      </c>
      <c r="T570">
        <f ca="1"/>
        <v>0.51</v>
      </c>
      <c r="U570">
        <f ca="1"/>
        <v>0</v>
      </c>
      <c r="V570">
        <f ca="1"/>
        <v>0</v>
      </c>
    </row>
    <row r="571" spans="1:22" x14ac:dyDescent="0.3">
      <c r="A571" t="str">
        <f ca="1"/>
        <v>570</v>
      </c>
      <c r="B571" t="str">
        <f ca="1"/>
        <v>Rwamagana_HS14_15</v>
      </c>
      <c r="C571">
        <f ca="1"/>
        <v>1.017344</v>
      </c>
      <c r="D571">
        <f ca="1"/>
        <v>0.94703800000000005</v>
      </c>
      <c r="E571">
        <f ca="1"/>
        <v>0</v>
      </c>
      <c r="F571">
        <f ca="1"/>
        <v>0.19959399999999999</v>
      </c>
      <c r="G571">
        <f ca="1"/>
        <v>0.94931500000000002</v>
      </c>
      <c r="H571">
        <f ca="1"/>
        <v>0.28807199999999999</v>
      </c>
      <c r="I571">
        <f ca="1"/>
        <v>0</v>
      </c>
      <c r="J571">
        <f ca="1"/>
        <v>0</v>
      </c>
      <c r="K571">
        <f ca="1"/>
        <v>0.99814800000000004</v>
      </c>
      <c r="L571">
        <f ca="1"/>
        <v>0.645926</v>
      </c>
      <c r="M571">
        <f ca="1"/>
        <v>0.25467200000000001</v>
      </c>
      <c r="N571">
        <f ca="1"/>
        <v>0</v>
      </c>
      <c r="O571">
        <f ca="1"/>
        <v>0</v>
      </c>
      <c r="P571">
        <f ca="1"/>
        <v>0.99960199999999999</v>
      </c>
      <c r="Q571">
        <f ca="1"/>
        <v>0.98031299999999999</v>
      </c>
      <c r="R571">
        <f ca="1"/>
        <v>0.403424</v>
      </c>
      <c r="S571">
        <f ca="1"/>
        <v>0</v>
      </c>
      <c r="T571">
        <f ca="1"/>
        <v>0</v>
      </c>
      <c r="U571">
        <f ca="1"/>
        <v>0.99435899999999999</v>
      </c>
      <c r="V571">
        <f ca="1"/>
        <v>0.77521200000000001</v>
      </c>
    </row>
    <row r="572" spans="1:22" x14ac:dyDescent="0.3">
      <c r="A572" t="str">
        <f ca="1"/>
        <v>571</v>
      </c>
      <c r="B572" t="str">
        <f ca="1"/>
        <v>Rwamagana_HS15_15</v>
      </c>
      <c r="C572">
        <f ca="1"/>
        <v>0.34781000000000001</v>
      </c>
      <c r="D572">
        <f ca="1"/>
        <v>0</v>
      </c>
      <c r="E572">
        <f ca="1"/>
        <v>0</v>
      </c>
      <c r="F572">
        <f ca="1"/>
        <v>0.17824300000000001</v>
      </c>
      <c r="G572">
        <f ca="1"/>
        <v>0</v>
      </c>
      <c r="H572">
        <f ca="1"/>
        <v>0.39128299999999999</v>
      </c>
      <c r="I572">
        <f ca="1"/>
        <v>0</v>
      </c>
      <c r="J572">
        <f ca="1"/>
        <v>0</v>
      </c>
      <c r="K572">
        <f ca="1"/>
        <v>0</v>
      </c>
      <c r="L572">
        <f ca="1"/>
        <v>0</v>
      </c>
      <c r="M572">
        <f ca="1"/>
        <v>0.201261</v>
      </c>
      <c r="N572">
        <f ca="1"/>
        <v>0</v>
      </c>
      <c r="O572">
        <f ca="1"/>
        <v>0</v>
      </c>
      <c r="P572">
        <f ca="1"/>
        <v>0.99521099999999996</v>
      </c>
      <c r="Q572">
        <f ca="1"/>
        <v>0</v>
      </c>
      <c r="R572">
        <f ca="1"/>
        <v>0.229908</v>
      </c>
      <c r="S572">
        <f ca="1"/>
        <v>0</v>
      </c>
      <c r="T572">
        <f ca="1"/>
        <v>0</v>
      </c>
      <c r="U572">
        <f ca="1"/>
        <v>0.99521099999999996</v>
      </c>
      <c r="V572">
        <f ca="1"/>
        <v>0</v>
      </c>
    </row>
    <row r="573" spans="1:22" x14ac:dyDescent="0.3">
      <c r="A573" t="str">
        <f ca="1"/>
        <v>572</v>
      </c>
      <c r="B573" t="str">
        <f ca="1"/>
        <v>Rwamagana_HS16_15</v>
      </c>
      <c r="C573">
        <f ca="1"/>
        <v>0.45537100000000003</v>
      </c>
      <c r="D573">
        <f ca="1"/>
        <v>0</v>
      </c>
      <c r="E573">
        <f ca="1"/>
        <v>0</v>
      </c>
      <c r="F573">
        <f ca="1"/>
        <v>0.34797899999999998</v>
      </c>
      <c r="G573">
        <f ca="1"/>
        <v>0</v>
      </c>
      <c r="H573">
        <f ca="1"/>
        <v>0.52299099999999998</v>
      </c>
      <c r="I573">
        <f ca="1"/>
        <v>0</v>
      </c>
      <c r="J573">
        <f ca="1"/>
        <v>0</v>
      </c>
      <c r="K573">
        <f ca="1"/>
        <v>0</v>
      </c>
      <c r="L573">
        <f ca="1"/>
        <v>0</v>
      </c>
      <c r="M573">
        <f ca="1"/>
        <v>0.35192800000000002</v>
      </c>
      <c r="N573">
        <f ca="1"/>
        <v>0</v>
      </c>
      <c r="O573">
        <f ca="1"/>
        <v>0</v>
      </c>
      <c r="P573">
        <f ca="1"/>
        <v>0.98329699999999998</v>
      </c>
      <c r="Q573">
        <f ca="1"/>
        <v>0</v>
      </c>
      <c r="R573">
        <f ca="1"/>
        <v>0.39744499999999999</v>
      </c>
      <c r="S573">
        <f ca="1"/>
        <v>0</v>
      </c>
      <c r="T573">
        <f ca="1"/>
        <v>0</v>
      </c>
      <c r="U573">
        <f ca="1"/>
        <v>0.98329699999999998</v>
      </c>
      <c r="V573">
        <f ca="1"/>
        <v>0</v>
      </c>
    </row>
    <row r="574" spans="1:22" x14ac:dyDescent="0.3">
      <c r="A574" t="str">
        <f ca="1"/>
        <v>573</v>
      </c>
      <c r="B574" t="str">
        <f ca="1"/>
        <v>Rwamagana_HS17_15</v>
      </c>
      <c r="C574">
        <f ca="1"/>
        <v>0.46914899999999998</v>
      </c>
      <c r="D574">
        <f ca="1"/>
        <v>0.38340000000000002</v>
      </c>
      <c r="E574">
        <f ca="1"/>
        <v>0</v>
      </c>
      <c r="F574">
        <f ca="1"/>
        <v>0.12619900000000001</v>
      </c>
      <c r="G574">
        <f ca="1"/>
        <v>0</v>
      </c>
      <c r="H574">
        <f ca="1"/>
        <v>0.62071200000000004</v>
      </c>
      <c r="I574">
        <f ca="1"/>
        <v>0</v>
      </c>
      <c r="J574">
        <f ca="1"/>
        <v>0</v>
      </c>
      <c r="K574">
        <f ca="1"/>
        <v>0</v>
      </c>
      <c r="L574">
        <f ca="1"/>
        <v>0</v>
      </c>
      <c r="M574">
        <f ca="1"/>
        <v>0.40289799999999998</v>
      </c>
      <c r="N574">
        <f ca="1"/>
        <v>0</v>
      </c>
      <c r="O574">
        <f ca="1"/>
        <v>0</v>
      </c>
      <c r="P574">
        <f ca="1"/>
        <v>0.98934299999999997</v>
      </c>
      <c r="Q574">
        <f ca="1"/>
        <v>0.29054200000000002</v>
      </c>
      <c r="R574">
        <f ca="1"/>
        <v>0.46317199999999997</v>
      </c>
      <c r="S574">
        <f ca="1"/>
        <v>0</v>
      </c>
      <c r="T574">
        <f ca="1"/>
        <v>0</v>
      </c>
      <c r="U574">
        <f ca="1"/>
        <v>0.98816300000000001</v>
      </c>
      <c r="V574">
        <f ca="1"/>
        <v>3.6200000000000003E-2</v>
      </c>
    </row>
    <row r="575" spans="1:22" x14ac:dyDescent="0.3">
      <c r="A575" t="str">
        <f ca="1"/>
        <v>574</v>
      </c>
      <c r="B575" t="str">
        <f ca="1"/>
        <v>Rwamagana_HS18_15</v>
      </c>
      <c r="C575">
        <f ca="1"/>
        <v>0.64861500000000005</v>
      </c>
      <c r="D575">
        <f ca="1"/>
        <v>0.71902100000000002</v>
      </c>
      <c r="E575">
        <f ca="1"/>
        <v>0</v>
      </c>
      <c r="F575">
        <f ca="1"/>
        <v>0.32535999999999998</v>
      </c>
      <c r="G575">
        <f ca="1"/>
        <v>0.65185199999999999</v>
      </c>
      <c r="H575">
        <f ca="1"/>
        <v>0.25512200000000002</v>
      </c>
      <c r="I575">
        <f ca="1"/>
        <v>0</v>
      </c>
      <c r="J575">
        <f ca="1"/>
        <v>0</v>
      </c>
      <c r="K575">
        <f ca="1"/>
        <v>0.99167400000000006</v>
      </c>
      <c r="L575">
        <f ca="1"/>
        <v>7.4034000000000003E-2</v>
      </c>
      <c r="M575">
        <f ca="1"/>
        <v>0.31132399999999999</v>
      </c>
      <c r="N575">
        <f ca="1"/>
        <v>0</v>
      </c>
      <c r="O575">
        <f ca="1"/>
        <v>0</v>
      </c>
      <c r="P575">
        <f ca="1"/>
        <v>0.99586799999999998</v>
      </c>
      <c r="Q575">
        <f ca="1"/>
        <v>0.825156</v>
      </c>
      <c r="R575">
        <f ca="1"/>
        <v>0.39493</v>
      </c>
      <c r="S575">
        <f ca="1"/>
        <v>0</v>
      </c>
      <c r="T575">
        <f ca="1"/>
        <v>0</v>
      </c>
      <c r="U575">
        <f ca="1"/>
        <v>0.99325399999999997</v>
      </c>
      <c r="V575">
        <f ca="1"/>
        <v>0.33756700000000001</v>
      </c>
    </row>
    <row r="576" spans="1:22" x14ac:dyDescent="0.3">
      <c r="A576" t="str">
        <f ca="1"/>
        <v>575</v>
      </c>
      <c r="B576" t="str">
        <f ca="1"/>
        <v>Rwamagana_HS19_15</v>
      </c>
      <c r="C576">
        <f ca="1"/>
        <v>0.85307900000000003</v>
      </c>
      <c r="D576">
        <f ca="1"/>
        <v>0.87604099999999996</v>
      </c>
      <c r="E576">
        <f ca="1"/>
        <v>0</v>
      </c>
      <c r="F576">
        <f ca="1"/>
        <v>0.63280499999999995</v>
      </c>
      <c r="G576">
        <f ca="1"/>
        <v>0</v>
      </c>
      <c r="H576">
        <f ca="1"/>
        <v>1.4176040000000001</v>
      </c>
      <c r="I576">
        <f ca="1"/>
        <v>0</v>
      </c>
      <c r="J576">
        <f ca="1"/>
        <v>0</v>
      </c>
      <c r="K576">
        <f ca="1"/>
        <v>0</v>
      </c>
      <c r="L576">
        <f ca="1"/>
        <v>0</v>
      </c>
      <c r="M576">
        <f ca="1"/>
        <v>0.40622200000000003</v>
      </c>
      <c r="N576">
        <f ca="1"/>
        <v>0</v>
      </c>
      <c r="O576">
        <f ca="1"/>
        <v>0</v>
      </c>
      <c r="P576">
        <f ca="1"/>
        <v>0.98924699999999999</v>
      </c>
      <c r="Q576">
        <f ca="1"/>
        <v>0.20332500000000001</v>
      </c>
      <c r="R576">
        <f ca="1"/>
        <v>0.43735800000000002</v>
      </c>
      <c r="S576">
        <f ca="1"/>
        <v>0</v>
      </c>
      <c r="T576">
        <f ca="1"/>
        <v>0</v>
      </c>
      <c r="U576">
        <f ca="1"/>
        <v>0.99030899999999999</v>
      </c>
      <c r="V576">
        <f ca="1"/>
        <v>5.9617000000000003E-2</v>
      </c>
    </row>
    <row r="577" spans="1:22" x14ac:dyDescent="0.3">
      <c r="A577" t="str">
        <f ca="1"/>
        <v>576</v>
      </c>
      <c r="B577" t="str">
        <f ca="1"/>
        <v>Rwamagana_HS1_15</v>
      </c>
      <c r="C577">
        <f ca="1"/>
        <v>0.95264700000000002</v>
      </c>
      <c r="D577">
        <f ca="1"/>
        <v>0</v>
      </c>
      <c r="E577">
        <f ca="1"/>
        <v>0</v>
      </c>
      <c r="F577">
        <f ca="1"/>
        <v>0.21581</v>
      </c>
      <c r="G577">
        <f ca="1"/>
        <v>0.18571399999999999</v>
      </c>
      <c r="H577">
        <f ca="1"/>
        <v>1.738278</v>
      </c>
      <c r="I577">
        <f ca="1"/>
        <v>0</v>
      </c>
      <c r="J577">
        <f ca="1"/>
        <v>0</v>
      </c>
      <c r="K577">
        <f ca="1"/>
        <v>0</v>
      </c>
      <c r="L577">
        <f ca="1"/>
        <v>0</v>
      </c>
      <c r="M577">
        <f ca="1"/>
        <v>0.59903200000000001</v>
      </c>
      <c r="N577">
        <f ca="1"/>
        <v>0</v>
      </c>
      <c r="O577">
        <f ca="1"/>
        <v>0</v>
      </c>
      <c r="P577">
        <f ca="1"/>
        <v>0.97785</v>
      </c>
      <c r="Q577">
        <f ca="1"/>
        <v>0.560137</v>
      </c>
      <c r="R577">
        <f ca="1"/>
        <v>0.69762999999999997</v>
      </c>
      <c r="S577">
        <f ca="1"/>
        <v>0</v>
      </c>
      <c r="T577">
        <f ca="1"/>
        <v>0</v>
      </c>
      <c r="U577">
        <f ca="1"/>
        <v>0.97951699999999997</v>
      </c>
      <c r="V577">
        <f ca="1"/>
        <v>0.171795</v>
      </c>
    </row>
    <row r="578" spans="1:22" x14ac:dyDescent="0.3">
      <c r="A578" t="str">
        <f ca="1"/>
        <v>577</v>
      </c>
      <c r="B578" t="str">
        <f ca="1"/>
        <v>Rwamagana_HS20_15</v>
      </c>
      <c r="C578">
        <f ca="1"/>
        <v>0.208177</v>
      </c>
      <c r="D578">
        <f ca="1"/>
        <v>0</v>
      </c>
      <c r="E578">
        <f ca="1"/>
        <v>0</v>
      </c>
      <c r="F578">
        <f ca="1"/>
        <v>0</v>
      </c>
      <c r="G578">
        <f ca="1"/>
        <v>0</v>
      </c>
      <c r="H578">
        <f ca="1"/>
        <v>0.208177</v>
      </c>
      <c r="I578">
        <f ca="1"/>
        <v>0</v>
      </c>
      <c r="J578">
        <f ca="1"/>
        <v>0</v>
      </c>
      <c r="K578">
        <f ca="1"/>
        <v>0</v>
      </c>
      <c r="L578">
        <f ca="1"/>
        <v>0</v>
      </c>
      <c r="M578">
        <f ca="1"/>
        <v>0.30399399999999999</v>
      </c>
      <c r="N578">
        <f ca="1"/>
        <v>0.51753199999999999</v>
      </c>
      <c r="O578">
        <f ca="1"/>
        <v>0.49</v>
      </c>
      <c r="P578">
        <f ca="1"/>
        <v>0</v>
      </c>
      <c r="Q578">
        <f ca="1"/>
        <v>0</v>
      </c>
      <c r="R578">
        <f ca="1"/>
        <v>0.30399399999999999</v>
      </c>
      <c r="S578">
        <f ca="1"/>
        <v>0.51753199999999999</v>
      </c>
      <c r="T578">
        <f ca="1"/>
        <v>0.49</v>
      </c>
      <c r="U578">
        <f ca="1"/>
        <v>0</v>
      </c>
      <c r="V578">
        <f ca="1"/>
        <v>0</v>
      </c>
    </row>
    <row r="579" spans="1:22" x14ac:dyDescent="0.3">
      <c r="A579" t="str">
        <f ca="1"/>
        <v>578</v>
      </c>
      <c r="B579" t="str">
        <f ca="1"/>
        <v>Rwamagana_HS2_15</v>
      </c>
      <c r="C579">
        <f ca="1"/>
        <v>0.957376</v>
      </c>
      <c r="D579">
        <f ca="1"/>
        <v>0.40905200000000003</v>
      </c>
      <c r="E579">
        <f ca="1"/>
        <v>0.01</v>
      </c>
      <c r="F579">
        <f ca="1"/>
        <v>0.56318299999999999</v>
      </c>
      <c r="G579">
        <f ca="1"/>
        <v>0.92228900000000003</v>
      </c>
      <c r="H579">
        <f ca="1"/>
        <v>0.30741299999999999</v>
      </c>
      <c r="I579">
        <f ca="1"/>
        <v>0</v>
      </c>
      <c r="J579">
        <f ca="1"/>
        <v>0</v>
      </c>
      <c r="K579">
        <f ca="1"/>
        <v>0.99822500000000003</v>
      </c>
      <c r="L579">
        <f ca="1"/>
        <v>0.28362700000000002</v>
      </c>
      <c r="M579">
        <f ca="1"/>
        <v>0.40373399999999998</v>
      </c>
      <c r="N579">
        <f ca="1"/>
        <v>0</v>
      </c>
      <c r="O579">
        <f ca="1"/>
        <v>0</v>
      </c>
      <c r="P579">
        <f ca="1"/>
        <v>0.98330600000000001</v>
      </c>
      <c r="Q579">
        <f ca="1"/>
        <v>0.82881800000000005</v>
      </c>
      <c r="R579">
        <f ca="1"/>
        <v>0.518926</v>
      </c>
      <c r="S579">
        <f ca="1"/>
        <v>0</v>
      </c>
      <c r="T579">
        <f ca="1"/>
        <v>0</v>
      </c>
      <c r="U579">
        <f ca="1"/>
        <v>0.99077999999999999</v>
      </c>
      <c r="V579">
        <f ca="1"/>
        <v>0.48375800000000002</v>
      </c>
    </row>
    <row r="580" spans="1:22" x14ac:dyDescent="0.3">
      <c r="A580" t="str">
        <f ca="1"/>
        <v>579</v>
      </c>
      <c r="B580" t="str">
        <f ca="1"/>
        <v>Rwamagana_HS3_15</v>
      </c>
      <c r="C580">
        <f ca="1"/>
        <v>1.388231</v>
      </c>
      <c r="D580">
        <f ca="1"/>
        <v>0.30499999999999999</v>
      </c>
      <c r="E580">
        <f ca="1"/>
        <v>0</v>
      </c>
      <c r="F580">
        <f ca="1"/>
        <v>0.40954800000000002</v>
      </c>
      <c r="G580">
        <f ca="1"/>
        <v>0.79692300000000005</v>
      </c>
      <c r="H580">
        <f ca="1"/>
        <v>0.481933</v>
      </c>
      <c r="I580">
        <f ca="1"/>
        <v>0</v>
      </c>
      <c r="J580">
        <f ca="1"/>
        <v>0</v>
      </c>
      <c r="K580">
        <f ca="1"/>
        <v>0.99535399999999996</v>
      </c>
      <c r="L580">
        <f ca="1"/>
        <v>7.0736999999999994E-2</v>
      </c>
      <c r="M580">
        <f ca="1"/>
        <v>0.65055399999999997</v>
      </c>
      <c r="N580">
        <f ca="1"/>
        <v>0</v>
      </c>
      <c r="O580">
        <f ca="1"/>
        <v>0</v>
      </c>
      <c r="P580">
        <f ca="1"/>
        <v>0.98562799999999995</v>
      </c>
      <c r="Q580">
        <f ca="1"/>
        <v>0.72222900000000001</v>
      </c>
      <c r="R580">
        <f ca="1"/>
        <v>1.053471</v>
      </c>
      <c r="S580">
        <f ca="1"/>
        <v>0.45405299999999998</v>
      </c>
      <c r="T580">
        <f ca="1"/>
        <v>0.54</v>
      </c>
      <c r="U580">
        <f ca="1"/>
        <v>0.64204000000000006</v>
      </c>
      <c r="V580">
        <f ca="1"/>
        <v>0.51220399999999999</v>
      </c>
    </row>
    <row r="581" spans="1:22" x14ac:dyDescent="0.3">
      <c r="A581" t="str">
        <f ca="1"/>
        <v>580</v>
      </c>
      <c r="B581" t="str">
        <f ca="1"/>
        <v>Rwamagana_HS4_15</v>
      </c>
      <c r="C581">
        <f ca="1"/>
        <v>0.80889800000000001</v>
      </c>
      <c r="D581">
        <f ca="1"/>
        <v>0.25059399999999998</v>
      </c>
      <c r="E581">
        <f ca="1"/>
        <v>0</v>
      </c>
      <c r="F581">
        <f ca="1"/>
        <v>0.48972900000000003</v>
      </c>
      <c r="G581">
        <f ca="1"/>
        <v>2.0695999999999999E-2</v>
      </c>
      <c r="H581">
        <f ca="1"/>
        <v>1.3209759999999999</v>
      </c>
      <c r="I581">
        <f ca="1"/>
        <v>0</v>
      </c>
      <c r="J581">
        <f ca="1"/>
        <v>0</v>
      </c>
      <c r="K581">
        <f ca="1"/>
        <v>0</v>
      </c>
      <c r="L581">
        <f ca="1"/>
        <v>0</v>
      </c>
      <c r="M581">
        <f ca="1"/>
        <v>0.47620400000000002</v>
      </c>
      <c r="N581">
        <f ca="1"/>
        <v>0</v>
      </c>
      <c r="O581">
        <f ca="1"/>
        <v>0</v>
      </c>
      <c r="P581">
        <f ca="1"/>
        <v>0.99158599999999997</v>
      </c>
      <c r="Q581">
        <f ca="1"/>
        <v>0.169546</v>
      </c>
      <c r="R581">
        <f ca="1"/>
        <v>0.53950399999999998</v>
      </c>
      <c r="S581">
        <f ca="1"/>
        <v>0</v>
      </c>
      <c r="T581">
        <f ca="1"/>
        <v>0</v>
      </c>
      <c r="U581">
        <f ca="1"/>
        <v>0.99264600000000003</v>
      </c>
      <c r="V581">
        <f ca="1"/>
        <v>4.6674E-2</v>
      </c>
    </row>
    <row r="582" spans="1:22" x14ac:dyDescent="0.3">
      <c r="A582" t="str">
        <f ca="1"/>
        <v>581</v>
      </c>
      <c r="B582" t="str">
        <f ca="1"/>
        <v>Rwamagana_HS5_15</v>
      </c>
      <c r="C582">
        <f ca="1"/>
        <v>0.44256000000000001</v>
      </c>
      <c r="D582">
        <f ca="1"/>
        <v>0</v>
      </c>
      <c r="E582">
        <f ca="1"/>
        <v>0</v>
      </c>
      <c r="F582">
        <f ca="1"/>
        <v>0.53204700000000005</v>
      </c>
      <c r="G582">
        <f ca="1"/>
        <v>0.44897999999999999</v>
      </c>
      <c r="H582">
        <f ca="1"/>
        <v>0.93733699999999998</v>
      </c>
      <c r="I582">
        <f ca="1"/>
        <v>0</v>
      </c>
      <c r="J582">
        <f ca="1"/>
        <v>0</v>
      </c>
      <c r="K582">
        <f ca="1"/>
        <v>0</v>
      </c>
      <c r="L582">
        <f ca="1"/>
        <v>0</v>
      </c>
      <c r="M582">
        <f ca="1"/>
        <v>0.33155200000000001</v>
      </c>
      <c r="N582">
        <f ca="1"/>
        <v>0</v>
      </c>
      <c r="O582">
        <f ca="1"/>
        <v>0</v>
      </c>
      <c r="P582">
        <f ca="1"/>
        <v>0.97497199999999995</v>
      </c>
      <c r="Q582">
        <f ca="1"/>
        <v>0.51312000000000002</v>
      </c>
      <c r="R582">
        <f ca="1"/>
        <v>0.38687300000000002</v>
      </c>
      <c r="S582">
        <f ca="1"/>
        <v>0</v>
      </c>
      <c r="T582">
        <f ca="1"/>
        <v>0</v>
      </c>
      <c r="U582">
        <f ca="1"/>
        <v>0.97981099999999999</v>
      </c>
      <c r="V582">
        <f ca="1"/>
        <v>0.170428</v>
      </c>
    </row>
    <row r="583" spans="1:22" x14ac:dyDescent="0.3">
      <c r="A583" t="str">
        <f ca="1"/>
        <v>582</v>
      </c>
      <c r="B583" t="str">
        <f ca="1"/>
        <v>Rwamagana_HS6_15</v>
      </c>
      <c r="C583">
        <f ca="1"/>
        <v>0.53423200000000004</v>
      </c>
      <c r="D583">
        <f ca="1"/>
        <v>0</v>
      </c>
      <c r="E583">
        <f ca="1"/>
        <v>0</v>
      </c>
      <c r="F583">
        <f ca="1"/>
        <v>9.6361000000000002E-2</v>
      </c>
      <c r="G583">
        <f ca="1"/>
        <v>0</v>
      </c>
      <c r="H583">
        <f ca="1"/>
        <v>0.54081400000000002</v>
      </c>
      <c r="I583">
        <f ca="1"/>
        <v>0</v>
      </c>
      <c r="J583">
        <f ca="1"/>
        <v>0</v>
      </c>
      <c r="K583">
        <f ca="1"/>
        <v>0</v>
      </c>
      <c r="L583">
        <f ca="1"/>
        <v>0</v>
      </c>
      <c r="M583">
        <f ca="1"/>
        <v>0.44144899999999998</v>
      </c>
      <c r="N583">
        <f ca="1"/>
        <v>0.52596900000000002</v>
      </c>
      <c r="O583">
        <f ca="1"/>
        <v>0.57999999999999996</v>
      </c>
      <c r="P583">
        <f ca="1"/>
        <v>0</v>
      </c>
      <c r="Q583">
        <f ca="1"/>
        <v>0</v>
      </c>
      <c r="R583">
        <f ca="1"/>
        <v>0.44144899999999998</v>
      </c>
      <c r="S583">
        <f ca="1"/>
        <v>0.52596900000000002</v>
      </c>
      <c r="T583">
        <f ca="1"/>
        <v>0.57999999999999996</v>
      </c>
      <c r="U583">
        <f ca="1"/>
        <v>0</v>
      </c>
      <c r="V583">
        <f ca="1"/>
        <v>0</v>
      </c>
    </row>
    <row r="584" spans="1:22" x14ac:dyDescent="0.3">
      <c r="A584" t="str">
        <f ca="1"/>
        <v>583</v>
      </c>
      <c r="B584" t="str">
        <f ca="1"/>
        <v>Rwamagana_HS7_15</v>
      </c>
      <c r="C584">
        <f ca="1"/>
        <v>0.59217600000000004</v>
      </c>
      <c r="D584">
        <f ca="1"/>
        <v>1.141057</v>
      </c>
      <c r="E584">
        <f ca="1"/>
        <v>0</v>
      </c>
      <c r="F584">
        <f ca="1"/>
        <v>0.458285</v>
      </c>
      <c r="G584">
        <f ca="1"/>
        <v>0</v>
      </c>
      <c r="H584">
        <f ca="1"/>
        <v>0.823214</v>
      </c>
      <c r="I584">
        <f ca="1"/>
        <v>0</v>
      </c>
      <c r="J584">
        <f ca="1"/>
        <v>0</v>
      </c>
      <c r="K584">
        <f ca="1"/>
        <v>0</v>
      </c>
      <c r="L584">
        <f ca="1"/>
        <v>0</v>
      </c>
      <c r="M584">
        <f ca="1"/>
        <v>0.45034299999999999</v>
      </c>
      <c r="N584">
        <f ca="1"/>
        <v>0</v>
      </c>
      <c r="O584">
        <f ca="1"/>
        <v>0</v>
      </c>
      <c r="P584">
        <f ca="1"/>
        <v>0.98065500000000005</v>
      </c>
      <c r="Q584">
        <f ca="1"/>
        <v>0</v>
      </c>
      <c r="R584">
        <f ca="1"/>
        <v>0.51686100000000001</v>
      </c>
      <c r="S584">
        <f ca="1"/>
        <v>0</v>
      </c>
      <c r="T584">
        <f ca="1"/>
        <v>0</v>
      </c>
      <c r="U584">
        <f ca="1"/>
        <v>0.98065500000000005</v>
      </c>
      <c r="V584">
        <f ca="1"/>
        <v>0</v>
      </c>
    </row>
    <row r="585" spans="1:22" x14ac:dyDescent="0.3">
      <c r="A585" t="str">
        <f ca="1"/>
        <v>584</v>
      </c>
      <c r="B585" t="str">
        <f ca="1"/>
        <v>Rwamagana_HS8_15</v>
      </c>
      <c r="C585">
        <f ca="1"/>
        <v>0.97629900000000003</v>
      </c>
      <c r="D585">
        <f ca="1"/>
        <v>0.42174499999999998</v>
      </c>
      <c r="E585">
        <f ca="1"/>
        <v>0</v>
      </c>
      <c r="F585">
        <f ca="1"/>
        <v>0.39691599999999999</v>
      </c>
      <c r="G585">
        <f ca="1"/>
        <v>0.88834999999999997</v>
      </c>
      <c r="H585">
        <f ca="1"/>
        <v>0.39396300000000001</v>
      </c>
      <c r="I585">
        <f ca="1"/>
        <v>0</v>
      </c>
      <c r="J585">
        <f ca="1"/>
        <v>0</v>
      </c>
      <c r="K585">
        <f ca="1"/>
        <v>0.99279399999999995</v>
      </c>
      <c r="L585">
        <f ca="1"/>
        <v>0.175815</v>
      </c>
      <c r="M585">
        <f ca="1"/>
        <v>0.39735599999999999</v>
      </c>
      <c r="N585">
        <f ca="1"/>
        <v>0</v>
      </c>
      <c r="O585">
        <f ca="1"/>
        <v>0</v>
      </c>
      <c r="P585">
        <f ca="1"/>
        <v>0.97680100000000003</v>
      </c>
      <c r="Q585">
        <f ca="1"/>
        <v>0.95485699999999996</v>
      </c>
      <c r="R585">
        <f ca="1"/>
        <v>0.56673300000000004</v>
      </c>
      <c r="S585">
        <f ca="1"/>
        <v>0</v>
      </c>
      <c r="T585">
        <f ca="1"/>
        <v>0</v>
      </c>
      <c r="U585">
        <f ca="1"/>
        <v>0.98501899999999998</v>
      </c>
      <c r="V585">
        <f ca="1"/>
        <v>0.63692800000000005</v>
      </c>
    </row>
    <row r="586" spans="1:22" x14ac:dyDescent="0.3">
      <c r="A586" t="str">
        <f ca="1"/>
        <v>585</v>
      </c>
      <c r="B586" t="str">
        <f ca="1"/>
        <v>Rwamagana_HS9_15</v>
      </c>
      <c r="C586">
        <f ca="1"/>
        <v>1.522548</v>
      </c>
      <c r="D586">
        <f ca="1"/>
        <v>0.49531500000000001</v>
      </c>
      <c r="E586">
        <f ca="1"/>
        <v>2.9719999999999998E-3</v>
      </c>
      <c r="F586">
        <f ca="1"/>
        <v>0.70012300000000005</v>
      </c>
      <c r="G586">
        <f ca="1"/>
        <v>0.98361100000000001</v>
      </c>
      <c r="H586">
        <f ca="1"/>
        <v>0.53691699999999998</v>
      </c>
      <c r="I586">
        <f ca="1"/>
        <v>0</v>
      </c>
      <c r="J586">
        <f ca="1"/>
        <v>0</v>
      </c>
      <c r="K586">
        <f ca="1"/>
        <v>0.99486300000000005</v>
      </c>
      <c r="L586">
        <f ca="1"/>
        <v>0.77277399999999996</v>
      </c>
      <c r="M586">
        <f ca="1"/>
        <v>0.51713500000000001</v>
      </c>
      <c r="N586">
        <f ca="1"/>
        <v>0</v>
      </c>
      <c r="O586">
        <f ca="1"/>
        <v>0</v>
      </c>
      <c r="P586">
        <f ca="1"/>
        <v>0.973576</v>
      </c>
      <c r="Q586">
        <f ca="1"/>
        <v>0.98721199999999998</v>
      </c>
      <c r="R586">
        <f ca="1"/>
        <v>0.71517699999999995</v>
      </c>
      <c r="S586">
        <f ca="1"/>
        <v>0</v>
      </c>
      <c r="T586">
        <f ca="1"/>
        <v>0</v>
      </c>
      <c r="U586">
        <f ca="1"/>
        <v>0.99541199999999996</v>
      </c>
      <c r="V586">
        <f ca="1"/>
        <v>0.88814400000000004</v>
      </c>
    </row>
    <row r="587" spans="1:22" x14ac:dyDescent="0.3">
      <c r="A587" t="str">
        <f ca="1"/>
        <v>586</v>
      </c>
      <c r="B587" t="str">
        <f ca="1"/>
        <v>Rwinkwavu_15</v>
      </c>
      <c r="C587">
        <f ca="1"/>
        <v>0.80055500000000002</v>
      </c>
      <c r="D587">
        <f ca="1"/>
        <v>0</v>
      </c>
      <c r="E587">
        <f ca="1"/>
        <v>0</v>
      </c>
      <c r="F587">
        <f ca="1"/>
        <v>0.22223000000000001</v>
      </c>
      <c r="G587">
        <f ca="1"/>
        <v>0.42342299999999999</v>
      </c>
      <c r="H587">
        <f ca="1"/>
        <v>1.246969</v>
      </c>
      <c r="I587">
        <f ca="1"/>
        <v>0</v>
      </c>
      <c r="J587">
        <f ca="1"/>
        <v>0</v>
      </c>
      <c r="K587">
        <f ca="1"/>
        <v>0</v>
      </c>
      <c r="L587">
        <f ca="1"/>
        <v>0</v>
      </c>
      <c r="M587">
        <f ca="1"/>
        <v>0.45960899999999999</v>
      </c>
      <c r="N587">
        <f ca="1"/>
        <v>0</v>
      </c>
      <c r="O587">
        <f ca="1"/>
        <v>0</v>
      </c>
      <c r="P587">
        <f ca="1"/>
        <v>0.99395699999999998</v>
      </c>
      <c r="Q587">
        <f ca="1"/>
        <v>0.362817</v>
      </c>
      <c r="R587">
        <f ca="1"/>
        <v>0.71470699999999998</v>
      </c>
      <c r="S587">
        <f ca="1"/>
        <v>0.38034800000000002</v>
      </c>
      <c r="T587">
        <f ca="1"/>
        <v>0.55000000000000004</v>
      </c>
      <c r="U587">
        <f ca="1"/>
        <v>0.59532200000000002</v>
      </c>
      <c r="V587">
        <f ca="1"/>
        <v>0.10953300000000001</v>
      </c>
    </row>
    <row r="588" spans="1:22" x14ac:dyDescent="0.3">
      <c r="A588" t="str">
        <f ca="1"/>
        <v>587</v>
      </c>
      <c r="B588" t="str">
        <f ca="1"/>
        <v>Shango_15</v>
      </c>
      <c r="C588">
        <f ca="1"/>
        <v>0.56901900000000005</v>
      </c>
      <c r="D588">
        <f ca="1"/>
        <v>0.46187800000000001</v>
      </c>
      <c r="E588">
        <f ca="1"/>
        <v>8.6090000000000003E-3</v>
      </c>
      <c r="F588">
        <f ca="1"/>
        <v>0.32657599999999998</v>
      </c>
      <c r="G588">
        <f ca="1"/>
        <v>0.38076900000000002</v>
      </c>
      <c r="H588">
        <f ca="1"/>
        <v>0.20974200000000001</v>
      </c>
      <c r="I588">
        <f ca="1"/>
        <v>0</v>
      </c>
      <c r="J588">
        <f ca="1"/>
        <v>0</v>
      </c>
      <c r="K588">
        <f ca="1"/>
        <v>0.98912699999999998</v>
      </c>
      <c r="L588">
        <f ca="1"/>
        <v>2.0990000000000002E-2</v>
      </c>
      <c r="M588">
        <f ca="1"/>
        <v>0.32978499999999999</v>
      </c>
      <c r="N588">
        <f ca="1"/>
        <v>0</v>
      </c>
      <c r="O588">
        <f ca="1"/>
        <v>0</v>
      </c>
      <c r="P588">
        <f ca="1"/>
        <v>0.98366100000000001</v>
      </c>
      <c r="Q588">
        <f ca="1"/>
        <v>0.60093600000000003</v>
      </c>
      <c r="R588">
        <f ca="1"/>
        <v>0.41387600000000002</v>
      </c>
      <c r="S588">
        <f ca="1"/>
        <v>0</v>
      </c>
      <c r="T588">
        <f ca="1"/>
        <v>0</v>
      </c>
      <c r="U588">
        <f ca="1"/>
        <v>0.97808099999999998</v>
      </c>
      <c r="V588">
        <f ca="1"/>
        <v>0.166216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42259-B432-467C-A796-04B045E3A061}">
  <sheetPr codeName="Sheet68"/>
  <dimension ref="A1:Q31"/>
  <sheetViews>
    <sheetView workbookViewId="0">
      <selection activeCell="A2" sqref="A2"/>
    </sheetView>
  </sheetViews>
  <sheetFormatPr defaultColWidth="5.6640625" defaultRowHeight="14.4" x14ac:dyDescent="0.3"/>
  <cols>
    <col min="1" max="19" width="13.77734375" customWidth="1"/>
  </cols>
  <sheetData>
    <row r="1" spans="1:17" x14ac:dyDescent="0.3">
      <c r="A1" s="139" t="s">
        <v>1918</v>
      </c>
      <c r="B1" s="139" t="s">
        <v>1303</v>
      </c>
      <c r="C1" s="139" t="s">
        <v>1309</v>
      </c>
      <c r="D1" s="138" t="s">
        <v>1310</v>
      </c>
      <c r="E1" s="138" t="s">
        <v>1919</v>
      </c>
      <c r="F1" t="s">
        <v>1314</v>
      </c>
      <c r="G1" t="s">
        <v>1315</v>
      </c>
      <c r="H1" t="s">
        <v>1920</v>
      </c>
      <c r="I1" t="s">
        <v>1319</v>
      </c>
      <c r="J1" t="s">
        <v>1320</v>
      </c>
      <c r="K1" t="s">
        <v>1921</v>
      </c>
      <c r="L1" t="s">
        <v>1922</v>
      </c>
      <c r="M1" t="s">
        <v>1923</v>
      </c>
      <c r="N1" t="s">
        <v>1924</v>
      </c>
      <c r="O1" t="s">
        <v>1925</v>
      </c>
      <c r="P1" t="s">
        <v>1926</v>
      </c>
      <c r="Q1" t="s">
        <v>1927</v>
      </c>
    </row>
    <row r="2" spans="1:17" x14ac:dyDescent="0.3">
      <c r="A2" cm="1">
        <f t="array" aca="1" ref="A2:Q31" ca="1">OFFSET('LPG1'!$B$18,1,0,'LPG1'!$C$14,17)</f>
        <v>30</v>
      </c>
      <c r="B2" t="str">
        <f ca="1"/>
        <v>Bugesera</v>
      </c>
      <c r="C2">
        <f ca="1"/>
        <v>9.8244953963570442E-2</v>
      </c>
      <c r="D2">
        <f ca="1"/>
        <v>7.0483252167283448</v>
      </c>
      <c r="E2">
        <f ca="1"/>
        <v>2</v>
      </c>
      <c r="F2">
        <f ca="1"/>
        <v>0.20722924533380815</v>
      </c>
      <c r="G2">
        <f ca="1"/>
        <v>9.8033186891571749</v>
      </c>
      <c r="H2">
        <f ca="1"/>
        <v>2</v>
      </c>
      <c r="I2">
        <f ca="1"/>
        <v>0.27416890918369696</v>
      </c>
      <c r="J2">
        <f ca="1"/>
        <v>16.836256779607545</v>
      </c>
      <c r="K2">
        <f ca="1"/>
        <v>2</v>
      </c>
      <c r="L2">
        <f ca="1"/>
        <v>0.89986755729502577</v>
      </c>
      <c r="M2">
        <f ca="1"/>
        <v>0.56462791175420568</v>
      </c>
      <c r="N2">
        <f ca="1"/>
        <v>196.18790676329149</v>
      </c>
      <c r="O2">
        <f ca="1"/>
        <v>31.7</v>
      </c>
      <c r="P2">
        <f ca="1"/>
        <v>30.6</v>
      </c>
      <c r="Q2">
        <f ca="1"/>
        <v>133.88790676329148</v>
      </c>
    </row>
    <row r="3" spans="1:17" x14ac:dyDescent="0.3">
      <c r="A3">
        <f ca="1"/>
        <v>26</v>
      </c>
      <c r="B3" t="str">
        <f ca="1"/>
        <v>Gatsibo</v>
      </c>
      <c r="C3">
        <f ca="1"/>
        <v>3.6807562907823888E-2</v>
      </c>
      <c r="D3">
        <f ca="1"/>
        <v>1.9689148054494232</v>
      </c>
      <c r="E3">
        <f ca="1"/>
        <v>2</v>
      </c>
      <c r="F3">
        <f ca="1"/>
        <v>0.41275962433432106</v>
      </c>
      <c r="G3">
        <f ca="1"/>
        <v>14.399157361404844</v>
      </c>
      <c r="H3">
        <f ca="1"/>
        <v>2</v>
      </c>
      <c r="I3">
        <f ca="1"/>
        <v>0.4293784365033686</v>
      </c>
      <c r="J3">
        <f ca="1"/>
        <v>16.35855304987891</v>
      </c>
      <c r="K3">
        <f ca="1"/>
        <v>2</v>
      </c>
      <c r="L3">
        <f ca="1"/>
        <v>0.48377177304206703</v>
      </c>
      <c r="M3">
        <f ca="1"/>
        <v>0.56591646888778868</v>
      </c>
      <c r="N3">
        <f ca="1"/>
        <v>378.80144770455115</v>
      </c>
      <c r="O3">
        <f ca="1"/>
        <v>79.5</v>
      </c>
      <c r="P3">
        <f ca="1"/>
        <v>51.7</v>
      </c>
      <c r="Q3">
        <f ca="1"/>
        <v>247.60144770455113</v>
      </c>
    </row>
    <row r="4" spans="1:17" x14ac:dyDescent="0.3">
      <c r="A4">
        <f ca="1"/>
        <v>27</v>
      </c>
      <c r="B4" t="str">
        <f ca="1"/>
        <v>Kayonza</v>
      </c>
      <c r="C4">
        <f ca="1"/>
        <v>3.7051199443365136E-2</v>
      </c>
      <c r="D4">
        <f ca="1"/>
        <v>2.0726604589817508</v>
      </c>
      <c r="E4">
        <f ca="1"/>
        <v>2</v>
      </c>
      <c r="F4">
        <f ca="1"/>
        <v>0.32550377622218785</v>
      </c>
      <c r="G4">
        <f ca="1"/>
        <v>11.673920668913953</v>
      </c>
      <c r="H4">
        <f ca="1"/>
        <v>2</v>
      </c>
      <c r="I4">
        <f ca="1"/>
        <v>0.34806929471876563</v>
      </c>
      <c r="J4">
        <f ca="1"/>
        <v>13.737105871886943</v>
      </c>
      <c r="K4">
        <f ca="1"/>
        <v>2</v>
      </c>
      <c r="L4">
        <f ca="1"/>
        <v>0.40742138809532163</v>
      </c>
      <c r="M4">
        <f ca="1"/>
        <v>0.46861505644449153</v>
      </c>
      <c r="N4">
        <f ca="1"/>
        <v>315.79843177197642</v>
      </c>
      <c r="O4">
        <f ca="1"/>
        <v>79.5</v>
      </c>
      <c r="P4">
        <f ca="1"/>
        <v>2.5</v>
      </c>
      <c r="Q4">
        <f ca="1"/>
        <v>233.79843177197642</v>
      </c>
    </row>
    <row r="5" spans="1:17" x14ac:dyDescent="0.3">
      <c r="A5">
        <f ca="1"/>
        <v>28</v>
      </c>
      <c r="B5" t="str">
        <f ca="1"/>
        <v>Kirehe</v>
      </c>
      <c r="C5">
        <f ca="1"/>
        <v>2.5883300292734713E-2</v>
      </c>
      <c r="D5">
        <f ca="1"/>
        <v>1.2836685319042969</v>
      </c>
      <c r="E5">
        <f ca="1"/>
        <v>2</v>
      </c>
      <c r="F5">
        <f ca="1"/>
        <v>0.37221456342398956</v>
      </c>
      <c r="G5">
        <f ca="1"/>
        <v>12.551068264509276</v>
      </c>
      <c r="H5">
        <f ca="1"/>
        <v>2</v>
      </c>
      <c r="I5">
        <f ca="1"/>
        <v>0.38482870500588684</v>
      </c>
      <c r="J5">
        <f ca="1"/>
        <v>13.82627812521012</v>
      </c>
      <c r="K5">
        <f ca="1"/>
        <v>2</v>
      </c>
      <c r="L5">
        <f ca="1"/>
        <v>0.40848563802331611</v>
      </c>
      <c r="M5">
        <f ca="1"/>
        <v>0.48613508862808424</v>
      </c>
      <c r="N5">
        <f ca="1"/>
        <v>404.38149097273913</v>
      </c>
      <c r="O5">
        <f ca="1"/>
        <v>79.5</v>
      </c>
      <c r="P5">
        <f ca="1"/>
        <v>64.400000000000006</v>
      </c>
      <c r="Q5">
        <f ca="1"/>
        <v>260.4814909727391</v>
      </c>
    </row>
    <row r="6" spans="1:17" x14ac:dyDescent="0.3">
      <c r="A6">
        <f ca="1"/>
        <v>29</v>
      </c>
      <c r="B6" t="str">
        <f ca="1"/>
        <v>Ngoma</v>
      </c>
      <c r="C6">
        <f ca="1"/>
        <v>2.5824136265013883E-2</v>
      </c>
      <c r="D6">
        <f ca="1"/>
        <v>1.1014479437112839</v>
      </c>
      <c r="E6">
        <f ca="1"/>
        <v>2</v>
      </c>
      <c r="F6">
        <f ca="1"/>
        <v>0.33206543018443946</v>
      </c>
      <c r="G6">
        <f ca="1"/>
        <v>11.212490991182618</v>
      </c>
      <c r="H6">
        <f ca="1"/>
        <v>2</v>
      </c>
      <c r="I6">
        <f ca="1"/>
        <v>0.34376364800547787</v>
      </c>
      <c r="J6">
        <f ca="1"/>
        <v>12.305834424479134</v>
      </c>
      <c r="K6">
        <f ca="1"/>
        <v>2</v>
      </c>
      <c r="L6">
        <f ca="1"/>
        <v>0.37453198287437617</v>
      </c>
      <c r="M6">
        <f ca="1"/>
        <v>0.42872075241101609</v>
      </c>
      <c r="N6">
        <f ca="1"/>
        <v>378.97375395817789</v>
      </c>
      <c r="O6">
        <f ca="1"/>
        <v>79.5</v>
      </c>
      <c r="P6">
        <f ca="1"/>
        <v>37.4</v>
      </c>
      <c r="Q6">
        <f ca="1"/>
        <v>262.07375395817792</v>
      </c>
    </row>
    <row r="7" spans="1:17" x14ac:dyDescent="0.3">
      <c r="A7">
        <f ca="1"/>
        <v>25</v>
      </c>
      <c r="B7" t="str">
        <f ca="1"/>
        <v>Nyagatare</v>
      </c>
      <c r="C7">
        <f ca="1"/>
        <v>6.5577478956252239E-2</v>
      </c>
      <c r="D7">
        <f ca="1"/>
        <v>4.4120282144620271</v>
      </c>
      <c r="E7">
        <f ca="1"/>
        <v>2</v>
      </c>
      <c r="F7">
        <f ca="1"/>
        <v>0.36439639694826481</v>
      </c>
      <c r="G7">
        <f ca="1"/>
        <v>14.385203606603374</v>
      </c>
      <c r="H7">
        <f ca="1"/>
        <v>2</v>
      </c>
      <c r="I7">
        <f ca="1"/>
        <v>0.40877188801235936</v>
      </c>
      <c r="J7">
        <f ca="1"/>
        <v>18.785932432643186</v>
      </c>
      <c r="K7">
        <f ca="1"/>
        <v>2</v>
      </c>
      <c r="L7">
        <f ca="1"/>
        <v>0.55792997073555772</v>
      </c>
      <c r="M7">
        <f ca="1"/>
        <v>0.65487767803746444</v>
      </c>
      <c r="N7">
        <f ca="1"/>
        <v>366.3939823716355</v>
      </c>
      <c r="O7">
        <f ca="1"/>
        <v>79.5</v>
      </c>
      <c r="P7">
        <f ca="1"/>
        <v>88.5</v>
      </c>
      <c r="Q7">
        <f ca="1"/>
        <v>198.3939823716355</v>
      </c>
    </row>
    <row r="8" spans="1:17" x14ac:dyDescent="0.3">
      <c r="A8">
        <f ca="1"/>
        <v>24</v>
      </c>
      <c r="B8" t="str">
        <f ca="1"/>
        <v>Rwamagana</v>
      </c>
      <c r="C8">
        <f ca="1"/>
        <v>7.9469143032718945E-2</v>
      </c>
      <c r="D8">
        <f ca="1"/>
        <v>5.478445294375069</v>
      </c>
      <c r="E8">
        <f ca="1"/>
        <v>2</v>
      </c>
      <c r="F8">
        <f ca="1"/>
        <v>0.21377380520706013</v>
      </c>
      <c r="G8">
        <f ca="1"/>
        <v>9.5372446830454116</v>
      </c>
      <c r="H8">
        <f ca="1"/>
        <v>2</v>
      </c>
      <c r="I8">
        <f ca="1"/>
        <v>0.26909472188683486</v>
      </c>
      <c r="J8">
        <f ca="1"/>
        <v>15.00177307899594</v>
      </c>
      <c r="K8">
        <f ca="1"/>
        <v>2</v>
      </c>
      <c r="L8">
        <f ca="1"/>
        <v>0.45285667713636152</v>
      </c>
      <c r="M8">
        <f ca="1"/>
        <v>0.51339206562926332</v>
      </c>
      <c r="N8">
        <f ca="1"/>
        <v>244.31663551655737</v>
      </c>
      <c r="O8">
        <f ca="1"/>
        <v>79.5</v>
      </c>
      <c r="P8">
        <f ca="1"/>
        <v>14</v>
      </c>
      <c r="Q8">
        <f ca="1"/>
        <v>150.81663551655737</v>
      </c>
    </row>
    <row r="9" spans="1:17" x14ac:dyDescent="0.3">
      <c r="A9">
        <f ca="1"/>
        <v>2</v>
      </c>
      <c r="B9" t="str">
        <f ca="1"/>
        <v>Gasabo</v>
      </c>
      <c r="C9">
        <f ca="1"/>
        <v>0.42252706949480096</v>
      </c>
      <c r="D9">
        <f ca="1"/>
        <v>24.976028517898197</v>
      </c>
      <c r="E9">
        <f ca="1"/>
        <v>2</v>
      </c>
      <c r="F9">
        <f ca="1"/>
        <v>8.1878361440349129E-2</v>
      </c>
      <c r="G9">
        <f ca="1"/>
        <v>5.0943258885717597</v>
      </c>
      <c r="H9">
        <f ca="1"/>
        <v>2</v>
      </c>
      <c r="I9">
        <f ca="1"/>
        <v>0.52428437547221352</v>
      </c>
      <c r="J9">
        <f ca="1"/>
        <v>30.076886214477387</v>
      </c>
      <c r="K9">
        <f ca="1"/>
        <v>2</v>
      </c>
      <c r="L9">
        <f ca="1"/>
        <v>1.771106198018529</v>
      </c>
      <c r="M9">
        <f ca="1"/>
        <v>1.1622949635689324</v>
      </c>
      <c r="N9">
        <f ca="1"/>
        <v>97.669728958421501</v>
      </c>
      <c r="O9">
        <f ca="1"/>
        <v>31.4</v>
      </c>
      <c r="P9">
        <f ca="1"/>
        <v>13.4</v>
      </c>
      <c r="Q9">
        <f ca="1"/>
        <v>52.869728958421504</v>
      </c>
    </row>
    <row r="10" spans="1:17" x14ac:dyDescent="0.3">
      <c r="A10">
        <f ca="1"/>
        <v>3</v>
      </c>
      <c r="B10" t="str">
        <f ca="1"/>
        <v>Kicukiro</v>
      </c>
      <c r="C10">
        <f ca="1"/>
        <v>0.28596107353999201</v>
      </c>
      <c r="D10">
        <f ca="1"/>
        <v>16.273839722387592</v>
      </c>
      <c r="E10">
        <f ca="1"/>
        <v>2</v>
      </c>
      <c r="F10">
        <f ca="1"/>
        <v>2.0238636795672848E-2</v>
      </c>
      <c r="G10">
        <f ca="1"/>
        <v>0.15430852520308563</v>
      </c>
      <c r="H10">
        <f ca="1"/>
        <v>2</v>
      </c>
      <c r="I10">
        <f ca="1"/>
        <v>0.29263824211394712</v>
      </c>
      <c r="J10">
        <f ca="1"/>
        <v>16.42593745100698</v>
      </c>
      <c r="K10">
        <f ca="1"/>
        <v>2</v>
      </c>
      <c r="L10">
        <f ca="1"/>
        <v>0.90050763046508386</v>
      </c>
      <c r="M10">
        <f ca="1"/>
        <v>0.64055608217813897</v>
      </c>
      <c r="N10">
        <f ca="1"/>
        <v>89.545909117492243</v>
      </c>
      <c r="O10">
        <f ca="1"/>
        <v>31.7</v>
      </c>
      <c r="P10">
        <f ca="1"/>
        <v>12.8</v>
      </c>
      <c r="Q10">
        <f ca="1"/>
        <v>45.045909117492251</v>
      </c>
    </row>
    <row r="11" spans="1:17" x14ac:dyDescent="0.3">
      <c r="A11">
        <f ca="1"/>
        <v>1</v>
      </c>
      <c r="B11" t="str">
        <f ca="1"/>
        <v>Nyarugenge</v>
      </c>
      <c r="C11">
        <f ca="1"/>
        <v>0.19850380273057178</v>
      </c>
      <c r="D11">
        <f ca="1"/>
        <v>11.288180644789575</v>
      </c>
      <c r="E11">
        <f ca="1"/>
        <v>2</v>
      </c>
      <c r="F11">
        <f ca="1"/>
        <v>3.723516948753821E-2</v>
      </c>
      <c r="G11">
        <f ca="1"/>
        <v>1.905383949917433</v>
      </c>
      <c r="H11">
        <f ca="1"/>
        <v>2</v>
      </c>
      <c r="I11">
        <f ca="1"/>
        <v>0.24017384198493125</v>
      </c>
      <c r="J11">
        <f ca="1"/>
        <v>13.190514366634757</v>
      </c>
      <c r="K11">
        <f ca="1"/>
        <v>2</v>
      </c>
      <c r="L11">
        <f ca="1"/>
        <v>0.67798066719097294</v>
      </c>
      <c r="M11">
        <f ca="1"/>
        <v>0.5079415317539977</v>
      </c>
      <c r="N11">
        <f ca="1"/>
        <v>63.742585555628594</v>
      </c>
      <c r="O11">
        <f ca="1"/>
        <v>0</v>
      </c>
      <c r="P11">
        <f ca="1"/>
        <v>13</v>
      </c>
      <c r="Q11">
        <f ca="1"/>
        <v>50.742585555628594</v>
      </c>
    </row>
    <row r="12" spans="1:17" x14ac:dyDescent="0.3">
      <c r="A12">
        <f ca="1"/>
        <v>22</v>
      </c>
      <c r="B12" t="str">
        <f ca="1"/>
        <v>Burera</v>
      </c>
      <c r="C12">
        <f ca="1"/>
        <v>2.5918384469405625E-2</v>
      </c>
      <c r="D12">
        <f ca="1"/>
        <v>1.1616314883339909</v>
      </c>
      <c r="E12">
        <f ca="1"/>
        <v>2</v>
      </c>
      <c r="F12">
        <f ca="1"/>
        <v>0.33539872904340101</v>
      </c>
      <c r="G12">
        <f ca="1"/>
        <v>10.035549583796525</v>
      </c>
      <c r="H12">
        <f ca="1"/>
        <v>2</v>
      </c>
      <c r="I12">
        <f ca="1"/>
        <v>0.34807731310483375</v>
      </c>
      <c r="J12">
        <f ca="1"/>
        <v>11.188247527876591</v>
      </c>
      <c r="K12">
        <f ca="1"/>
        <v>2</v>
      </c>
      <c r="L12">
        <f ca="1"/>
        <v>0.35708877235279379</v>
      </c>
      <c r="M12">
        <f ca="1"/>
        <v>0.45297588443089598</v>
      </c>
      <c r="N12">
        <f ca="1"/>
        <v>411.18107556392226</v>
      </c>
      <c r="O12">
        <f ca="1"/>
        <v>107</v>
      </c>
      <c r="P12">
        <f ca="1"/>
        <v>48.9</v>
      </c>
      <c r="Q12">
        <f ca="1"/>
        <v>255.28107556392226</v>
      </c>
    </row>
    <row r="13" spans="1:17" x14ac:dyDescent="0.3">
      <c r="A13">
        <f ca="1"/>
        <v>20</v>
      </c>
      <c r="B13" t="str">
        <f ca="1"/>
        <v>Gakenke</v>
      </c>
      <c r="C13">
        <f ca="1"/>
        <v>2.028979838421973E-2</v>
      </c>
      <c r="D13">
        <f ca="1"/>
        <v>0.42604114939336263</v>
      </c>
      <c r="E13">
        <f ca="1"/>
        <v>2</v>
      </c>
      <c r="F13">
        <f ca="1"/>
        <v>0.38480525309599678</v>
      </c>
      <c r="G13">
        <f ca="1"/>
        <v>10.854127184596383</v>
      </c>
      <c r="H13">
        <f ca="1"/>
        <v>2</v>
      </c>
      <c r="I13">
        <f ca="1"/>
        <v>0.3876373115030497</v>
      </c>
      <c r="J13">
        <f ca="1"/>
        <v>11.274083328660177</v>
      </c>
      <c r="K13">
        <f ca="1"/>
        <v>2</v>
      </c>
      <c r="L13">
        <f ca="1"/>
        <v>0.35814302112447205</v>
      </c>
      <c r="M13">
        <f ca="1"/>
        <v>0.45444421864125673</v>
      </c>
      <c r="N13">
        <f ca="1"/>
        <v>438.54489968349765</v>
      </c>
      <c r="O13">
        <f ca="1"/>
        <v>107</v>
      </c>
      <c r="P13">
        <f ca="1"/>
        <v>44.1</v>
      </c>
      <c r="Q13">
        <f ca="1"/>
        <v>287.44489968349762</v>
      </c>
    </row>
    <row r="14" spans="1:17" x14ac:dyDescent="0.3">
      <c r="A14">
        <f ca="1"/>
        <v>23</v>
      </c>
      <c r="B14" t="str">
        <f ca="1"/>
        <v>Gicumbi</v>
      </c>
      <c r="C14">
        <f ca="1"/>
        <v>2.0260988102165804E-2</v>
      </c>
      <c r="D14">
        <f ca="1"/>
        <v>0.33189164050137698</v>
      </c>
      <c r="E14">
        <f ca="1"/>
        <v>2</v>
      </c>
      <c r="F14">
        <f ca="1"/>
        <v>0.43463573090968294</v>
      </c>
      <c r="G14">
        <f ca="1"/>
        <v>12.385056760297909</v>
      </c>
      <c r="H14">
        <f ca="1"/>
        <v>2</v>
      </c>
      <c r="I14">
        <f ca="1"/>
        <v>0.44213170090935733</v>
      </c>
      <c r="J14">
        <f ca="1"/>
        <v>12.712574105898835</v>
      </c>
      <c r="K14">
        <f ca="1"/>
        <v>2</v>
      </c>
      <c r="L14">
        <f ca="1"/>
        <v>0.65962816890369591</v>
      </c>
      <c r="M14">
        <f ca="1"/>
        <v>0.48055086370679589</v>
      </c>
      <c r="N14">
        <f ca="1"/>
        <v>342.26316953480199</v>
      </c>
      <c r="O14">
        <f ca="1"/>
        <v>0</v>
      </c>
      <c r="P14">
        <f ca="1"/>
        <v>48.9</v>
      </c>
      <c r="Q14">
        <f ca="1"/>
        <v>293.36316953480201</v>
      </c>
    </row>
    <row r="15" spans="1:17" x14ac:dyDescent="0.3">
      <c r="A15">
        <f ca="1"/>
        <v>21</v>
      </c>
      <c r="B15" t="str">
        <f ca="1"/>
        <v>Musanze</v>
      </c>
      <c r="C15">
        <f ca="1"/>
        <v>0.1183140428981742</v>
      </c>
      <c r="D15">
        <f ca="1"/>
        <v>7.4387808972451381</v>
      </c>
      <c r="E15">
        <f ca="1"/>
        <v>2</v>
      </c>
      <c r="F15">
        <f ca="1"/>
        <v>0.15984499354979728</v>
      </c>
      <c r="G15">
        <f ca="1"/>
        <v>7.2740887818460207</v>
      </c>
      <c r="H15">
        <f ca="1"/>
        <v>2</v>
      </c>
      <c r="I15">
        <f ca="1"/>
        <v>0.24750401819171144</v>
      </c>
      <c r="J15">
        <f ca="1"/>
        <v>14.698456790075864</v>
      </c>
      <c r="K15">
        <f ca="1"/>
        <v>2</v>
      </c>
      <c r="L15">
        <f ca="1"/>
        <v>0.47826084608434755</v>
      </c>
      <c r="M15">
        <f ca="1"/>
        <v>0.57514688398452241</v>
      </c>
      <c r="N15">
        <f ca="1"/>
        <v>226.54872321971098</v>
      </c>
      <c r="O15">
        <f ca="1"/>
        <v>107</v>
      </c>
      <c r="P15">
        <f ca="1"/>
        <v>10.199999999999999</v>
      </c>
      <c r="Q15">
        <f ca="1"/>
        <v>109.34872321971098</v>
      </c>
    </row>
    <row r="16" spans="1:17" x14ac:dyDescent="0.3">
      <c r="A16">
        <f ca="1"/>
        <v>19</v>
      </c>
      <c r="B16" t="str">
        <f ca="1"/>
        <v>Rulindo</v>
      </c>
      <c r="C16">
        <f ca="1"/>
        <v>3.1337826595010818E-2</v>
      </c>
      <c r="D16">
        <f ca="1"/>
        <v>1.2944795978223727</v>
      </c>
      <c r="E16">
        <f ca="1"/>
        <v>2</v>
      </c>
      <c r="F16">
        <f ca="1"/>
        <v>0.3318626466316712</v>
      </c>
      <c r="G16">
        <f ca="1"/>
        <v>9.9649126310598941</v>
      </c>
      <c r="H16">
        <f ca="1"/>
        <v>2</v>
      </c>
      <c r="I16">
        <f ca="1"/>
        <v>0.34597948879985435</v>
      </c>
      <c r="J16">
        <f ca="1"/>
        <v>11.250425903406429</v>
      </c>
      <c r="K16">
        <f ca="1"/>
        <v>2</v>
      </c>
      <c r="L16">
        <f ca="1"/>
        <v>0.57085968830045053</v>
      </c>
      <c r="M16">
        <f ca="1"/>
        <v>0.42177217029505043</v>
      </c>
      <c r="N16">
        <f ca="1"/>
        <v>280.42724631295982</v>
      </c>
      <c r="O16">
        <f ca="1"/>
        <v>0</v>
      </c>
      <c r="P16">
        <f ca="1"/>
        <v>30.4</v>
      </c>
      <c r="Q16">
        <f ca="1"/>
        <v>250.02724631295985</v>
      </c>
    </row>
    <row r="17" spans="1:17" x14ac:dyDescent="0.3">
      <c r="A17">
        <f ca="1"/>
        <v>12</v>
      </c>
      <c r="B17" t="str">
        <f ca="1"/>
        <v>Karongi</v>
      </c>
      <c r="C17">
        <f ca="1"/>
        <v>2.5799673106126974E-2</v>
      </c>
      <c r="D17">
        <f ca="1"/>
        <v>0.97824334251617362</v>
      </c>
      <c r="E17">
        <f ca="1"/>
        <v>2</v>
      </c>
      <c r="F17">
        <f ca="1"/>
        <v>0.31910914635135496</v>
      </c>
      <c r="G17">
        <f ca="1"/>
        <v>9.9770192653725029</v>
      </c>
      <c r="H17">
        <f ca="1"/>
        <v>2</v>
      </c>
      <c r="I17">
        <f ca="1"/>
        <v>0.33032758801604223</v>
      </c>
      <c r="J17">
        <f ca="1"/>
        <v>10.947017655424132</v>
      </c>
      <c r="K17">
        <f ca="1"/>
        <v>2</v>
      </c>
      <c r="L17">
        <f ca="1"/>
        <v>0.32228832955171471</v>
      </c>
      <c r="M17">
        <f ca="1"/>
        <v>0.42086073253095663</v>
      </c>
      <c r="N17">
        <f ca="1"/>
        <v>401.83713863205458</v>
      </c>
      <c r="O17">
        <f ca="1"/>
        <v>56.2</v>
      </c>
      <c r="P17">
        <f ca="1"/>
        <v>83.5</v>
      </c>
      <c r="Q17">
        <f ca="1"/>
        <v>262.13713863205459</v>
      </c>
    </row>
    <row r="18" spans="1:17" x14ac:dyDescent="0.3">
      <c r="A18">
        <f ca="1"/>
        <v>16</v>
      </c>
      <c r="B18" t="str">
        <f ca="1"/>
        <v>Ngororero</v>
      </c>
      <c r="C18">
        <f ca="1"/>
        <v>2.0307918818241785E-2</v>
      </c>
      <c r="D18">
        <f ca="1"/>
        <v>0.50078440009647229</v>
      </c>
      <c r="E18">
        <f ca="1"/>
        <v>2</v>
      </c>
      <c r="F18">
        <f ca="1"/>
        <v>0.354651272909418</v>
      </c>
      <c r="G18">
        <f ca="1"/>
        <v>10.515656056239902</v>
      </c>
      <c r="H18">
        <f ca="1"/>
        <v>2</v>
      </c>
      <c r="I18">
        <f ca="1"/>
        <v>0.35783802664452213</v>
      </c>
      <c r="J18">
        <f ca="1"/>
        <v>11.009913611274225</v>
      </c>
      <c r="K18">
        <f ca="1"/>
        <v>2</v>
      </c>
      <c r="L18">
        <f ca="1"/>
        <v>0.32293420196929112</v>
      </c>
      <c r="M18">
        <f ca="1"/>
        <v>0.41477670916257342</v>
      </c>
      <c r="N18">
        <f ca="1"/>
        <v>389.18621476151804</v>
      </c>
      <c r="O18">
        <f ca="1"/>
        <v>56.2</v>
      </c>
      <c r="P18">
        <f ca="1"/>
        <v>49.4</v>
      </c>
      <c r="Q18">
        <f ca="1"/>
        <v>283.58621476151802</v>
      </c>
    </row>
    <row r="19" spans="1:17" x14ac:dyDescent="0.3">
      <c r="A19">
        <f ca="1"/>
        <v>15</v>
      </c>
      <c r="B19" t="str">
        <f ca="1"/>
        <v>Nyabihu</v>
      </c>
      <c r="C19">
        <f ca="1"/>
        <v>4.3279740688339882E-2</v>
      </c>
      <c r="D19">
        <f ca="1"/>
        <v>2.3395754400284594</v>
      </c>
      <c r="E19">
        <f ca="1"/>
        <v>2</v>
      </c>
      <c r="F19">
        <f ca="1"/>
        <v>0.19512117822472769</v>
      </c>
      <c r="G19">
        <f ca="1"/>
        <v>6.8943419734941793</v>
      </c>
      <c r="H19">
        <f ca="1"/>
        <v>2</v>
      </c>
      <c r="I19">
        <f ca="1"/>
        <v>0.21902547770872005</v>
      </c>
      <c r="J19">
        <f ca="1"/>
        <v>9.2209897804968222</v>
      </c>
      <c r="K19">
        <f ca="1"/>
        <v>2</v>
      </c>
      <c r="L19">
        <f ca="1"/>
        <v>0.30114373698899777</v>
      </c>
      <c r="M19">
        <f ca="1"/>
        <v>0.36172851886123447</v>
      </c>
      <c r="N19">
        <f ca="1"/>
        <v>321.51014216635326</v>
      </c>
      <c r="O19">
        <f ca="1"/>
        <v>107</v>
      </c>
      <c r="P19">
        <f ca="1"/>
        <v>23.6</v>
      </c>
      <c r="Q19">
        <f ca="1"/>
        <v>190.91014216635327</v>
      </c>
    </row>
    <row r="20" spans="1:17" x14ac:dyDescent="0.3">
      <c r="A20">
        <f ca="1"/>
        <v>18</v>
      </c>
      <c r="B20" t="str">
        <f ca="1"/>
        <v>Nyamasheke</v>
      </c>
      <c r="C20">
        <f ca="1"/>
        <v>2.5785350015248929E-2</v>
      </c>
      <c r="D20">
        <f ca="1"/>
        <v>1.0267063318768654</v>
      </c>
      <c r="E20">
        <f ca="1"/>
        <v>2</v>
      </c>
      <c r="F20">
        <f ca="1"/>
        <v>0.33338531582710429</v>
      </c>
      <c r="G20">
        <f ca="1"/>
        <v>10.469977155859631</v>
      </c>
      <c r="H20">
        <f ca="1"/>
        <v>2</v>
      </c>
      <c r="I20">
        <f ca="1"/>
        <v>0.34442676883425355</v>
      </c>
      <c r="J20">
        <f ca="1"/>
        <v>11.48815597255491</v>
      </c>
      <c r="K20">
        <f ca="1"/>
        <v>2</v>
      </c>
      <c r="L20">
        <f ca="1"/>
        <v>0.86963824701260584</v>
      </c>
      <c r="M20">
        <f ca="1"/>
        <v>0.4943572592704597</v>
      </c>
      <c r="N20">
        <f ca="1"/>
        <v>564.3364569184846</v>
      </c>
      <c r="O20">
        <f ca="1"/>
        <v>248</v>
      </c>
      <c r="P20">
        <f ca="1"/>
        <v>54.2</v>
      </c>
      <c r="Q20">
        <f ca="1"/>
        <v>262.13645691848455</v>
      </c>
    </row>
    <row r="21" spans="1:17" x14ac:dyDescent="0.3">
      <c r="A21">
        <f ca="1"/>
        <v>14</v>
      </c>
      <c r="B21" t="str">
        <f ca="1"/>
        <v>Rubavu</v>
      </c>
      <c r="C21">
        <f ca="1"/>
        <v>0.12332161680049251</v>
      </c>
      <c r="D21">
        <f ca="1"/>
        <v>8.0501843441604528</v>
      </c>
      <c r="E21">
        <f ca="1"/>
        <v>2</v>
      </c>
      <c r="F21">
        <f ca="1"/>
        <v>0.13544766939499261</v>
      </c>
      <c r="G21">
        <f ca="1"/>
        <v>6.8557490564845329</v>
      </c>
      <c r="H21">
        <f ca="1"/>
        <v>2</v>
      </c>
      <c r="I21">
        <f ca="1"/>
        <v>0.23481162310596274</v>
      </c>
      <c r="J21">
        <f ca="1"/>
        <v>14.89218030275871</v>
      </c>
      <c r="K21">
        <f ca="1"/>
        <v>2</v>
      </c>
      <c r="L21">
        <f ca="1"/>
        <v>0.48225232360772746</v>
      </c>
      <c r="M21">
        <f ca="1"/>
        <v>0.56993982185041314</v>
      </c>
      <c r="N21">
        <f ca="1"/>
        <v>262.48211116246762</v>
      </c>
      <c r="O21">
        <f ca="1"/>
        <v>107</v>
      </c>
      <c r="P21">
        <f ca="1"/>
        <v>54.7</v>
      </c>
      <c r="Q21">
        <f ca="1"/>
        <v>100.78211116246766</v>
      </c>
    </row>
    <row r="22" spans="1:17" x14ac:dyDescent="0.3">
      <c r="A22">
        <f ca="1"/>
        <v>17</v>
      </c>
      <c r="B22" t="str">
        <f ca="1"/>
        <v>Rusizi</v>
      </c>
      <c r="C22">
        <f ca="1"/>
        <v>6.0765612724395665E-2</v>
      </c>
      <c r="D22">
        <f ca="1"/>
        <v>3.9276346727411413</v>
      </c>
      <c r="E22">
        <f ca="1"/>
        <v>2</v>
      </c>
      <c r="F22">
        <f ca="1"/>
        <v>0.21602989936367797</v>
      </c>
      <c r="G22">
        <f ca="1"/>
        <v>8.4264121490013526</v>
      </c>
      <c r="H22">
        <f ca="1"/>
        <v>2</v>
      </c>
      <c r="I22">
        <f ca="1"/>
        <v>0.25055594623707128</v>
      </c>
      <c r="J22">
        <f ca="1"/>
        <v>12.338471258697972</v>
      </c>
      <c r="K22">
        <f ca="1"/>
        <v>2</v>
      </c>
      <c r="L22">
        <f ca="1"/>
        <v>0.94455956789380513</v>
      </c>
      <c r="M22">
        <f ca="1"/>
        <v>0.51328332241145502</v>
      </c>
      <c r="N22">
        <f ca="1"/>
        <v>416.28040867715805</v>
      </c>
      <c r="O22">
        <f ca="1"/>
        <v>248</v>
      </c>
      <c r="P22">
        <f ca="1"/>
        <v>1.4</v>
      </c>
      <c r="Q22">
        <f ca="1"/>
        <v>166.88040867715804</v>
      </c>
    </row>
    <row r="23" spans="1:17" x14ac:dyDescent="0.3">
      <c r="A23">
        <f ca="1"/>
        <v>13</v>
      </c>
      <c r="B23" t="str">
        <f ca="1"/>
        <v>Rutsiro</v>
      </c>
      <c r="C23">
        <f ca="1"/>
        <v>2.0328344913578007E-2</v>
      </c>
      <c r="D23">
        <f ca="1"/>
        <v>0.56563195587913495</v>
      </c>
      <c r="E23">
        <f ca="1"/>
        <v>2</v>
      </c>
      <c r="F23">
        <f ca="1"/>
        <v>0.33006811229346078</v>
      </c>
      <c r="G23">
        <f ca="1"/>
        <v>9.9768820882234763</v>
      </c>
      <c r="H23">
        <f ca="1"/>
        <v>2</v>
      </c>
      <c r="I23">
        <f ca="1"/>
        <v>0.33855327135481134</v>
      </c>
      <c r="J23">
        <f ca="1"/>
        <v>10.535987673678237</v>
      </c>
      <c r="K23">
        <f ca="1"/>
        <v>2</v>
      </c>
      <c r="L23">
        <f ca="1"/>
        <v>0.33519062013506229</v>
      </c>
      <c r="M23">
        <f ca="1"/>
        <v>0.42045105692563456</v>
      </c>
      <c r="N23">
        <f ca="1"/>
        <v>474.90868091291168</v>
      </c>
      <c r="O23">
        <f ca="1"/>
        <v>107</v>
      </c>
      <c r="P23">
        <f ca="1"/>
        <v>88.4</v>
      </c>
      <c r="Q23">
        <f ca="1"/>
        <v>279.50868091291164</v>
      </c>
    </row>
    <row r="24" spans="1:17" x14ac:dyDescent="0.3">
      <c r="A24">
        <f ca="1"/>
        <v>5</v>
      </c>
      <c r="B24" t="str">
        <f ca="1"/>
        <v>Gisagara</v>
      </c>
      <c r="C24">
        <f ca="1"/>
        <v>2.0298819858605745E-2</v>
      </c>
      <c r="D24">
        <f ca="1"/>
        <v>0.49549024777508038</v>
      </c>
      <c r="E24">
        <f ca="1"/>
        <v>2</v>
      </c>
      <c r="F24">
        <f ca="1"/>
        <v>0.3850463587963216</v>
      </c>
      <c r="G24">
        <f ca="1"/>
        <v>11.782303180982304</v>
      </c>
      <c r="H24">
        <f ca="1"/>
        <v>2</v>
      </c>
      <c r="I24">
        <f ca="1"/>
        <v>0.38827112657452473</v>
      </c>
      <c r="J24">
        <f ca="1"/>
        <v>12.27162813686939</v>
      </c>
      <c r="K24">
        <f ca="1"/>
        <v>2</v>
      </c>
      <c r="L24">
        <f ca="1"/>
        <v>0.35352305294490877</v>
      </c>
      <c r="M24">
        <f ca="1"/>
        <v>0.45294826027130031</v>
      </c>
      <c r="N24">
        <f ca="1"/>
        <v>427.0411787747978</v>
      </c>
      <c r="O24">
        <f ca="1"/>
        <v>56.2</v>
      </c>
      <c r="P24">
        <f ca="1"/>
        <v>84.7</v>
      </c>
      <c r="Q24">
        <f ca="1"/>
        <v>286.14117877479777</v>
      </c>
    </row>
    <row r="25" spans="1:17" x14ac:dyDescent="0.3">
      <c r="A25">
        <f ca="1"/>
        <v>7</v>
      </c>
      <c r="B25" t="str">
        <f ca="1"/>
        <v>Huye</v>
      </c>
      <c r="C25">
        <f ca="1"/>
        <v>4.3134579771351392E-2</v>
      </c>
      <c r="D25">
        <f ca="1"/>
        <v>2.5005906577246706</v>
      </c>
      <c r="E25">
        <f ca="1"/>
        <v>2</v>
      </c>
      <c r="F25">
        <f ca="1"/>
        <v>0.2675182591527776</v>
      </c>
      <c r="G25">
        <f ca="1"/>
        <v>9.5139249602050917</v>
      </c>
      <c r="H25">
        <f ca="1"/>
        <v>2</v>
      </c>
      <c r="I25">
        <f ca="1"/>
        <v>0.29323274737829252</v>
      </c>
      <c r="J25">
        <f ca="1"/>
        <v>12.003367924089588</v>
      </c>
      <c r="K25">
        <f ca="1"/>
        <v>2</v>
      </c>
      <c r="L25">
        <f ca="1"/>
        <v>0.33618572226094634</v>
      </c>
      <c r="M25">
        <f ca="1"/>
        <v>0.44409554451233968</v>
      </c>
      <c r="N25">
        <f ca="1"/>
        <v>342.34396283462536</v>
      </c>
      <c r="O25">
        <f ca="1"/>
        <v>56.2</v>
      </c>
      <c r="P25">
        <f ca="1"/>
        <v>77</v>
      </c>
      <c r="Q25">
        <f ca="1"/>
        <v>209.14396283462534</v>
      </c>
    </row>
    <row r="26" spans="1:17" x14ac:dyDescent="0.3">
      <c r="A26">
        <f ca="1"/>
        <v>11</v>
      </c>
      <c r="B26" t="str">
        <f ca="1"/>
        <v>Kamonyi</v>
      </c>
      <c r="C26">
        <f ca="1"/>
        <v>6.7187840660599976E-2</v>
      </c>
      <c r="D26">
        <f ca="1"/>
        <v>4.4181020167607992</v>
      </c>
      <c r="E26">
        <f ca="1"/>
        <v>2</v>
      </c>
      <c r="F26">
        <f ca="1"/>
        <v>0.23697725458773627</v>
      </c>
      <c r="G26">
        <f ca="1"/>
        <v>9.4505786846905391</v>
      </c>
      <c r="H26">
        <f ca="1"/>
        <v>2</v>
      </c>
      <c r="I26">
        <f ca="1"/>
        <v>0.2774887556853915</v>
      </c>
      <c r="J26">
        <f ca="1"/>
        <v>13.854705868560483</v>
      </c>
      <c r="K26">
        <f ca="1"/>
        <v>2</v>
      </c>
      <c r="L26">
        <f ca="1"/>
        <v>0.39898245260232629</v>
      </c>
      <c r="M26">
        <f ca="1"/>
        <v>0.49557798647928247</v>
      </c>
      <c r="N26">
        <f ca="1"/>
        <v>247.87405069190061</v>
      </c>
      <c r="O26">
        <f ca="1"/>
        <v>56.2</v>
      </c>
      <c r="P26">
        <f ca="1"/>
        <v>25</v>
      </c>
      <c r="Q26">
        <f ca="1"/>
        <v>166.67405069190062</v>
      </c>
    </row>
    <row r="27" spans="1:17" x14ac:dyDescent="0.3">
      <c r="A27">
        <f ca="1"/>
        <v>10</v>
      </c>
      <c r="B27" t="str">
        <f ca="1"/>
        <v>Muhanga</v>
      </c>
      <c r="C27">
        <f ca="1"/>
        <v>4.3426769970174785E-2</v>
      </c>
      <c r="D27">
        <f ca="1"/>
        <v>2.6165790640615323</v>
      </c>
      <c r="E27">
        <f ca="1"/>
        <v>2</v>
      </c>
      <c r="F27">
        <f ca="1"/>
        <v>0.23218881467551922</v>
      </c>
      <c r="G27">
        <f ca="1"/>
        <v>8.5395913098552416</v>
      </c>
      <c r="H27">
        <f ca="1"/>
        <v>2</v>
      </c>
      <c r="I27">
        <f ca="1"/>
        <v>0.26374410356387573</v>
      </c>
      <c r="J27">
        <f ca="1"/>
        <v>11.145100763255703</v>
      </c>
      <c r="K27">
        <f ca="1"/>
        <v>2</v>
      </c>
      <c r="L27">
        <f ca="1"/>
        <v>0.32554144786645045</v>
      </c>
      <c r="M27">
        <f ca="1"/>
        <v>0.39804596170426765</v>
      </c>
      <c r="N27">
        <f ca="1"/>
        <v>262.28353037269511</v>
      </c>
      <c r="O27">
        <f ca="1"/>
        <v>56.2</v>
      </c>
      <c r="P27">
        <f ca="1"/>
        <v>7.7</v>
      </c>
      <c r="Q27">
        <f ca="1"/>
        <v>198.38353037269511</v>
      </c>
    </row>
    <row r="28" spans="1:17" x14ac:dyDescent="0.3">
      <c r="A28">
        <f ca="1"/>
        <v>8</v>
      </c>
      <c r="B28" t="str">
        <f ca="1"/>
        <v>Nyamagabe</v>
      </c>
      <c r="C28">
        <f ca="1"/>
        <v>2.601052003052259E-2</v>
      </c>
      <c r="D28">
        <f ca="1"/>
        <v>1.307271521814946</v>
      </c>
      <c r="E28">
        <f ca="1"/>
        <v>2</v>
      </c>
      <c r="F28">
        <f ca="1"/>
        <v>0.30204029278421934</v>
      </c>
      <c r="G28">
        <f ca="1"/>
        <v>9.9058554931997982</v>
      </c>
      <c r="H28">
        <f ca="1"/>
        <v>2</v>
      </c>
      <c r="I28">
        <f ca="1"/>
        <v>0.31514259503805248</v>
      </c>
      <c r="J28">
        <f ca="1"/>
        <v>11.203733746187689</v>
      </c>
      <c r="K28">
        <f ca="1"/>
        <v>2</v>
      </c>
      <c r="L28">
        <f ca="1"/>
        <v>0.32599430094084314</v>
      </c>
      <c r="M28">
        <f ca="1"/>
        <v>0.426999969424465</v>
      </c>
      <c r="N28">
        <f ca="1"/>
        <v>433.5068651920742</v>
      </c>
      <c r="O28">
        <f ca="1"/>
        <v>56.2</v>
      </c>
      <c r="P28">
        <f ca="1"/>
        <v>128</v>
      </c>
      <c r="Q28">
        <f ca="1"/>
        <v>249.30686519207424</v>
      </c>
    </row>
    <row r="29" spans="1:17" x14ac:dyDescent="0.3">
      <c r="A29">
        <f ca="1"/>
        <v>4</v>
      </c>
      <c r="B29" t="str">
        <f ca="1"/>
        <v>Nyanza</v>
      </c>
      <c r="C29">
        <f ca="1"/>
        <v>2.0371942161102212E-2</v>
      </c>
      <c r="D29">
        <f ca="1"/>
        <v>0.69012882034146172</v>
      </c>
      <c r="E29">
        <f ca="1"/>
        <v>2</v>
      </c>
      <c r="F29">
        <f ca="1"/>
        <v>0.32535626836947745</v>
      </c>
      <c r="G29">
        <f ca="1"/>
        <v>10.198524741858126</v>
      </c>
      <c r="H29">
        <f ca="1"/>
        <v>2</v>
      </c>
      <c r="I29">
        <f ca="1"/>
        <v>0.33503694855327409</v>
      </c>
      <c r="J29">
        <f ca="1"/>
        <v>10.881770708339994</v>
      </c>
      <c r="K29">
        <f ca="1"/>
        <v>2</v>
      </c>
      <c r="L29">
        <f ca="1"/>
        <v>0.30935955806420656</v>
      </c>
      <c r="M29">
        <f ca="1"/>
        <v>0.3947598260215921</v>
      </c>
      <c r="N29">
        <f ca="1"/>
        <v>370.80960260745474</v>
      </c>
      <c r="O29">
        <f ca="1"/>
        <v>56.2</v>
      </c>
      <c r="P29">
        <f ca="1"/>
        <v>39.9</v>
      </c>
      <c r="Q29">
        <f ca="1"/>
        <v>274.70960260745477</v>
      </c>
    </row>
    <row r="30" spans="1:17" x14ac:dyDescent="0.3">
      <c r="A30">
        <f ca="1"/>
        <v>6</v>
      </c>
      <c r="B30" t="str">
        <f ca="1"/>
        <v>Nyaruguru</v>
      </c>
      <c r="C30">
        <f ca="1"/>
        <v>2.0266393773889401E-2</v>
      </c>
      <c r="D30">
        <f ca="1"/>
        <v>0.3168237719140628</v>
      </c>
      <c r="E30">
        <f ca="1"/>
        <v>2</v>
      </c>
      <c r="F30">
        <f ca="1"/>
        <v>0.28305381663552054</v>
      </c>
      <c r="G30">
        <f ca="1"/>
        <v>8.6624100044246397</v>
      </c>
      <c r="H30">
        <f ca="1"/>
        <v>2</v>
      </c>
      <c r="I30">
        <f ca="1"/>
        <v>0.28498184404603261</v>
      </c>
      <c r="J30">
        <f ca="1"/>
        <v>8.973817086242514</v>
      </c>
      <c r="K30">
        <f ca="1"/>
        <v>2</v>
      </c>
      <c r="L30">
        <f ca="1"/>
        <v>0.25862004263765109</v>
      </c>
      <c r="M30">
        <f ca="1"/>
        <v>0.35182932117429788</v>
      </c>
      <c r="N30">
        <f ca="1"/>
        <v>477.922790235837</v>
      </c>
      <c r="O30">
        <f ca="1"/>
        <v>56.2</v>
      </c>
      <c r="P30">
        <f ca="1"/>
        <v>133</v>
      </c>
      <c r="Q30">
        <f ca="1"/>
        <v>288.72279023583701</v>
      </c>
    </row>
    <row r="31" spans="1:17" x14ac:dyDescent="0.3">
      <c r="A31">
        <f ca="1"/>
        <v>9</v>
      </c>
      <c r="B31" t="str">
        <f ca="1"/>
        <v>Ruhango</v>
      </c>
      <c r="C31">
        <f ca="1"/>
        <v>2.5898059443853504E-2</v>
      </c>
      <c r="D31">
        <f ca="1"/>
        <v>1.1303106495396373</v>
      </c>
      <c r="E31">
        <f ca="1"/>
        <v>2</v>
      </c>
      <c r="F31">
        <f ca="1"/>
        <v>0.3147842864473494</v>
      </c>
      <c r="G31">
        <f ca="1"/>
        <v>10.090934293068571</v>
      </c>
      <c r="H31">
        <f ca="1"/>
        <v>2</v>
      </c>
      <c r="I31">
        <f ca="1"/>
        <v>0.32728395219179768</v>
      </c>
      <c r="J31">
        <f ca="1"/>
        <v>11.212879919217661</v>
      </c>
      <c r="K31">
        <f ca="1"/>
        <v>2</v>
      </c>
      <c r="L31">
        <f ca="1"/>
        <v>0.35873156696048719</v>
      </c>
      <c r="M31">
        <f ca="1"/>
        <v>0.4317629649293811</v>
      </c>
      <c r="N31">
        <f ca="1"/>
        <v>452.10998065373872</v>
      </c>
      <c r="O31">
        <f ca="1"/>
        <v>107</v>
      </c>
      <c r="P31">
        <f ca="1"/>
        <v>88.4</v>
      </c>
      <c r="Q31">
        <f ca="1"/>
        <v>256.70998065373868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79DE-D181-4BCE-86F6-8ADF82F8E15B}">
  <sheetPr codeName="Sheet67"/>
  <dimension ref="A1:E4"/>
  <sheetViews>
    <sheetView workbookViewId="0">
      <selection activeCell="K17" sqref="K17"/>
    </sheetView>
  </sheetViews>
  <sheetFormatPr defaultColWidth="5.6640625" defaultRowHeight="14.4" x14ac:dyDescent="0.3"/>
  <cols>
    <col min="1" max="22" width="10.77734375" customWidth="1"/>
  </cols>
  <sheetData>
    <row r="1" spans="1:5" x14ac:dyDescent="0.3">
      <c r="A1" s="139" t="s">
        <v>1905</v>
      </c>
      <c r="B1" s="139" t="s">
        <v>1906</v>
      </c>
      <c r="C1" s="139" t="s">
        <v>1907</v>
      </c>
      <c r="D1" s="138" t="s">
        <v>1908</v>
      </c>
      <c r="E1" s="138"/>
    </row>
    <row r="2" spans="1:5" x14ac:dyDescent="0.3">
      <c r="A2" t="s">
        <v>1909</v>
      </c>
      <c r="B2" cm="1">
        <f t="array" aca="1" ref="B2:D4" ca="1">TRANSPOSE(OFFSET('El1'!$C$17,0,0,3,3))</f>
        <v>0.05</v>
      </c>
      <c r="C2">
        <f ca="1"/>
        <v>0.05</v>
      </c>
      <c r="D2">
        <f ca="1"/>
        <v>0.05</v>
      </c>
    </row>
    <row r="3" spans="1:5" x14ac:dyDescent="0.3">
      <c r="A3" t="s">
        <v>456</v>
      </c>
      <c r="B3">
        <f ca="1"/>
        <v>35</v>
      </c>
      <c r="C3">
        <f ca="1"/>
        <v>25</v>
      </c>
      <c r="D3">
        <f ca="1"/>
        <v>25</v>
      </c>
    </row>
    <row r="4" spans="1:5" x14ac:dyDescent="0.3">
      <c r="A4" t="s">
        <v>1910</v>
      </c>
      <c r="B4">
        <f ca="1"/>
        <v>0.1</v>
      </c>
      <c r="C4">
        <f ca="1"/>
        <v>0.1</v>
      </c>
      <c r="D4">
        <f ca="1"/>
        <v>0.1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3D44C-B95A-47EA-9322-889B77D7066C}">
  <sheetPr codeName="Sheet69"/>
  <dimension ref="A1:E9"/>
  <sheetViews>
    <sheetView workbookViewId="0"/>
  </sheetViews>
  <sheetFormatPr defaultColWidth="5.6640625" defaultRowHeight="14.4" x14ac:dyDescent="0.3"/>
  <cols>
    <col min="1" max="1" width="20.33203125" bestFit="1" customWidth="1"/>
    <col min="2" max="3" width="10.77734375" customWidth="1"/>
  </cols>
  <sheetData>
    <row r="1" spans="1:5" x14ac:dyDescent="0.3">
      <c r="A1" s="139" t="s">
        <v>1905</v>
      </c>
      <c r="B1" s="139" t="s">
        <v>1928</v>
      </c>
      <c r="C1" s="139" t="s">
        <v>1929</v>
      </c>
      <c r="D1" s="138"/>
      <c r="E1" s="138"/>
    </row>
    <row r="2" spans="1:5" x14ac:dyDescent="0.3">
      <c r="A2" s="139" t="s">
        <v>1909</v>
      </c>
      <c r="B2" s="151">
        <f ca="1">SUMPRODUCT(OFFSET(LPGin!$G$4,1,0,'LPG1'!$C$14,1),OFFSET('LPG1'!$S$18,1,0,'LPG1'!$C$14,1))/SUM(OFFSET(LPGin!$G$4,1,0,'LPG1'!$C$14,1))</f>
        <v>0.16228040138685848</v>
      </c>
      <c r="C2" s="151">
        <f ca="1">SUMPRODUCT(OFFSET(LPGin!$G$4,1,0,'LPG1'!$C$14,1),OFFSET('LPG1'!$T$18,1,0,'LPG1'!$C$14,1))/SUM(OFFSET(LPGin!$G$4,1,0,'LPG1'!$C$14,1))</f>
        <v>0.12889788962009729</v>
      </c>
      <c r="D2" s="139"/>
      <c r="E2" s="139"/>
    </row>
    <row r="3" spans="1:5" x14ac:dyDescent="0.3">
      <c r="A3" s="374" t="s">
        <v>1930</v>
      </c>
      <c r="B3" s="151">
        <f ca="1">SUMPRODUCT(OFFSET(LPGin!$G$4,1,0,'LPG1'!$C$14,1),OFFSET('LPG1'!$U$18,1,0,'LPG1'!$C$14,1))/SUM(OFFSET(LPGin!$G$4,1,0,'LPG1'!$C$14,1))</f>
        <v>0.46573797424247726</v>
      </c>
      <c r="C3" s="151">
        <f ca="1">SUMPRODUCT(OFFSET(LPGin!$G$4,1,0,'LPG1'!$C$14,1),OFFSET('LPG1'!$V$18,1,0,'LPG1'!$C$14,1))/SUM(OFFSET(LPGin!$G$4,1,0,'LPG1'!$C$14,1))</f>
        <v>0.82572104999890483</v>
      </c>
    </row>
    <row r="4" spans="1:5" x14ac:dyDescent="0.3">
      <c r="A4" s="375" t="s">
        <v>1931</v>
      </c>
      <c r="B4" s="151">
        <f ca="1">SUMPRODUCT(OFFSET(LPGin!$G$4,1,0,'LPG1'!$C$14,1),OFFSET('LPG1'!$W$18,1,0,'LPG1'!$C$14,1))/SUM(OFFSET(LPGin!$G$4,1,0,'LPG1'!$C$14,1))</f>
        <v>0.11779435401465357</v>
      </c>
      <c r="C4" s="151">
        <f ca="1">SUMPRODUCT(OFFSET(LPGin!$G$4,1,0,'LPG1'!$C$14,1),OFFSET('LPG1'!$X$18,1,0,'LPG1'!$C$14,1))/SUM(OFFSET(LPGin!$G$4,1,0,'LPG1'!$C$14,1))</f>
        <v>0.79511962327058405</v>
      </c>
    </row>
    <row r="5" spans="1:5" x14ac:dyDescent="0.3">
      <c r="A5" t="s">
        <v>1932</v>
      </c>
      <c r="B5" s="151">
        <f ca="1">SUMPRODUCT(OFFSET(LPGin!$G$4,1,0,'LPG1'!$C$14,1),OFFSET('LPG1'!$Y$18,1,0,'LPG1'!$C$14,1))/SUM(OFFSET(LPGin!$G$4,1,0,'LPG1'!$C$14,1))</f>
        <v>0.5342620257575228</v>
      </c>
      <c r="C5" s="151">
        <f ca="1">SUMPRODUCT(OFFSET(LPGin!$G$4,1,0,'LPG1'!$C$14,1),OFFSET('LPG1'!$Z$18,1,0,'LPG1'!$C$14,1))/SUM(OFFSET(LPGin!$G$4,1,0,'LPG1'!$C$14,1))</f>
        <v>0.17427895000109508</v>
      </c>
    </row>
    <row r="6" spans="1:5" x14ac:dyDescent="0.3">
      <c r="A6" t="s">
        <v>1933</v>
      </c>
      <c r="B6" s="151">
        <f ca="1">SUMPRODUCT(OFFSET(LPGin!$G$4,1,0,'LPG1'!$C$14,1),OFFSET('LPG1'!$AA$18,1,0,'LPG1'!$C$14,1))/SUM(OFFSET(LPGin!$G$4,1,0,'LPG1'!$C$14,1))</f>
        <v>0.88220564598534645</v>
      </c>
      <c r="C6" s="151">
        <f ca="1">SUMPRODUCT(OFFSET(LPGin!$G$4,1,0,'LPG1'!$C$14,1),OFFSET('LPG1'!$AB$18,1,0,'LPG1'!$C$14,1))/SUM(OFFSET(LPGin!$G$4,1,0,'LPG1'!$C$14,1))</f>
        <v>0.20503455770025891</v>
      </c>
    </row>
    <row r="7" spans="1:5" x14ac:dyDescent="0.3">
      <c r="A7" t="s">
        <v>1910</v>
      </c>
      <c r="B7">
        <f>LPGin!C4</f>
        <v>0.1</v>
      </c>
      <c r="C7">
        <f>LPGin!C4</f>
        <v>0.1</v>
      </c>
    </row>
    <row r="8" spans="1:5" x14ac:dyDescent="0.3">
      <c r="A8" t="s">
        <v>1934</v>
      </c>
      <c r="B8">
        <f>LPGin!C26</f>
        <v>15</v>
      </c>
      <c r="C8">
        <f>LPGin!C69</f>
        <v>10</v>
      </c>
    </row>
    <row r="9" spans="1:5" x14ac:dyDescent="0.3">
      <c r="A9" t="s">
        <v>1935</v>
      </c>
      <c r="B9">
        <f>LPGin!C36</f>
        <v>15</v>
      </c>
      <c r="C9">
        <f>LPGin!C58</f>
        <v>15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0064D-2941-4534-94FE-DF1F9E76FC05}">
  <sheetPr codeName="Sheet70"/>
  <dimension ref="A1:N37"/>
  <sheetViews>
    <sheetView workbookViewId="0"/>
  </sheetViews>
  <sheetFormatPr defaultColWidth="5.6640625" defaultRowHeight="14.4" x14ac:dyDescent="0.3"/>
  <cols>
    <col min="1" max="1" width="6.77734375" style="138" bestFit="1" customWidth="1"/>
    <col min="2" max="2" width="11.109375" style="138" bestFit="1" customWidth="1"/>
    <col min="3" max="3" width="5.21875" style="138" bestFit="1" customWidth="1"/>
    <col min="4" max="4" width="8.77734375" style="138" bestFit="1" customWidth="1"/>
    <col min="5" max="5" width="9.109375" style="138" bestFit="1" customWidth="1"/>
    <col min="6" max="6" width="7.44140625" style="138" bestFit="1" customWidth="1"/>
    <col min="7" max="7" width="7.77734375" style="138" bestFit="1" customWidth="1"/>
    <col min="8" max="8" width="8.77734375" style="138" bestFit="1" customWidth="1"/>
    <col min="9" max="10" width="17" style="138" bestFit="1" customWidth="1"/>
    <col min="11" max="14" width="12" style="138" bestFit="1" customWidth="1"/>
    <col min="15" max="16384" width="5.6640625" style="138"/>
  </cols>
  <sheetData>
    <row r="1" spans="1:14" x14ac:dyDescent="0.3">
      <c r="A1" s="138" t="s">
        <v>403</v>
      </c>
      <c r="B1" s="138" t="s">
        <v>212</v>
      </c>
      <c r="C1" s="138" t="s">
        <v>404</v>
      </c>
      <c r="D1" s="138" t="s">
        <v>1959</v>
      </c>
      <c r="E1" s="138" t="s">
        <v>1960</v>
      </c>
      <c r="F1" s="138" t="s">
        <v>1961</v>
      </c>
      <c r="G1" s="138" t="s">
        <v>1962</v>
      </c>
      <c r="H1" s="138" t="s">
        <v>1963</v>
      </c>
      <c r="I1" s="138" t="s">
        <v>1964</v>
      </c>
      <c r="J1" s="138" t="s">
        <v>410</v>
      </c>
      <c r="K1" s="138" t="s">
        <v>397</v>
      </c>
      <c r="L1" s="138" t="s">
        <v>398</v>
      </c>
      <c r="M1" s="138" t="s">
        <v>399</v>
      </c>
      <c r="N1" s="138" t="s">
        <v>445</v>
      </c>
    </row>
    <row r="2" spans="1:14" x14ac:dyDescent="0.3">
      <c r="A2" s="138" t="str" cm="1">
        <f t="array" aca="1" ref="A2:G37" ca="1">OFFSET(Tp!$B$5,0,0,COUNTA(Tp!$B:$B)-2,7)</f>
        <v>RWND</v>
      </c>
      <c r="B2" s="138" t="str">
        <f ca="1"/>
        <v>Rwanda</v>
      </c>
      <c r="C2" s="138">
        <f ca="1"/>
        <v>2</v>
      </c>
      <c r="D2" s="138">
        <f ca="1"/>
        <v>28.86</v>
      </c>
      <c r="E2" s="138">
        <f ca="1"/>
        <v>30.9</v>
      </c>
      <c r="F2" s="138">
        <f ca="1"/>
        <v>-2.84</v>
      </c>
      <c r="G2" s="138">
        <f ca="1"/>
        <v>-1.05</v>
      </c>
      <c r="H2" s="138" cm="1">
        <f t="array" aca="1" ref="H2:J37" ca="1">_xlfn.LET(_xlpm.arr,OFFSET(Tp!$B$5,0,7,COUNTA(Tp!$B:$B)-2,3),IF(_xlpm.arr=""," ",_xlpm.arr))</f>
        <v>5</v>
      </c>
      <c r="I2" s="138" t="str">
        <f ca="1"/>
        <v xml:space="preserve"> </v>
      </c>
      <c r="J2" s="138" t="str">
        <f ca="1"/>
        <v xml:space="preserve"> </v>
      </c>
      <c r="K2" s="138" cm="1">
        <f t="array" aca="1" ref="K2:N37" ca="1">OFFSET(Tp!$B$5,0,10,COUNTA(Tp!$B:$B)-2,4)</f>
        <v>0.26790000000000003</v>
      </c>
      <c r="L2" s="138">
        <f ca="1"/>
        <v>0.2412</v>
      </c>
      <c r="M2" s="138">
        <f ca="1"/>
        <v>0.43990000000000001</v>
      </c>
      <c r="N2" s="138">
        <f ca="1"/>
        <v>5.0999999999999997E-2</v>
      </c>
    </row>
    <row r="3" spans="1:14" x14ac:dyDescent="0.3">
      <c r="A3" s="138" t="str">
        <f ca="1"/>
        <v>EAST</v>
      </c>
      <c r="B3" s="138" t="str">
        <f ca="1"/>
        <v>East</v>
      </c>
      <c r="C3" s="138">
        <f ca="1"/>
        <v>1</v>
      </c>
      <c r="D3" s="138">
        <f ca="1"/>
        <v>29.96</v>
      </c>
      <c r="E3" s="138">
        <f ca="1"/>
        <v>30.9</v>
      </c>
      <c r="F3" s="138">
        <f ca="1"/>
        <v>-2.44</v>
      </c>
      <c r="G3" s="138">
        <f ca="1"/>
        <v>-1.05</v>
      </c>
      <c r="H3" s="138">
        <f ca="1"/>
        <v>7</v>
      </c>
      <c r="I3" s="138" t="str">
        <f ca="1"/>
        <v>RWND</v>
      </c>
      <c r="J3" s="138" t="str">
        <f ca="1"/>
        <v xml:space="preserve"> </v>
      </c>
      <c r="K3" s="138">
        <f ca="1"/>
        <v>0.10204285714285713</v>
      </c>
      <c r="L3" s="138">
        <f ca="1"/>
        <v>0.28142857142857147</v>
      </c>
      <c r="M3" s="138">
        <f ca="1"/>
        <v>0.60609999999999997</v>
      </c>
      <c r="N3" s="138">
        <f ca="1"/>
        <v>1.0414285714285718E-2</v>
      </c>
    </row>
    <row r="4" spans="1:14" x14ac:dyDescent="0.3">
      <c r="A4" s="138" t="str">
        <f ca="1"/>
        <v>BGSR</v>
      </c>
      <c r="B4" s="138" t="str">
        <f ca="1"/>
        <v>Bugesera</v>
      </c>
      <c r="C4" s="138">
        <f ca="1"/>
        <v>0</v>
      </c>
      <c r="D4" s="138">
        <f ca="1"/>
        <v>29.96</v>
      </c>
      <c r="E4" s="138">
        <f ca="1"/>
        <v>30.37</v>
      </c>
      <c r="F4" s="138">
        <f ca="1"/>
        <v>-2.44</v>
      </c>
      <c r="G4" s="138">
        <f ca="1"/>
        <v>-2.0299999999999998</v>
      </c>
      <c r="H4" s="138" t="str">
        <f ca="1"/>
        <v xml:space="preserve"> </v>
      </c>
      <c r="I4" s="138" t="str">
        <f ca="1"/>
        <v>EAST</v>
      </c>
      <c r="J4" s="138" t="str">
        <f ca="1"/>
        <v>demand/De3-30.tsv</v>
      </c>
      <c r="K4" s="138">
        <f ca="1"/>
        <v>0.22270000000000001</v>
      </c>
      <c r="L4" s="138">
        <f ca="1"/>
        <v>0.13519999999999999</v>
      </c>
      <c r="M4" s="138">
        <f ca="1"/>
        <v>0.61680000000000001</v>
      </c>
      <c r="N4" s="138">
        <f ca="1"/>
        <v>2.53E-2</v>
      </c>
    </row>
    <row r="5" spans="1:14" x14ac:dyDescent="0.3">
      <c r="A5" s="138" t="str">
        <f ca="1"/>
        <v>GTSB</v>
      </c>
      <c r="B5" s="138" t="str">
        <f ca="1"/>
        <v>Gatsibo</v>
      </c>
      <c r="C5" s="138">
        <f ca="1"/>
        <v>0</v>
      </c>
      <c r="D5" s="138">
        <f ca="1"/>
        <v>30.16</v>
      </c>
      <c r="E5" s="138">
        <f ca="1"/>
        <v>30.84</v>
      </c>
      <c r="F5" s="138">
        <f ca="1"/>
        <v>-1.88</v>
      </c>
      <c r="G5" s="138">
        <f ca="1"/>
        <v>-1.46</v>
      </c>
      <c r="H5" s="138" t="str">
        <f ca="1"/>
        <v xml:space="preserve"> </v>
      </c>
      <c r="I5" s="138" t="str">
        <f ca="1"/>
        <v>EAST</v>
      </c>
      <c r="J5" s="138" t="str">
        <f ca="1"/>
        <v>demand/De3-26.tsv</v>
      </c>
      <c r="K5" s="138">
        <f ca="1"/>
        <v>0</v>
      </c>
      <c r="L5" s="138">
        <f ca="1"/>
        <v>9.11E-2</v>
      </c>
      <c r="M5" s="138">
        <f ca="1"/>
        <v>0.90190000000000003</v>
      </c>
      <c r="N5" s="138">
        <f ca="1"/>
        <v>7.0000000000000001E-3</v>
      </c>
    </row>
    <row r="6" spans="1:14" x14ac:dyDescent="0.3">
      <c r="A6" s="138" t="str">
        <f ca="1"/>
        <v>KYNZ</v>
      </c>
      <c r="B6" s="138" t="str">
        <f ca="1"/>
        <v>Kayonza</v>
      </c>
      <c r="C6" s="138">
        <f ca="1"/>
        <v>0</v>
      </c>
      <c r="D6" s="138">
        <f ca="1"/>
        <v>30.42</v>
      </c>
      <c r="E6" s="138">
        <f ca="1"/>
        <v>30.84</v>
      </c>
      <c r="F6" s="138">
        <f ca="1"/>
        <v>-2.12</v>
      </c>
      <c r="G6" s="138">
        <f ca="1"/>
        <v>-1.6</v>
      </c>
      <c r="H6" s="138" t="str">
        <f ca="1"/>
        <v xml:space="preserve"> </v>
      </c>
      <c r="I6" s="138" t="str">
        <f ca="1"/>
        <v>EAST</v>
      </c>
      <c r="J6" s="138" t="str">
        <f ca="1"/>
        <v>demand/De3-27.tsv</v>
      </c>
      <c r="K6" s="138">
        <f ca="1"/>
        <v>8.4000000000000005E-2</v>
      </c>
      <c r="L6" s="138">
        <f ca="1"/>
        <v>0.53879999999999995</v>
      </c>
      <c r="M6" s="138">
        <f ca="1"/>
        <v>0.37669999999999998</v>
      </c>
      <c r="N6" s="138">
        <f ca="1"/>
        <v>5.0000000000000001E-4</v>
      </c>
    </row>
    <row r="7" spans="1:14" x14ac:dyDescent="0.3">
      <c r="A7" s="138" t="str">
        <f ca="1"/>
        <v>KIRE</v>
      </c>
      <c r="B7" s="138" t="str">
        <f ca="1"/>
        <v>Kirehe</v>
      </c>
      <c r="C7" s="138">
        <f ca="1"/>
        <v>0</v>
      </c>
      <c r="D7" s="138">
        <f ca="1"/>
        <v>30.46</v>
      </c>
      <c r="E7" s="138">
        <f ca="1"/>
        <v>30.9</v>
      </c>
      <c r="F7" s="138">
        <f ca="1"/>
        <v>-2.42</v>
      </c>
      <c r="G7" s="138">
        <f ca="1"/>
        <v>-1.97</v>
      </c>
      <c r="H7" s="138" t="str">
        <f ca="1"/>
        <v xml:space="preserve"> </v>
      </c>
      <c r="I7" s="138" t="str">
        <f ca="1"/>
        <v>EAST</v>
      </c>
      <c r="J7" s="138" t="str">
        <f ca="1"/>
        <v>demand/De3-28.tsv</v>
      </c>
      <c r="K7" s="138">
        <f ca="1"/>
        <v>2E-3</v>
      </c>
      <c r="L7" s="138">
        <f ca="1"/>
        <v>0.83950000000000002</v>
      </c>
      <c r="M7" s="138">
        <f ca="1"/>
        <v>0.15820000000000001</v>
      </c>
      <c r="N7" s="138">
        <f ca="1"/>
        <v>2.9999999999999997E-4</v>
      </c>
    </row>
    <row r="8" spans="1:14" x14ac:dyDescent="0.3">
      <c r="A8" s="138" t="str">
        <f ca="1"/>
        <v>NGMA</v>
      </c>
      <c r="B8" s="138" t="str">
        <f ca="1"/>
        <v>Ngoma</v>
      </c>
      <c r="C8" s="138">
        <f ca="1"/>
        <v>0</v>
      </c>
      <c r="D8" s="138">
        <f ca="1"/>
        <v>30.26</v>
      </c>
      <c r="E8" s="138">
        <f ca="1"/>
        <v>30.66</v>
      </c>
      <c r="F8" s="138">
        <f ca="1"/>
        <v>-2.35</v>
      </c>
      <c r="G8" s="138">
        <f ca="1"/>
        <v>-2.0499999999999998</v>
      </c>
      <c r="H8" s="138" t="str">
        <f ca="1"/>
        <v xml:space="preserve"> </v>
      </c>
      <c r="I8" s="138" t="str">
        <f ca="1"/>
        <v>EAST</v>
      </c>
      <c r="J8" s="138" t="str">
        <f ca="1"/>
        <v>demand/De3-29.tsv</v>
      </c>
      <c r="K8" s="138">
        <f ca="1"/>
        <v>2.0000000000000001E-4</v>
      </c>
      <c r="L8" s="138">
        <f ca="1"/>
        <v>0.2351</v>
      </c>
      <c r="M8" s="138">
        <f ca="1"/>
        <v>0.76119999999999999</v>
      </c>
      <c r="N8" s="138">
        <f ca="1"/>
        <v>3.5000000000000001E-3</v>
      </c>
    </row>
    <row r="9" spans="1:14" x14ac:dyDescent="0.3">
      <c r="A9" s="138" t="str">
        <f ca="1"/>
        <v>NYGT</v>
      </c>
      <c r="B9" s="138" t="str">
        <f ca="1"/>
        <v>Nyagatare</v>
      </c>
      <c r="C9" s="138">
        <f ca="1"/>
        <v>0</v>
      </c>
      <c r="D9" s="138">
        <f ca="1"/>
        <v>30.07</v>
      </c>
      <c r="E9" s="138">
        <f ca="1"/>
        <v>30.74</v>
      </c>
      <c r="F9" s="138">
        <f ca="1"/>
        <v>-1.55</v>
      </c>
      <c r="G9" s="138">
        <f ca="1"/>
        <v>-1.05</v>
      </c>
      <c r="H9" s="138" t="str">
        <f ca="1"/>
        <v xml:space="preserve"> </v>
      </c>
      <c r="I9" s="138" t="str">
        <f ca="1"/>
        <v>EAST</v>
      </c>
      <c r="J9" s="138" t="str">
        <f ca="1"/>
        <v>demand/De3-25.tsv</v>
      </c>
      <c r="K9" s="138">
        <f ca="1"/>
        <v>0</v>
      </c>
      <c r="L9" s="138">
        <f ca="1"/>
        <v>2.1499999999999998E-2</v>
      </c>
      <c r="M9" s="138">
        <f ca="1"/>
        <v>0.94269999999999998</v>
      </c>
      <c r="N9" s="138">
        <f ca="1"/>
        <v>3.56E-2</v>
      </c>
    </row>
    <row r="10" spans="1:14" x14ac:dyDescent="0.3">
      <c r="A10" s="138" t="str">
        <f ca="1"/>
        <v>RWMG</v>
      </c>
      <c r="B10" s="138" t="str">
        <f ca="1"/>
        <v>Rwamagana</v>
      </c>
      <c r="C10" s="138">
        <f ca="1"/>
        <v>0</v>
      </c>
      <c r="D10" s="138">
        <f ca="1"/>
        <v>30.22</v>
      </c>
      <c r="E10" s="138">
        <f ca="1"/>
        <v>30.49</v>
      </c>
      <c r="F10" s="138">
        <f ca="1"/>
        <v>-2.13</v>
      </c>
      <c r="G10" s="138">
        <f ca="1"/>
        <v>-1.82</v>
      </c>
      <c r="H10" s="138" t="str">
        <f ca="1"/>
        <v xml:space="preserve"> </v>
      </c>
      <c r="I10" s="138" t="str">
        <f ca="1"/>
        <v>EAST</v>
      </c>
      <c r="J10" s="138" t="str">
        <f ca="1"/>
        <v>demand/De3-24.tsv</v>
      </c>
      <c r="K10" s="138">
        <f ca="1"/>
        <v>0.40539999999999998</v>
      </c>
      <c r="L10" s="138">
        <f ca="1"/>
        <v>0.10879999999999999</v>
      </c>
      <c r="M10" s="138">
        <f ca="1"/>
        <v>0.48520000000000002</v>
      </c>
      <c r="N10" s="138">
        <f ca="1"/>
        <v>6.9999999999999999E-4</v>
      </c>
    </row>
    <row r="11" spans="1:14" x14ac:dyDescent="0.3">
      <c r="A11" s="138" t="str">
        <f ca="1"/>
        <v>KGL</v>
      </c>
      <c r="B11" s="138" t="str">
        <f ca="1"/>
        <v>Kigali</v>
      </c>
      <c r="C11" s="138">
        <f ca="1"/>
        <v>1</v>
      </c>
      <c r="D11" s="138">
        <f ca="1"/>
        <v>29.26</v>
      </c>
      <c r="E11" s="138">
        <f ca="1"/>
        <v>30.28</v>
      </c>
      <c r="F11" s="138">
        <f ca="1"/>
        <v>-2.84</v>
      </c>
      <c r="G11" s="138">
        <f ca="1"/>
        <v>-1.31</v>
      </c>
      <c r="H11" s="138">
        <f ca="1"/>
        <v>3</v>
      </c>
      <c r="I11" s="138" t="str">
        <f ca="1"/>
        <v>RWND</v>
      </c>
      <c r="J11" s="138" t="str">
        <f ca="1"/>
        <v xml:space="preserve"> </v>
      </c>
      <c r="K11" s="138">
        <f ca="1"/>
        <v>0.92263333333333331</v>
      </c>
      <c r="L11" s="138">
        <f ca="1"/>
        <v>8.3666666666666663E-3</v>
      </c>
      <c r="M11" s="138">
        <f ca="1"/>
        <v>6.7900000000000002E-2</v>
      </c>
      <c r="N11" s="138">
        <f ca="1"/>
        <v>1.0666666666666667E-3</v>
      </c>
    </row>
    <row r="12" spans="1:14" x14ac:dyDescent="0.3">
      <c r="A12" s="138" t="str">
        <f ca="1"/>
        <v>GSBO</v>
      </c>
      <c r="B12" s="138" t="str">
        <f ca="1"/>
        <v>Gasabo</v>
      </c>
      <c r="C12" s="138">
        <f ca="1"/>
        <v>0</v>
      </c>
      <c r="D12" s="138">
        <f ca="1"/>
        <v>29.99</v>
      </c>
      <c r="E12" s="138">
        <f ca="1"/>
        <v>30.28</v>
      </c>
      <c r="F12" s="138">
        <f ca="1"/>
        <v>-1.99</v>
      </c>
      <c r="G12" s="138">
        <f ca="1"/>
        <v>-1.78</v>
      </c>
      <c r="H12" s="138" t="str">
        <f ca="1"/>
        <v xml:space="preserve"> </v>
      </c>
      <c r="I12" s="138" t="str">
        <f ca="1"/>
        <v>KGL</v>
      </c>
      <c r="J12" s="138" t="str">
        <f ca="1"/>
        <v>demand/De3-2.tsv</v>
      </c>
      <c r="K12" s="138">
        <f ca="1"/>
        <v>0.88490000000000002</v>
      </c>
      <c r="L12" s="138">
        <f ca="1"/>
        <v>1.44E-2</v>
      </c>
      <c r="M12" s="138">
        <f ca="1"/>
        <v>0.10059999999999999</v>
      </c>
      <c r="N12" s="138">
        <f ca="1"/>
        <v>0</v>
      </c>
    </row>
    <row r="13" spans="1:14" x14ac:dyDescent="0.3">
      <c r="A13" s="138" t="str">
        <f ca="1"/>
        <v>KCKR</v>
      </c>
      <c r="B13" s="138" t="str">
        <f ca="1"/>
        <v>Kicukiro</v>
      </c>
      <c r="C13" s="138">
        <f ca="1"/>
        <v>0</v>
      </c>
      <c r="D13" s="138">
        <f ca="1"/>
        <v>30.05</v>
      </c>
      <c r="E13" s="138">
        <f ca="1"/>
        <v>30.24</v>
      </c>
      <c r="F13" s="138">
        <f ca="1"/>
        <v>-2.08</v>
      </c>
      <c r="G13" s="138">
        <f ca="1"/>
        <v>-1.95</v>
      </c>
      <c r="H13" s="138" t="str">
        <f ca="1"/>
        <v xml:space="preserve"> </v>
      </c>
      <c r="I13" s="138" t="str">
        <f ca="1"/>
        <v>KGL</v>
      </c>
      <c r="J13" s="138" t="str">
        <f ca="1"/>
        <v>demand/De3-3.tsv</v>
      </c>
      <c r="K13" s="138">
        <f ca="1"/>
        <v>0.97299999999999998</v>
      </c>
      <c r="L13" s="138">
        <f ca="1"/>
        <v>0</v>
      </c>
      <c r="M13" s="138">
        <f ca="1"/>
        <v>2.3800000000000002E-2</v>
      </c>
      <c r="N13" s="138">
        <f ca="1"/>
        <v>3.2000000000000002E-3</v>
      </c>
    </row>
    <row r="14" spans="1:14" x14ac:dyDescent="0.3">
      <c r="A14" s="138" t="str">
        <f ca="1"/>
        <v>NYRG</v>
      </c>
      <c r="B14" s="138" t="str">
        <f ca="1"/>
        <v>Nyarugenge</v>
      </c>
      <c r="C14" s="138">
        <f ca="1"/>
        <v>0</v>
      </c>
      <c r="D14" s="138">
        <f ca="1"/>
        <v>29.98</v>
      </c>
      <c r="E14" s="138">
        <f ca="1"/>
        <v>30.09</v>
      </c>
      <c r="F14" s="138">
        <f ca="1"/>
        <v>-2.08</v>
      </c>
      <c r="G14" s="138">
        <f ca="1"/>
        <v>-1.87</v>
      </c>
      <c r="H14" s="138" t="str">
        <f ca="1"/>
        <v xml:space="preserve"> </v>
      </c>
      <c r="I14" s="138" t="str">
        <f ca="1"/>
        <v>KGL</v>
      </c>
      <c r="J14" s="138" t="str">
        <f ca="1"/>
        <v>demand/De3-1.tsv</v>
      </c>
      <c r="K14" s="138">
        <f ca="1"/>
        <v>0.91</v>
      </c>
      <c r="L14" s="138">
        <f ca="1"/>
        <v>1.0699999999999999E-2</v>
      </c>
      <c r="M14" s="138">
        <f ca="1"/>
        <v>7.9299999999999995E-2</v>
      </c>
      <c r="N14" s="138">
        <f ca="1"/>
        <v>0</v>
      </c>
    </row>
    <row r="15" spans="1:14" x14ac:dyDescent="0.3">
      <c r="A15" s="138" t="str">
        <f ca="1"/>
        <v>NORT</v>
      </c>
      <c r="B15" s="138" t="str">
        <f ca="1"/>
        <v>North</v>
      </c>
      <c r="C15" s="138">
        <f ca="1"/>
        <v>1</v>
      </c>
      <c r="D15" s="138">
        <f ca="1"/>
        <v>29.26</v>
      </c>
      <c r="E15" s="138">
        <f ca="1"/>
        <v>30.28</v>
      </c>
      <c r="F15" s="138">
        <f ca="1"/>
        <v>-2.84</v>
      </c>
      <c r="G15" s="138">
        <f ca="1"/>
        <v>-1.31</v>
      </c>
      <c r="H15" s="138">
        <f ca="1"/>
        <v>5</v>
      </c>
      <c r="I15" s="138" t="str">
        <f ca="1"/>
        <v>RWND</v>
      </c>
      <c r="J15" s="138" t="str">
        <f ca="1"/>
        <v xml:space="preserve"> </v>
      </c>
      <c r="K15" s="138">
        <f ca="1"/>
        <v>0.25817999999999997</v>
      </c>
      <c r="L15" s="138">
        <f ca="1"/>
        <v>0.13135999999999998</v>
      </c>
      <c r="M15" s="138">
        <f ca="1"/>
        <v>0.50985999999999998</v>
      </c>
      <c r="N15" s="138">
        <f ca="1"/>
        <v>5.808E-2</v>
      </c>
    </row>
    <row r="16" spans="1:14" x14ac:dyDescent="0.3">
      <c r="A16" s="138" t="str">
        <f ca="1"/>
        <v>BURE</v>
      </c>
      <c r="B16" s="138" t="str">
        <f ca="1"/>
        <v>Burera</v>
      </c>
      <c r="C16" s="138">
        <f ca="1"/>
        <v>0</v>
      </c>
      <c r="D16" s="138">
        <f ca="1"/>
        <v>29.66</v>
      </c>
      <c r="E16" s="138">
        <f ca="1"/>
        <v>30</v>
      </c>
      <c r="F16" s="138">
        <f ca="1"/>
        <v>-1.61</v>
      </c>
      <c r="G16" s="138">
        <f ca="1"/>
        <v>-1.31</v>
      </c>
      <c r="H16" s="138" t="str">
        <f ca="1"/>
        <v xml:space="preserve"> </v>
      </c>
      <c r="I16" s="138" t="str">
        <f ca="1"/>
        <v>NORT</v>
      </c>
      <c r="J16" s="138" t="str">
        <f ca="1"/>
        <v>demand/De3-22.tsv</v>
      </c>
      <c r="K16" s="138">
        <f ca="1"/>
        <v>0.27100000000000002</v>
      </c>
      <c r="L16" s="138">
        <f ca="1"/>
        <v>1.7500000000000002E-2</v>
      </c>
      <c r="M16" s="138">
        <f ca="1"/>
        <v>0.67220000000000002</v>
      </c>
      <c r="N16" s="138">
        <f ca="1"/>
        <v>1.26E-2</v>
      </c>
    </row>
    <row r="17" spans="1:14" x14ac:dyDescent="0.3">
      <c r="A17" s="138" t="str">
        <f ca="1"/>
        <v>GKNK</v>
      </c>
      <c r="B17" s="138" t="str">
        <f ca="1"/>
        <v>Gakenke</v>
      </c>
      <c r="C17" s="138">
        <f ca="1"/>
        <v>0</v>
      </c>
      <c r="D17" s="138">
        <f ca="1"/>
        <v>29.63</v>
      </c>
      <c r="E17" s="138">
        <f ca="1"/>
        <v>29.93</v>
      </c>
      <c r="F17" s="138">
        <f ca="1"/>
        <v>-1.87</v>
      </c>
      <c r="G17" s="138">
        <f ca="1"/>
        <v>-1.55</v>
      </c>
      <c r="H17" s="138" t="str">
        <f ca="1"/>
        <v xml:space="preserve"> </v>
      </c>
      <c r="I17" s="138" t="str">
        <f ca="1"/>
        <v>NORT</v>
      </c>
      <c r="J17" s="138" t="str">
        <f ca="1"/>
        <v>demand/De3-20.tsv</v>
      </c>
      <c r="K17" s="138">
        <f ca="1"/>
        <v>4.6800000000000001E-2</v>
      </c>
      <c r="L17" s="138">
        <f ca="1"/>
        <v>0.18779999999999999</v>
      </c>
      <c r="M17" s="138">
        <f ca="1"/>
        <v>0.50049999999999994</v>
      </c>
      <c r="N17" s="138">
        <f ca="1"/>
        <v>0.17469999999999999</v>
      </c>
    </row>
    <row r="18" spans="1:14" x14ac:dyDescent="0.3">
      <c r="A18" s="138" t="str">
        <f ca="1"/>
        <v>GCMB</v>
      </c>
      <c r="B18" s="138" t="str">
        <f ca="1"/>
        <v>Gicumbi</v>
      </c>
      <c r="C18" s="138">
        <f ca="1"/>
        <v>0</v>
      </c>
      <c r="D18" s="138">
        <f ca="1"/>
        <v>29.94</v>
      </c>
      <c r="E18" s="138">
        <f ca="1"/>
        <v>30.28</v>
      </c>
      <c r="F18" s="138">
        <f ca="1"/>
        <v>-1.85</v>
      </c>
      <c r="G18" s="138">
        <f ca="1"/>
        <v>-1.39</v>
      </c>
      <c r="H18" s="138" t="str">
        <f ca="1"/>
        <v xml:space="preserve"> </v>
      </c>
      <c r="I18" s="138" t="str">
        <f ca="1"/>
        <v>NORT</v>
      </c>
      <c r="J18" s="138" t="str">
        <f ca="1"/>
        <v>demand/De3-23.tsv</v>
      </c>
      <c r="K18" s="138">
        <f ca="1"/>
        <v>0.20749999999999999</v>
      </c>
      <c r="L18" s="138">
        <f ca="1"/>
        <v>0.18429999999999999</v>
      </c>
      <c r="M18" s="138">
        <f ca="1"/>
        <v>0.51519999999999999</v>
      </c>
      <c r="N18" s="138">
        <f ca="1"/>
        <v>9.2999999999999999E-2</v>
      </c>
    </row>
    <row r="19" spans="1:14" x14ac:dyDescent="0.3">
      <c r="A19" s="138" t="str">
        <f ca="1"/>
        <v>MSNZ</v>
      </c>
      <c r="B19" s="138" t="str">
        <f ca="1"/>
        <v>Musanze</v>
      </c>
      <c r="C19" s="138">
        <f ca="1"/>
        <v>0</v>
      </c>
      <c r="D19" s="138">
        <f ca="1"/>
        <v>29.45</v>
      </c>
      <c r="E19" s="138">
        <f ca="1"/>
        <v>29.77</v>
      </c>
      <c r="F19" s="138">
        <f ca="1"/>
        <v>-1.6</v>
      </c>
      <c r="G19" s="138">
        <f ca="1"/>
        <v>-1.39</v>
      </c>
      <c r="H19" s="138" t="str">
        <f ca="1"/>
        <v xml:space="preserve"> </v>
      </c>
      <c r="I19" s="138" t="str">
        <f ca="1"/>
        <v>NORT</v>
      </c>
      <c r="J19" s="138" t="str">
        <f ca="1"/>
        <v>demand/De3-21.tsv</v>
      </c>
      <c r="K19" s="138">
        <f ca="1"/>
        <v>0.48130000000000001</v>
      </c>
      <c r="L19" s="138">
        <f ca="1"/>
        <v>0</v>
      </c>
      <c r="M19" s="138">
        <f ca="1"/>
        <v>0.50039999999999996</v>
      </c>
      <c r="N19" s="138">
        <f ca="1"/>
        <v>6.4999999999999997E-3</v>
      </c>
    </row>
    <row r="20" spans="1:14" x14ac:dyDescent="0.3">
      <c r="A20" s="138" t="str">
        <f ca="1"/>
        <v>RLND</v>
      </c>
      <c r="B20" s="138" t="str">
        <f ca="1"/>
        <v>Rulindo</v>
      </c>
      <c r="C20" s="138">
        <f ca="1"/>
        <v>0</v>
      </c>
      <c r="D20" s="138">
        <f ca="1"/>
        <v>29.86</v>
      </c>
      <c r="E20" s="138">
        <f ca="1"/>
        <v>30.13</v>
      </c>
      <c r="F20" s="138">
        <f ca="1"/>
        <v>-1.91</v>
      </c>
      <c r="G20" s="138">
        <f ca="1"/>
        <v>-1.59</v>
      </c>
      <c r="H20" s="138" t="str">
        <f ca="1"/>
        <v xml:space="preserve"> </v>
      </c>
      <c r="I20" s="138" t="str">
        <f ca="1"/>
        <v>NORT</v>
      </c>
      <c r="J20" s="138" t="str">
        <f ca="1"/>
        <v>demand/De3-19.tsv</v>
      </c>
      <c r="K20" s="138">
        <f ca="1"/>
        <v>0.2843</v>
      </c>
      <c r="L20" s="138">
        <f ca="1"/>
        <v>0.26719999999999999</v>
      </c>
      <c r="M20" s="138">
        <f ca="1"/>
        <v>0.36099999999999999</v>
      </c>
      <c r="N20" s="138">
        <f ca="1"/>
        <v>3.5999999999999999E-3</v>
      </c>
    </row>
    <row r="21" spans="1:14" x14ac:dyDescent="0.3">
      <c r="A21" s="138" t="str">
        <f ca="1"/>
        <v>WEST</v>
      </c>
      <c r="B21" s="138" t="str">
        <f ca="1"/>
        <v>West</v>
      </c>
      <c r="C21" s="138">
        <f ca="1"/>
        <v>1</v>
      </c>
      <c r="D21" s="138">
        <f ca="1"/>
        <v>29.26</v>
      </c>
      <c r="E21" s="138">
        <f ca="1"/>
        <v>30.02</v>
      </c>
      <c r="F21" s="138">
        <f ca="1"/>
        <v>-2.84</v>
      </c>
      <c r="G21" s="138">
        <f ca="1"/>
        <v>-1.73</v>
      </c>
      <c r="H21" s="138">
        <f ca="1"/>
        <v>7</v>
      </c>
      <c r="I21" s="138" t="str">
        <f ca="1"/>
        <v>RWND</v>
      </c>
      <c r="J21" s="138" t="str">
        <f ca="1"/>
        <v xml:space="preserve"> </v>
      </c>
      <c r="K21" s="138">
        <f ca="1"/>
        <v>0.12047142857142856</v>
      </c>
      <c r="L21" s="138">
        <f ca="1"/>
        <v>0.1722714285714286</v>
      </c>
      <c r="M21" s="138">
        <f ca="1"/>
        <v>0.52457142857142858</v>
      </c>
      <c r="N21" s="138">
        <f ca="1"/>
        <v>0.17650000000000002</v>
      </c>
    </row>
    <row r="22" spans="1:14" x14ac:dyDescent="0.3">
      <c r="A22" s="138" t="str">
        <f ca="1"/>
        <v>KRNG</v>
      </c>
      <c r="B22" s="138" t="str">
        <f ca="1"/>
        <v>Karongi</v>
      </c>
      <c r="C22" s="138">
        <f ca="1"/>
        <v>0</v>
      </c>
      <c r="D22" s="138">
        <f ca="1"/>
        <v>29.7</v>
      </c>
      <c r="E22" s="138">
        <f ca="1"/>
        <v>29.97</v>
      </c>
      <c r="F22" s="138">
        <f ca="1"/>
        <v>-2.82</v>
      </c>
      <c r="G22" s="138">
        <f ca="1"/>
        <v>-2.4</v>
      </c>
      <c r="H22" s="138" t="str">
        <f ca="1"/>
        <v xml:space="preserve"> </v>
      </c>
      <c r="I22" s="138" t="str">
        <f ca="1"/>
        <v>WEST</v>
      </c>
      <c r="J22" s="138" t="str">
        <f ca="1"/>
        <v>demand/De3-12.tsv</v>
      </c>
      <c r="K22" s="138">
        <f ca="1"/>
        <v>0.16489999999999999</v>
      </c>
      <c r="L22" s="138">
        <f ca="1"/>
        <v>0.25469999999999998</v>
      </c>
      <c r="M22" s="138">
        <f ca="1"/>
        <v>0.54430000000000001</v>
      </c>
      <c r="N22" s="138">
        <f ca="1"/>
        <v>3.61E-2</v>
      </c>
    </row>
    <row r="23" spans="1:14" x14ac:dyDescent="0.3">
      <c r="A23" s="138" t="str">
        <f ca="1"/>
        <v>NGRR</v>
      </c>
      <c r="B23" s="138" t="str">
        <f ca="1"/>
        <v>Ngororero</v>
      </c>
      <c r="C23" s="138">
        <f ca="1"/>
        <v>0</v>
      </c>
      <c r="D23" s="138">
        <f ca="1"/>
        <v>29.58</v>
      </c>
      <c r="E23" s="138">
        <f ca="1"/>
        <v>29.85</v>
      </c>
      <c r="F23" s="138">
        <f ca="1"/>
        <v>-2.7</v>
      </c>
      <c r="G23" s="138">
        <f ca="1"/>
        <v>-2.37</v>
      </c>
      <c r="H23" s="138" t="str">
        <f ca="1"/>
        <v xml:space="preserve"> </v>
      </c>
      <c r="I23" s="138" t="str">
        <f ca="1"/>
        <v>WEST</v>
      </c>
      <c r="J23" s="138" t="str">
        <f ca="1"/>
        <v>demand/De3-16.tsv</v>
      </c>
      <c r="K23" s="138">
        <f ca="1"/>
        <v>0</v>
      </c>
      <c r="L23" s="138">
        <f ca="1"/>
        <v>0.53690000000000004</v>
      </c>
      <c r="M23" s="138">
        <f ca="1"/>
        <v>0.40739999999999998</v>
      </c>
      <c r="N23" s="138">
        <f ca="1"/>
        <v>5.57E-2</v>
      </c>
    </row>
    <row r="24" spans="1:14" x14ac:dyDescent="0.3">
      <c r="A24" s="138" t="str">
        <f ca="1"/>
        <v>NYBH</v>
      </c>
      <c r="B24" s="138" t="str">
        <f ca="1"/>
        <v>Nyabihu</v>
      </c>
      <c r="C24" s="138">
        <f ca="1"/>
        <v>0</v>
      </c>
      <c r="D24" s="138">
        <f ca="1"/>
        <v>29.78</v>
      </c>
      <c r="E24" s="138">
        <f ca="1"/>
        <v>30.02</v>
      </c>
      <c r="F24" s="138">
        <f ca="1"/>
        <v>-2.2000000000000002</v>
      </c>
      <c r="G24" s="138">
        <f ca="1"/>
        <v>-1.85</v>
      </c>
      <c r="H24" s="138" t="str">
        <f ca="1"/>
        <v xml:space="preserve"> </v>
      </c>
      <c r="I24" s="138" t="str">
        <f ca="1"/>
        <v>WEST</v>
      </c>
      <c r="J24" s="138" t="str">
        <f ca="1"/>
        <v>demand/De3-15.tsv</v>
      </c>
      <c r="K24" s="138">
        <f ca="1"/>
        <v>4.0500000000000001E-2</v>
      </c>
      <c r="L24" s="138">
        <f ca="1"/>
        <v>0.1132</v>
      </c>
      <c r="M24" s="138">
        <f ca="1"/>
        <v>0.79730000000000001</v>
      </c>
      <c r="N24" s="138">
        <f ca="1"/>
        <v>6.3E-3</v>
      </c>
    </row>
    <row r="25" spans="1:14" x14ac:dyDescent="0.3">
      <c r="A25" s="138" t="str">
        <f ca="1"/>
        <v>NYMS</v>
      </c>
      <c r="B25" s="138" t="str">
        <f ca="1"/>
        <v>Nyamasheke</v>
      </c>
      <c r="C25" s="138">
        <f ca="1"/>
        <v>0</v>
      </c>
      <c r="D25" s="138">
        <f ca="1"/>
        <v>29.61</v>
      </c>
      <c r="E25" s="138">
        <f ca="1"/>
        <v>29.82</v>
      </c>
      <c r="F25" s="138">
        <f ca="1"/>
        <v>-2.15</v>
      </c>
      <c r="G25" s="138">
        <f ca="1"/>
        <v>-1.73</v>
      </c>
      <c r="H25" s="138" t="str">
        <f ca="1"/>
        <v xml:space="preserve"> </v>
      </c>
      <c r="I25" s="138" t="str">
        <f ca="1"/>
        <v>WEST</v>
      </c>
      <c r="J25" s="138" t="str">
        <f ca="1"/>
        <v>demand/De3-18.tsv</v>
      </c>
      <c r="K25" s="138">
        <f ca="1"/>
        <v>0.18659999999999999</v>
      </c>
      <c r="L25" s="138">
        <f ca="1"/>
        <v>0.1565</v>
      </c>
      <c r="M25" s="138">
        <f ca="1"/>
        <v>0.1298</v>
      </c>
      <c r="N25" s="138">
        <f ca="1"/>
        <v>0.52700000000000002</v>
      </c>
    </row>
    <row r="26" spans="1:14" x14ac:dyDescent="0.3">
      <c r="A26" s="138" t="str">
        <f ca="1"/>
        <v>RBVU</v>
      </c>
      <c r="B26" s="138" t="str">
        <f ca="1"/>
        <v>Rubavu</v>
      </c>
      <c r="C26" s="138">
        <f ca="1"/>
        <v>0</v>
      </c>
      <c r="D26" s="138">
        <f ca="1"/>
        <v>29.26</v>
      </c>
      <c r="E26" s="138">
        <f ca="1"/>
        <v>29.67</v>
      </c>
      <c r="F26" s="138">
        <f ca="1"/>
        <v>-2.6</v>
      </c>
      <c r="G26" s="138">
        <f ca="1"/>
        <v>-2.2000000000000002</v>
      </c>
      <c r="H26" s="138" t="str">
        <f ca="1"/>
        <v xml:space="preserve"> </v>
      </c>
      <c r="I26" s="138" t="str">
        <f ca="1"/>
        <v>WEST</v>
      </c>
      <c r="J26" s="138" t="str">
        <f ca="1"/>
        <v>demand/De3-14.tsv</v>
      </c>
      <c r="K26" s="138">
        <f ca="1"/>
        <v>0.2482</v>
      </c>
      <c r="L26" s="138">
        <f ca="1"/>
        <v>1.4E-3</v>
      </c>
      <c r="M26" s="138">
        <f ca="1"/>
        <v>0.74870000000000003</v>
      </c>
      <c r="N26" s="138">
        <f ca="1"/>
        <v>1.6999999999999999E-3</v>
      </c>
    </row>
    <row r="27" spans="1:14" x14ac:dyDescent="0.3">
      <c r="A27" s="138" t="str">
        <f ca="1"/>
        <v>RSZI</v>
      </c>
      <c r="B27" s="138" t="str">
        <f ca="1"/>
        <v>Rusizi</v>
      </c>
      <c r="C27" s="138">
        <f ca="1"/>
        <v>0</v>
      </c>
      <c r="D27" s="138">
        <f ca="1"/>
        <v>29.58</v>
      </c>
      <c r="E27" s="138">
        <f ca="1"/>
        <v>29.98</v>
      </c>
      <c r="F27" s="138">
        <f ca="1"/>
        <v>-2.46</v>
      </c>
      <c r="G27" s="138">
        <f ca="1"/>
        <v>-2.23</v>
      </c>
      <c r="H27" s="138" t="str">
        <f ca="1"/>
        <v xml:space="preserve"> </v>
      </c>
      <c r="I27" s="138" t="str">
        <f ca="1"/>
        <v>WEST</v>
      </c>
      <c r="J27" s="138" t="str">
        <f ca="1"/>
        <v>demand/De3-17.tsv</v>
      </c>
      <c r="K27" s="138">
        <f ca="1"/>
        <v>0.2031</v>
      </c>
      <c r="L27" s="138">
        <f ca="1"/>
        <v>4.3E-3</v>
      </c>
      <c r="M27" s="138">
        <f ca="1"/>
        <v>0.41220000000000001</v>
      </c>
      <c r="N27" s="138">
        <f ca="1"/>
        <v>0.38030000000000003</v>
      </c>
    </row>
    <row r="28" spans="1:14" x14ac:dyDescent="0.3">
      <c r="A28" s="138" t="str">
        <f ca="1"/>
        <v>RTSR</v>
      </c>
      <c r="B28" s="138" t="str">
        <f ca="1"/>
        <v>Rutsiro</v>
      </c>
      <c r="C28" s="138">
        <f ca="1"/>
        <v>0</v>
      </c>
      <c r="D28" s="138">
        <f ca="1"/>
        <v>29.33</v>
      </c>
      <c r="E28" s="138">
        <f ca="1"/>
        <v>29.75</v>
      </c>
      <c r="F28" s="138">
        <f ca="1"/>
        <v>-2.84</v>
      </c>
      <c r="G28" s="138">
        <f ca="1"/>
        <v>-2.5299999999999998</v>
      </c>
      <c r="H28" s="138" t="str">
        <f ca="1"/>
        <v xml:space="preserve"> </v>
      </c>
      <c r="I28" s="138" t="str">
        <f ca="1"/>
        <v>WEST</v>
      </c>
      <c r="J28" s="138" t="str">
        <f ca="1"/>
        <v>demand/De3-13.tsv</v>
      </c>
      <c r="K28" s="138">
        <f ca="1"/>
        <v>0</v>
      </c>
      <c r="L28" s="138">
        <f ca="1"/>
        <v>0.1389</v>
      </c>
      <c r="M28" s="138">
        <f ca="1"/>
        <v>0.63229999999999997</v>
      </c>
      <c r="N28" s="138">
        <f ca="1"/>
        <v>0.22839999999999999</v>
      </c>
    </row>
    <row r="29" spans="1:14" x14ac:dyDescent="0.3">
      <c r="A29" s="138" t="str">
        <f ca="1"/>
        <v>SOUT</v>
      </c>
      <c r="B29" s="138" t="str">
        <f ca="1"/>
        <v>South</v>
      </c>
      <c r="C29" s="138">
        <f ca="1"/>
        <v>1</v>
      </c>
      <c r="D29" s="138">
        <f ca="1"/>
        <v>28.86</v>
      </c>
      <c r="E29" s="138">
        <f ca="1"/>
        <v>29.99</v>
      </c>
      <c r="F29" s="138">
        <f ca="1"/>
        <v>-2.74</v>
      </c>
      <c r="G29" s="138">
        <f ca="1"/>
        <v>-1.51</v>
      </c>
      <c r="H29" s="138">
        <f ca="1"/>
        <v>8</v>
      </c>
      <c r="I29" s="138" t="str">
        <f ca="1"/>
        <v>RWND</v>
      </c>
      <c r="J29" s="138" t="str">
        <f ca="1"/>
        <v xml:space="preserve"> </v>
      </c>
      <c r="K29" s="138">
        <f ca="1"/>
        <v>0.1388875</v>
      </c>
      <c r="L29" s="138">
        <f ca="1"/>
        <v>0.51853749999999998</v>
      </c>
      <c r="M29" s="138">
        <f ca="1"/>
        <v>0.31973750000000001</v>
      </c>
      <c r="N29" s="138">
        <f ca="1"/>
        <v>2.2875E-2</v>
      </c>
    </row>
    <row r="30" spans="1:14" x14ac:dyDescent="0.3">
      <c r="A30" s="138" t="str">
        <f ca="1"/>
        <v>GSGR</v>
      </c>
      <c r="B30" s="138" t="str">
        <f ca="1"/>
        <v>Gisagara</v>
      </c>
      <c r="C30" s="138">
        <f ca="1"/>
        <v>0</v>
      </c>
      <c r="D30" s="138">
        <f ca="1"/>
        <v>29.56</v>
      </c>
      <c r="E30" s="138">
        <f ca="1"/>
        <v>29.99</v>
      </c>
      <c r="F30" s="138">
        <f ca="1"/>
        <v>-2.29</v>
      </c>
      <c r="G30" s="138">
        <f ca="1"/>
        <v>-2.1</v>
      </c>
      <c r="H30" s="138" t="str">
        <f ca="1"/>
        <v xml:space="preserve"> </v>
      </c>
      <c r="I30" s="138" t="str">
        <f ca="1"/>
        <v>SOUT</v>
      </c>
      <c r="J30" s="138" t="str">
        <f ca="1"/>
        <v>demand/De3-5.tsv</v>
      </c>
      <c r="K30" s="138">
        <f ca="1"/>
        <v>1.47E-2</v>
      </c>
      <c r="L30" s="138">
        <f ca="1"/>
        <v>0.31929999999999997</v>
      </c>
      <c r="M30" s="138">
        <f ca="1"/>
        <v>0.65610000000000002</v>
      </c>
      <c r="N30" s="138">
        <f ca="1"/>
        <v>9.9000000000000008E-3</v>
      </c>
    </row>
    <row r="31" spans="1:14" x14ac:dyDescent="0.3">
      <c r="A31" s="138" t="str">
        <f ca="1"/>
        <v>HUYE</v>
      </c>
      <c r="B31" s="138" t="str">
        <f ca="1"/>
        <v>Huye</v>
      </c>
      <c r="C31" s="138">
        <f ca="1"/>
        <v>0</v>
      </c>
      <c r="D31" s="138">
        <f ca="1"/>
        <v>29.25</v>
      </c>
      <c r="E31" s="138">
        <f ca="1"/>
        <v>29.62</v>
      </c>
      <c r="F31" s="138">
        <f ca="1"/>
        <v>-2.3199999999999998</v>
      </c>
      <c r="G31" s="138">
        <f ca="1"/>
        <v>-2.02</v>
      </c>
      <c r="H31" s="138" t="str">
        <f ca="1"/>
        <v xml:space="preserve"> </v>
      </c>
      <c r="I31" s="138" t="str">
        <f ca="1"/>
        <v>SOUT</v>
      </c>
      <c r="J31" s="138" t="str">
        <f ca="1"/>
        <v>demand/De3-7.tsv</v>
      </c>
      <c r="K31" s="138">
        <f ca="1"/>
        <v>0.2203</v>
      </c>
      <c r="L31" s="138">
        <f ca="1"/>
        <v>0.36009999999999998</v>
      </c>
      <c r="M31" s="138">
        <f ca="1"/>
        <v>0.41970000000000002</v>
      </c>
      <c r="N31" s="138">
        <f ca="1"/>
        <v>0</v>
      </c>
    </row>
    <row r="32" spans="1:14" x14ac:dyDescent="0.3">
      <c r="A32" s="138" t="str">
        <f ca="1"/>
        <v>KMNY</v>
      </c>
      <c r="B32" s="138" t="str">
        <f ca="1"/>
        <v>Kamonyi</v>
      </c>
      <c r="C32" s="138">
        <f ca="1"/>
        <v>0</v>
      </c>
      <c r="D32" s="138">
        <f ca="1"/>
        <v>29.4</v>
      </c>
      <c r="E32" s="138">
        <f ca="1"/>
        <v>29.68</v>
      </c>
      <c r="F32" s="138">
        <f ca="1"/>
        <v>-2.09</v>
      </c>
      <c r="G32" s="138">
        <f ca="1"/>
        <v>-1.72</v>
      </c>
      <c r="H32" s="138" t="str">
        <f ca="1"/>
        <v xml:space="preserve"> </v>
      </c>
      <c r="I32" s="138" t="str">
        <f ca="1"/>
        <v>SOUT</v>
      </c>
      <c r="J32" s="138" t="str">
        <f ca="1"/>
        <v>demand/De3-11.tsv</v>
      </c>
      <c r="K32" s="138">
        <f ca="1"/>
        <v>0.3483</v>
      </c>
      <c r="L32" s="138">
        <f ca="1"/>
        <v>0.3846</v>
      </c>
      <c r="M32" s="138">
        <f ca="1"/>
        <v>0.2651</v>
      </c>
      <c r="N32" s="138">
        <f ca="1"/>
        <v>2E-3</v>
      </c>
    </row>
    <row r="33" spans="1:14" x14ac:dyDescent="0.3">
      <c r="A33" s="138" t="str">
        <f ca="1"/>
        <v>MHNG</v>
      </c>
      <c r="B33" s="138" t="str">
        <f ca="1"/>
        <v>Muhanga</v>
      </c>
      <c r="C33" s="138">
        <f ca="1"/>
        <v>0</v>
      </c>
      <c r="D33" s="138">
        <f ca="1"/>
        <v>29.38</v>
      </c>
      <c r="E33" s="138">
        <f ca="1"/>
        <v>29.64</v>
      </c>
      <c r="F33" s="138">
        <f ca="1"/>
        <v>-1.78</v>
      </c>
      <c r="G33" s="138">
        <f ca="1"/>
        <v>-1.51</v>
      </c>
      <c r="H33" s="138" t="str">
        <f ca="1"/>
        <v xml:space="preserve"> </v>
      </c>
      <c r="I33" s="138" t="str">
        <f ca="1"/>
        <v>SOUT</v>
      </c>
      <c r="J33" s="138" t="str">
        <f ca="1"/>
        <v>demand/De3-10.tsv</v>
      </c>
      <c r="K33" s="138">
        <f ca="1"/>
        <v>0.26469999999999999</v>
      </c>
      <c r="L33" s="138">
        <f ca="1"/>
        <v>0.30120000000000002</v>
      </c>
      <c r="M33" s="138">
        <f ca="1"/>
        <v>0.34260000000000002</v>
      </c>
      <c r="N33" s="138">
        <f ca="1"/>
        <v>9.1499999999999998E-2</v>
      </c>
    </row>
    <row r="34" spans="1:14" x14ac:dyDescent="0.3">
      <c r="A34" s="138" t="str">
        <f ca="1"/>
        <v>NYMG</v>
      </c>
      <c r="B34" s="138" t="str">
        <f ca="1"/>
        <v>Nyamagabe</v>
      </c>
      <c r="C34" s="138">
        <f ca="1"/>
        <v>0</v>
      </c>
      <c r="D34" s="138">
        <f ca="1"/>
        <v>28.96</v>
      </c>
      <c r="E34" s="138">
        <f ca="1"/>
        <v>29.34</v>
      </c>
      <c r="F34" s="138">
        <f ca="1"/>
        <v>-2.57</v>
      </c>
      <c r="G34" s="138">
        <f ca="1"/>
        <v>-2.15</v>
      </c>
      <c r="H34" s="138" t="str">
        <f ca="1"/>
        <v xml:space="preserve"> </v>
      </c>
      <c r="I34" s="138" t="str">
        <f ca="1"/>
        <v>SOUT</v>
      </c>
      <c r="J34" s="138" t="str">
        <f ca="1"/>
        <v>demand/De3-8.tsv</v>
      </c>
      <c r="K34" s="138">
        <f ca="1"/>
        <v>0</v>
      </c>
      <c r="L34" s="138">
        <f ca="1"/>
        <v>0.90159999999999996</v>
      </c>
      <c r="M34" s="138">
        <f ca="1"/>
        <v>5.8500000000000003E-2</v>
      </c>
      <c r="N34" s="138">
        <f ca="1"/>
        <v>3.9899999999999998E-2</v>
      </c>
    </row>
    <row r="35" spans="1:14" x14ac:dyDescent="0.3">
      <c r="A35" s="138" t="str">
        <f ca="1"/>
        <v>NYNZ</v>
      </c>
      <c r="B35" s="138" t="str">
        <f ca="1"/>
        <v>Nyanza</v>
      </c>
      <c r="C35" s="138">
        <f ca="1"/>
        <v>0</v>
      </c>
      <c r="D35" s="138">
        <f ca="1"/>
        <v>29.24</v>
      </c>
      <c r="E35" s="138">
        <f ca="1"/>
        <v>29.44</v>
      </c>
      <c r="F35" s="138">
        <f ca="1"/>
        <v>-1.77</v>
      </c>
      <c r="G35" s="138">
        <f ca="1"/>
        <v>-1.51</v>
      </c>
      <c r="H35" s="138" t="str">
        <f ca="1"/>
        <v xml:space="preserve"> </v>
      </c>
      <c r="I35" s="138" t="str">
        <f ca="1"/>
        <v>SOUT</v>
      </c>
      <c r="J35" s="138" t="str">
        <f ca="1"/>
        <v>demand/De3-4.tsv</v>
      </c>
      <c r="K35" s="138">
        <f ca="1"/>
        <v>0.18720000000000001</v>
      </c>
      <c r="L35" s="138">
        <f ca="1"/>
        <v>0.39829999999999999</v>
      </c>
      <c r="M35" s="138">
        <f ca="1"/>
        <v>0.4073</v>
      </c>
      <c r="N35" s="138">
        <f ca="1"/>
        <v>7.3000000000000001E-3</v>
      </c>
    </row>
    <row r="36" spans="1:14" x14ac:dyDescent="0.3">
      <c r="A36" s="138" t="str">
        <f ca="1"/>
        <v>NYRG</v>
      </c>
      <c r="B36" s="138" t="str">
        <f ca="1"/>
        <v>Nyaruguru</v>
      </c>
      <c r="C36" s="138">
        <f ca="1"/>
        <v>0</v>
      </c>
      <c r="D36" s="138">
        <f ca="1"/>
        <v>28.86</v>
      </c>
      <c r="E36" s="138">
        <f ca="1"/>
        <v>29.37</v>
      </c>
      <c r="F36" s="138">
        <f ca="1"/>
        <v>-2.74</v>
      </c>
      <c r="G36" s="138">
        <f ca="1"/>
        <v>-2.37</v>
      </c>
      <c r="H36" s="138" t="str">
        <f ca="1"/>
        <v xml:space="preserve"> </v>
      </c>
      <c r="I36" s="138" t="str">
        <f ca="1"/>
        <v>SOUT</v>
      </c>
      <c r="J36" s="138" t="str">
        <f ca="1"/>
        <v>demand/De3-6.tsv</v>
      </c>
      <c r="K36" s="138">
        <f ca="1"/>
        <v>0</v>
      </c>
      <c r="L36" s="138">
        <f ca="1"/>
        <v>0.83440000000000003</v>
      </c>
      <c r="M36" s="138">
        <f ca="1"/>
        <v>0.13320000000000001</v>
      </c>
      <c r="N36" s="138">
        <f ca="1"/>
        <v>3.2399999999999998E-2</v>
      </c>
    </row>
    <row r="37" spans="1:14" x14ac:dyDescent="0.3">
      <c r="A37" s="138" t="str">
        <f ca="1"/>
        <v>RHNG</v>
      </c>
      <c r="B37" s="138" t="str">
        <f ca="1"/>
        <v>Ruhango</v>
      </c>
      <c r="C37" s="138">
        <f ca="1"/>
        <v>0</v>
      </c>
      <c r="D37" s="138">
        <f ca="1"/>
        <v>29.14</v>
      </c>
      <c r="E37" s="138">
        <f ca="1"/>
        <v>29.57</v>
      </c>
      <c r="F37" s="138">
        <f ca="1"/>
        <v>-2.0699999999999998</v>
      </c>
      <c r="G37" s="138">
        <f ca="1"/>
        <v>-1.73</v>
      </c>
      <c r="H37" s="138" t="str">
        <f ca="1"/>
        <v xml:space="preserve"> </v>
      </c>
      <c r="I37" s="138" t="str">
        <f ca="1"/>
        <v>SOUT</v>
      </c>
      <c r="J37" s="138" t="str">
        <f ca="1"/>
        <v>demand/De3-9.tsv</v>
      </c>
      <c r="K37" s="138">
        <f ca="1"/>
        <v>7.5899999999999995E-2</v>
      </c>
      <c r="L37" s="138">
        <f ca="1"/>
        <v>0.64880000000000004</v>
      </c>
      <c r="M37" s="138">
        <f ca="1"/>
        <v>0.27539999999999998</v>
      </c>
      <c r="N37" s="138">
        <f ca="1"/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7C875-CE77-4974-9D56-B5709D22D04F}">
  <sheetPr codeName="Sheet72"/>
  <dimension ref="A1:F5"/>
  <sheetViews>
    <sheetView workbookViewId="0"/>
  </sheetViews>
  <sheetFormatPr defaultColWidth="5.6640625" defaultRowHeight="14.4" x14ac:dyDescent="0.3"/>
  <cols>
    <col min="1" max="1" width="12" bestFit="1" customWidth="1"/>
    <col min="2" max="2" width="15.33203125" bestFit="1" customWidth="1"/>
    <col min="3" max="3" width="8" bestFit="1" customWidth="1"/>
    <col min="4" max="4" width="9" bestFit="1" customWidth="1"/>
    <col min="5" max="5" width="7.33203125" bestFit="1" customWidth="1"/>
    <col min="6" max="6" width="7.109375" bestFit="1" customWidth="1"/>
  </cols>
  <sheetData>
    <row r="1" spans="1:6" x14ac:dyDescent="0.3">
      <c r="A1" s="138" t="s">
        <v>1967</v>
      </c>
      <c r="B1" s="138" t="s">
        <v>1968</v>
      </c>
      <c r="C1" s="138" t="s">
        <v>1272</v>
      </c>
      <c r="D1" s="138" t="s">
        <v>282</v>
      </c>
      <c r="E1" s="138" t="s">
        <v>1969</v>
      </c>
      <c r="F1" t="s">
        <v>1970</v>
      </c>
    </row>
    <row r="2" spans="1:6" x14ac:dyDescent="0.3">
      <c r="A2" s="610" cm="1">
        <f t="array" aca="1" ref="A2:A3" ca="1">_xlfn.SEQUENCE(Internal!$B$16,1,MATCH(Console!$D$7,OFFSET(Internal!$AD$1,1,0,Internal!$B$16),0),0)</f>
        <v>1</v>
      </c>
      <c r="B2" s="610" t="str" cm="1">
        <f t="array" ref="B2:B3">INDEX(REPT(Console!$D$7,1),_xlfn.SEQUENCE(Internal!$B$16,1,1,0))</f>
        <v>General</v>
      </c>
      <c r="C2" s="138">
        <v>0</v>
      </c>
      <c r="D2" cm="1">
        <f t="array" aca="1" ref="D2:F3" ca="1">TRANSPOSE(OFFSET(INDIRECT(ADDRESS(20,2+3*(MATCH(Console!$D$7,OFFSET(Internal!$AD$1,1,0,Internal!$B$16),0)-1),,,"De5")),0,1,3,2))</f>
        <v>1.2E-2</v>
      </c>
      <c r="E2" s="138">
        <f ca="1"/>
        <v>-0.01</v>
      </c>
      <c r="F2">
        <f ca="1"/>
        <v>1.2E-2</v>
      </c>
    </row>
    <row r="3" spans="1:6" x14ac:dyDescent="0.3">
      <c r="A3" s="611">
        <f ca="1"/>
        <v>1</v>
      </c>
      <c r="B3" s="611" t="str">
        <v>General</v>
      </c>
      <c r="C3">
        <v>1</v>
      </c>
      <c r="D3">
        <f ca="1"/>
        <v>1.7999999999999999E-2</v>
      </c>
      <c r="E3">
        <f ca="1"/>
        <v>-1.7999999999999999E-2</v>
      </c>
      <c r="F3">
        <f ca="1"/>
        <v>1.7999999999999999E-2</v>
      </c>
    </row>
    <row r="4" spans="1:6" x14ac:dyDescent="0.3">
      <c r="A4" s="611"/>
      <c r="B4" s="611"/>
    </row>
    <row r="5" spans="1:6" x14ac:dyDescent="0.3">
      <c r="A5" s="611"/>
      <c r="B5" s="61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5805-8FF1-4FC9-A64D-D171D1207E70}">
  <sheetPr codeName="Sheet73"/>
  <dimension ref="A1:E5"/>
  <sheetViews>
    <sheetView workbookViewId="0"/>
  </sheetViews>
  <sheetFormatPr defaultColWidth="5.6640625" defaultRowHeight="14.4" x14ac:dyDescent="0.3"/>
  <cols>
    <col min="1" max="1" width="12" bestFit="1" customWidth="1"/>
    <col min="2" max="2" width="15.33203125" bestFit="1" customWidth="1"/>
    <col min="3" max="3" width="8" bestFit="1" customWidth="1"/>
    <col min="4" max="4" width="9" bestFit="1" customWidth="1"/>
    <col min="5" max="5" width="7.33203125" bestFit="1" customWidth="1"/>
    <col min="6" max="6" width="7.109375" bestFit="1" customWidth="1"/>
  </cols>
  <sheetData>
    <row r="1" spans="1:5" x14ac:dyDescent="0.3">
      <c r="A1" s="138" t="s">
        <v>1967</v>
      </c>
      <c r="B1" s="138" t="s">
        <v>1968</v>
      </c>
      <c r="C1" s="138" t="s">
        <v>1272</v>
      </c>
      <c r="D1" s="138" t="s">
        <v>282</v>
      </c>
      <c r="E1" s="138"/>
    </row>
    <row r="2" spans="1:5" x14ac:dyDescent="0.3">
      <c r="A2" s="610" cm="1">
        <f t="array" aca="1" ref="A2:A3" ca="1">_xlfn.SEQUENCE(Internal!$B$16,1,MATCH(Console!$D$7,OFFSET(Internal!$AD$1,1,0,Internal!$B$16),0),0)</f>
        <v>1</v>
      </c>
      <c r="B2" s="610" t="str" cm="1">
        <f t="array" ref="B2:B3">INDEX(REPT(Console!$D$7,1),_xlfn.SEQUENCE(Internal!$B$16,1,1,0))</f>
        <v>General</v>
      </c>
      <c r="C2" s="138">
        <v>0</v>
      </c>
      <c r="D2" cm="1">
        <f t="array" aca="1" ref="D2:D3" ca="1">TRANSPOSE(OFFSET(INDIRECT(ADDRESS(25,2+3*(MATCH(Console!$D$7,OFFSET(Internal!$AD$1,1,0,Internal!$B$16),0)-1),,,"De5")),0,1,1,2))</f>
        <v>-0.03</v>
      </c>
      <c r="E2" s="138"/>
    </row>
    <row r="3" spans="1:5" x14ac:dyDescent="0.3">
      <c r="A3" s="611">
        <f ca="1"/>
        <v>1</v>
      </c>
      <c r="B3" s="611" t="str">
        <v>General</v>
      </c>
      <c r="C3">
        <v>1</v>
      </c>
      <c r="D3">
        <f ca="1"/>
        <v>-0.03</v>
      </c>
    </row>
    <row r="4" spans="1:5" x14ac:dyDescent="0.3">
      <c r="A4" s="611"/>
      <c r="B4" s="611"/>
    </row>
    <row r="5" spans="1:5" x14ac:dyDescent="0.3">
      <c r="A5" s="611"/>
      <c r="B5" s="61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4FB7A-FAF1-468D-A586-A54F18B850DB}">
  <sheetPr codeName="Sheet74"/>
  <dimension ref="A1:K5"/>
  <sheetViews>
    <sheetView workbookViewId="0">
      <selection activeCell="F4" sqref="F4"/>
    </sheetView>
  </sheetViews>
  <sheetFormatPr defaultColWidth="5.6640625" defaultRowHeight="14.4" x14ac:dyDescent="0.3"/>
  <cols>
    <col min="1" max="1" width="12" bestFit="1" customWidth="1"/>
    <col min="2" max="2" width="15.33203125" bestFit="1" customWidth="1"/>
    <col min="3" max="3" width="8" bestFit="1" customWidth="1"/>
    <col min="4" max="4" width="13.6640625" bestFit="1" customWidth="1"/>
    <col min="5" max="5" width="16.21875" bestFit="1" customWidth="1"/>
    <col min="6" max="6" width="18.109375" bestFit="1" customWidth="1"/>
    <col min="7" max="7" width="12" bestFit="1" customWidth="1"/>
    <col min="8" max="8" width="6.21875" bestFit="1" customWidth="1"/>
    <col min="9" max="9" width="8.88671875" bestFit="1" customWidth="1"/>
    <col min="10" max="10" width="8.77734375" bestFit="1" customWidth="1"/>
    <col min="11" max="11" width="11.88671875" bestFit="1" customWidth="1"/>
  </cols>
  <sheetData>
    <row r="1" spans="1:11" x14ac:dyDescent="0.3">
      <c r="A1" s="138" t="s">
        <v>1967</v>
      </c>
      <c r="B1" s="138" t="s">
        <v>1968</v>
      </c>
      <c r="C1" s="138" t="s">
        <v>1272</v>
      </c>
      <c r="D1" s="138" t="s">
        <v>1971</v>
      </c>
      <c r="E1" s="138" t="s">
        <v>1972</v>
      </c>
      <c r="F1" t="s">
        <v>1973</v>
      </c>
      <c r="G1" t="s">
        <v>1278</v>
      </c>
      <c r="H1" t="s">
        <v>1261</v>
      </c>
      <c r="I1" t="s">
        <v>1974</v>
      </c>
      <c r="J1" t="s">
        <v>1241</v>
      </c>
      <c r="K1" t="s">
        <v>1279</v>
      </c>
    </row>
    <row r="2" spans="1:11" x14ac:dyDescent="0.3">
      <c r="A2" s="610" cm="1">
        <f t="array" aca="1" ref="A2:A3" ca="1">_xlfn.SEQUENCE(Internal!$B$16,1,MATCH(Console!$D$7,OFFSET(Internal!$AD$1,1,0,Internal!$B$16),0),0)</f>
        <v>1</v>
      </c>
      <c r="B2" s="610" t="str" cm="1">
        <f t="array" ref="B2:B3">INDEX(REPT(Console!$D$7,1),_xlfn.SEQUENCE(Internal!$B$16,1,1,0))</f>
        <v>General</v>
      </c>
      <c r="C2" s="138">
        <v>0</v>
      </c>
      <c r="D2" cm="1">
        <f t="array" aca="1" ref="D2:F3" ca="1">TRANSPOSE(OFFSET(INDIRECT(ADDRESS(28,2+3*(MATCH(Console!$D$7,OFFSET(Internal!$AD$1,1,0,Internal!$B$16),0)-1),,,"De5")),0,1,3,2))</f>
        <v>7.0000000000000001E-3</v>
      </c>
      <c r="E2" s="138">
        <f ca="1"/>
        <v>8.0000000000000002E-3</v>
      </c>
      <c r="F2">
        <f ca="1"/>
        <v>0.01</v>
      </c>
      <c r="G2" cm="1">
        <f t="array" aca="1" ref="G2:K3" ca="1">TRANSPOSE(OFFSET(INDIRECT(ADDRESS(33,2+3*(MATCH(Console!$D$7,OFFSET(Internal!$AD$1,1,0,Internal!$B$16),0)-1),,,"De5")),0,1,5,2))</f>
        <v>0.01</v>
      </c>
      <c r="H2">
        <f ca="1"/>
        <v>5.0000000000000001E-3</v>
      </c>
      <c r="I2">
        <f ca="1"/>
        <v>0.01</v>
      </c>
      <c r="J2">
        <f ca="1"/>
        <v>0</v>
      </c>
      <c r="K2">
        <f ca="1"/>
        <v>-1E-3</v>
      </c>
    </row>
    <row r="3" spans="1:11" x14ac:dyDescent="0.3">
      <c r="A3" s="611">
        <f ca="1"/>
        <v>1</v>
      </c>
      <c r="B3" s="611" t="str">
        <v>General</v>
      </c>
      <c r="C3">
        <v>1</v>
      </c>
      <c r="D3">
        <f ca="1"/>
        <v>0.01</v>
      </c>
      <c r="E3">
        <f ca="1"/>
        <v>8.3000000000000004E-2</v>
      </c>
      <c r="F3">
        <f ca="1"/>
        <v>1.4999999999999999E-2</v>
      </c>
      <c r="G3">
        <f ca="1"/>
        <v>0.01</v>
      </c>
      <c r="H3">
        <f ca="1"/>
        <v>5.0000000000000001E-3</v>
      </c>
      <c r="I3">
        <f ca="1"/>
        <v>0.01</v>
      </c>
      <c r="J3">
        <f ca="1"/>
        <v>0</v>
      </c>
      <c r="K3">
        <f ca="1"/>
        <v>-1E-3</v>
      </c>
    </row>
    <row r="4" spans="1:11" x14ac:dyDescent="0.3">
      <c r="A4" s="611"/>
      <c r="B4" s="611"/>
    </row>
    <row r="5" spans="1:11" x14ac:dyDescent="0.3">
      <c r="A5" s="611"/>
      <c r="B5" s="611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7FE22-2B01-45E7-807E-9663DCE3FC4E}">
  <sheetPr codeName="Sheet75"/>
  <dimension ref="A1:F5"/>
  <sheetViews>
    <sheetView workbookViewId="0"/>
  </sheetViews>
  <sheetFormatPr defaultColWidth="5.6640625" defaultRowHeight="14.4" x14ac:dyDescent="0.3"/>
  <cols>
    <col min="1" max="1" width="12" bestFit="1" customWidth="1"/>
    <col min="2" max="2" width="15.33203125" bestFit="1" customWidth="1"/>
    <col min="3" max="3" width="8" bestFit="1" customWidth="1"/>
    <col min="4" max="4" width="13.6640625" bestFit="1" customWidth="1"/>
    <col min="5" max="5" width="16.21875" bestFit="1" customWidth="1"/>
    <col min="6" max="6" width="18.109375" bestFit="1" customWidth="1"/>
    <col min="7" max="7" width="12" bestFit="1" customWidth="1"/>
    <col min="8" max="8" width="6.21875" bestFit="1" customWidth="1"/>
    <col min="9" max="9" width="8.88671875" bestFit="1" customWidth="1"/>
    <col min="10" max="10" width="8.77734375" bestFit="1" customWidth="1"/>
    <col min="11" max="11" width="11.88671875" bestFit="1" customWidth="1"/>
  </cols>
  <sheetData>
    <row r="1" spans="1:6" x14ac:dyDescent="0.3">
      <c r="A1" s="138" t="s">
        <v>1967</v>
      </c>
      <c r="B1" s="138" t="s">
        <v>1968</v>
      </c>
      <c r="C1" s="138" t="s">
        <v>1242</v>
      </c>
      <c r="D1" s="138" t="s">
        <v>1952</v>
      </c>
      <c r="E1" s="138" t="s">
        <v>1975</v>
      </c>
      <c r="F1" t="s">
        <v>1976</v>
      </c>
    </row>
    <row r="2" spans="1:6" x14ac:dyDescent="0.3">
      <c r="A2" s="610" cm="1">
        <f t="array" aca="1" ref="A2:A3" ca="1">_xlfn.SEQUENCE(Internal!$B$16,1,MATCH(Console!$D$7,OFFSET(Internal!$AD$1,1,0,Internal!$B$16),0),0)</f>
        <v>1</v>
      </c>
      <c r="B2" s="610" t="str" cm="1">
        <f t="array" ref="B2:B3">INDEX(REPT(Console!$D$7,1),_xlfn.SEQUENCE(Internal!$B$16,1,1,0))</f>
        <v>General</v>
      </c>
      <c r="C2" s="138" cm="1">
        <f t="array" aca="1" ref="C2:C3" ca="1">MATCH(OFFSET('De5'!$B$40,0,0,2,1),Internal!$M$2:$M$21,0)</f>
        <v>1</v>
      </c>
      <c r="D2" cm="1">
        <f t="array" aca="1" ref="D2:F3" ca="1">OFFSET(INDIRECT(ADDRESS(40,2+3*(MATCH(Console!$D$7,OFFSET(Internal!$AD$1,1,0,Internal!$B$16),0)-1),,,"De5")),0,1,2,3)</f>
        <v>-0.01</v>
      </c>
      <c r="E2" s="138">
        <f ca="1"/>
        <v>-0.01</v>
      </c>
      <c r="F2" s="374">
        <f ca="1"/>
        <v>0</v>
      </c>
    </row>
    <row r="3" spans="1:6" x14ac:dyDescent="0.3">
      <c r="A3" s="611">
        <f ca="1"/>
        <v>1</v>
      </c>
      <c r="B3" s="611" t="str">
        <v>General</v>
      </c>
      <c r="C3">
        <f ca="1"/>
        <v>2</v>
      </c>
      <c r="D3">
        <f ca="1"/>
        <v>-0.01</v>
      </c>
      <c r="E3">
        <f ca="1"/>
        <v>0</v>
      </c>
      <c r="F3" s="374">
        <f ca="1"/>
        <v>0.05</v>
      </c>
    </row>
    <row r="4" spans="1:6" x14ac:dyDescent="0.3">
      <c r="A4" s="611"/>
      <c r="B4" s="611"/>
    </row>
    <row r="5" spans="1:6" x14ac:dyDescent="0.3">
      <c r="A5" s="611"/>
      <c r="B5" s="61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EB9AD-53DD-48B7-BEF2-C9BED292BA00}">
  <sheetPr codeName="Sheet76"/>
  <dimension ref="A1:F10"/>
  <sheetViews>
    <sheetView workbookViewId="0"/>
  </sheetViews>
  <sheetFormatPr defaultColWidth="5.6640625" defaultRowHeight="14.4" x14ac:dyDescent="0.3"/>
  <cols>
    <col min="1" max="1" width="12" style="611" bestFit="1" customWidth="1"/>
    <col min="2" max="2" width="15.33203125" style="611" bestFit="1" customWidth="1"/>
    <col min="3" max="3" width="11.21875" style="611" bestFit="1" customWidth="1"/>
    <col min="4" max="4" width="10.44140625" style="611" bestFit="1" customWidth="1"/>
    <col min="5" max="5" width="5.6640625" style="611" bestFit="1" customWidth="1"/>
    <col min="6" max="6" width="4.44140625" style="611" bestFit="1" customWidth="1"/>
    <col min="7" max="7" width="12" style="611" bestFit="1" customWidth="1"/>
    <col min="8" max="8" width="6.21875" style="611" bestFit="1" customWidth="1"/>
    <col min="9" max="9" width="8.88671875" style="611" bestFit="1" customWidth="1"/>
    <col min="10" max="10" width="8.77734375" style="611" bestFit="1" customWidth="1"/>
    <col min="11" max="11" width="11.88671875" style="611" bestFit="1" customWidth="1"/>
    <col min="12" max="16384" width="5.6640625" style="611"/>
  </cols>
  <sheetData>
    <row r="1" spans="1:6" x14ac:dyDescent="0.3">
      <c r="A1" s="630" t="s">
        <v>1967</v>
      </c>
      <c r="B1" s="630" t="s">
        <v>1968</v>
      </c>
      <c r="C1" s="630" t="s">
        <v>1242</v>
      </c>
      <c r="D1" s="630" t="s">
        <v>1260</v>
      </c>
      <c r="E1" s="610"/>
    </row>
    <row r="2" spans="1:6" x14ac:dyDescent="0.3">
      <c r="A2" s="610" cm="1">
        <f t="array" aca="1" ref="A2:A10" ca="1">_xlfn.SEQUENCE(Internal!$B$6,1,MATCH(Console!$D$7,OFFSET(Internal!$AD$1,1,0,Internal!$B$16),0),0)</f>
        <v>1</v>
      </c>
      <c r="B2" s="610" t="str" cm="1">
        <f t="array" ref="B2:B10">INDEX(REPT(Console!$D$7,1),_xlfn.SEQUENCE(Internal!$B$6,1,1,0))</f>
        <v>General</v>
      </c>
      <c r="C2" s="610" cm="1">
        <f t="array" aca="1" ref="C2:C10" ca="1">MATCH(OFFSET('De5'!$B$44,0,0,Internal!$B$6,1),Internal!$M$2:$M$21,0)</f>
        <v>1</v>
      </c>
      <c r="D2" s="611" cm="1">
        <f t="array" aca="1" ref="D2:D10" ca="1">OFFSET(INDIRECT(ADDRESS(44,2+3*(MATCH(Console!$D$7,OFFSET(Internal!$AD$1,1,0,Internal!$B$16),0)-1),,,"De5")),0,1,Internal!$B$6,1)</f>
        <v>6.9999999999999993E-3</v>
      </c>
      <c r="E2" s="610"/>
      <c r="F2" s="631"/>
    </row>
    <row r="3" spans="1:6" x14ac:dyDescent="0.3">
      <c r="A3" s="611">
        <f ca="1"/>
        <v>1</v>
      </c>
      <c r="B3" s="611" t="str">
        <v>General</v>
      </c>
      <c r="C3" s="611">
        <f ca="1"/>
        <v>2</v>
      </c>
      <c r="D3" s="611">
        <f ca="1"/>
        <v>8.0000000000000002E-3</v>
      </c>
      <c r="F3" s="631"/>
    </row>
    <row r="4" spans="1:6" x14ac:dyDescent="0.3">
      <c r="A4" s="611">
        <f ca="1"/>
        <v>1</v>
      </c>
      <c r="B4" s="611" t="str">
        <v>General</v>
      </c>
      <c r="C4" s="611">
        <f ca="1"/>
        <v>3</v>
      </c>
      <c r="D4" s="611">
        <f ca="1"/>
        <v>6.9999999999999993E-3</v>
      </c>
    </row>
    <row r="5" spans="1:6" x14ac:dyDescent="0.3">
      <c r="A5" s="611">
        <f ca="1"/>
        <v>1</v>
      </c>
      <c r="B5" s="611" t="str">
        <v>General</v>
      </c>
      <c r="C5" s="611">
        <f ca="1"/>
        <v>4</v>
      </c>
      <c r="D5" s="611">
        <f ca="1"/>
        <v>8.0000000000000002E-3</v>
      </c>
    </row>
    <row r="6" spans="1:6" x14ac:dyDescent="0.3">
      <c r="A6" s="611">
        <f ca="1"/>
        <v>1</v>
      </c>
      <c r="B6" s="611" t="str">
        <v>General</v>
      </c>
      <c r="C6" s="611">
        <f ca="1"/>
        <v>5</v>
      </c>
      <c r="D6" s="611">
        <f ca="1"/>
        <v>8.0000000000000002E-3</v>
      </c>
    </row>
    <row r="7" spans="1:6" x14ac:dyDescent="0.3">
      <c r="A7" s="611">
        <f ca="1"/>
        <v>1</v>
      </c>
      <c r="B7" s="611" t="str">
        <v>General</v>
      </c>
      <c r="C7" s="611">
        <f ca="1"/>
        <v>6</v>
      </c>
      <c r="D7" s="611">
        <f ca="1"/>
        <v>4.0000000000000001E-3</v>
      </c>
    </row>
    <row r="8" spans="1:6" x14ac:dyDescent="0.3">
      <c r="A8" s="611">
        <f ca="1"/>
        <v>1</v>
      </c>
      <c r="B8" s="611" t="str">
        <v>General</v>
      </c>
      <c r="C8" s="611">
        <f ca="1"/>
        <v>7</v>
      </c>
      <c r="D8" s="611">
        <f ca="1"/>
        <v>6.9999999999999993E-3</v>
      </c>
    </row>
    <row r="9" spans="1:6" x14ac:dyDescent="0.3">
      <c r="A9" s="611">
        <f ca="1"/>
        <v>1</v>
      </c>
      <c r="B9" s="611" t="str">
        <v>General</v>
      </c>
      <c r="C9" s="611">
        <f ca="1"/>
        <v>8</v>
      </c>
      <c r="D9" s="611">
        <f ca="1"/>
        <v>6.0000000000000001E-3</v>
      </c>
    </row>
    <row r="10" spans="1:6" x14ac:dyDescent="0.3">
      <c r="A10" s="611">
        <f ca="1"/>
        <v>1</v>
      </c>
      <c r="B10" s="611" t="str">
        <v>General</v>
      </c>
      <c r="C10" s="611">
        <f ca="1"/>
        <v>9</v>
      </c>
      <c r="D10" s="611">
        <f ca="1"/>
        <v>6.0000000000000001E-3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2491-B66C-4DFF-B0C8-1E2C8C5C7C36}">
  <sheetPr codeName="Sheet77"/>
  <dimension ref="A1:F14"/>
  <sheetViews>
    <sheetView workbookViewId="0">
      <selection activeCell="A3" sqref="A3"/>
    </sheetView>
  </sheetViews>
  <sheetFormatPr defaultColWidth="5.6640625" defaultRowHeight="14.4" x14ac:dyDescent="0.3"/>
  <cols>
    <col min="1" max="1" width="12" style="611" bestFit="1" customWidth="1"/>
    <col min="2" max="2" width="15.33203125" style="611" bestFit="1" customWidth="1"/>
    <col min="3" max="3" width="11.21875" style="611" bestFit="1" customWidth="1"/>
    <col min="4" max="4" width="10.44140625" style="611" bestFit="1" customWidth="1"/>
    <col min="5" max="5" width="5.6640625" style="611" bestFit="1" customWidth="1"/>
    <col min="6" max="6" width="4.44140625" style="611" bestFit="1" customWidth="1"/>
    <col min="7" max="7" width="12" style="611" bestFit="1" customWidth="1"/>
    <col min="8" max="8" width="6.21875" style="611" bestFit="1" customWidth="1"/>
    <col min="9" max="9" width="8.88671875" style="611" bestFit="1" customWidth="1"/>
    <col min="10" max="10" width="8.77734375" style="611" bestFit="1" customWidth="1"/>
    <col min="11" max="11" width="11.88671875" style="611" bestFit="1" customWidth="1"/>
    <col min="12" max="16384" width="5.6640625" style="611"/>
  </cols>
  <sheetData>
    <row r="1" spans="1:6" x14ac:dyDescent="0.3">
      <c r="A1" s="630" t="s">
        <v>1967</v>
      </c>
      <c r="B1" s="630" t="s">
        <v>1968</v>
      </c>
      <c r="C1" s="630" t="s">
        <v>1255</v>
      </c>
      <c r="D1" s="630" t="s">
        <v>1260</v>
      </c>
      <c r="E1" s="610"/>
    </row>
    <row r="2" spans="1:6" x14ac:dyDescent="0.3">
      <c r="A2" s="610" cm="1">
        <f t="array" aca="1" ref="A2:A14" ca="1">_xlfn.SEQUENCE(Internal!$B$8,1,OFFSET(Internal!AC1,MATCH(Console!$D$7,OFFSET(Internal!$AD$1,1,0,Internal!$B$16),0),0),0)</f>
        <v>1</v>
      </c>
      <c r="B2" s="610" t="str" cm="1">
        <f t="array" ref="B2:B14">INDEX(REPT(Console!$D$7,1),_xlfn.SEQUENCE(Internal!$B$8,1,1,0))</f>
        <v>General</v>
      </c>
      <c r="C2" s="610" cm="1">
        <f t="array" aca="1" ref="C2:C14" ca="1">MATCH(OFFSET('De5'!$B$56,0,0,Internal!$B$8,1),Internal!$Q$2:$Q$21,0)</f>
        <v>1</v>
      </c>
      <c r="D2" s="611" cm="1">
        <f t="array" aca="1" ref="D2:D14" ca="1">OFFSET(INDIRECT(ADDRESS(44+Internal!$B$6+3,2+3*(MATCH(Console!$D$7,OFFSET(Internal!$AD$1,1,0,Internal!$B$16),0)-1),,,"De5")),0,1,Internal!$B$8,1)</f>
        <v>6.9999999999999993E-3</v>
      </c>
      <c r="E2" s="610"/>
      <c r="F2" s="631"/>
    </row>
    <row r="3" spans="1:6" x14ac:dyDescent="0.3">
      <c r="A3" s="611">
        <f ca="1"/>
        <v>1</v>
      </c>
      <c r="B3" s="611" t="str">
        <v>General</v>
      </c>
      <c r="C3" s="611">
        <f ca="1"/>
        <v>2</v>
      </c>
      <c r="D3" s="611">
        <f ca="1"/>
        <v>8.0000000000000002E-3</v>
      </c>
      <c r="F3" s="631"/>
    </row>
    <row r="4" spans="1:6" x14ac:dyDescent="0.3">
      <c r="A4" s="611">
        <f ca="1"/>
        <v>1</v>
      </c>
      <c r="B4" s="611" t="str">
        <v>General</v>
      </c>
      <c r="C4" s="611">
        <f ca="1"/>
        <v>3</v>
      </c>
      <c r="D4" s="611">
        <f ca="1"/>
        <v>8.0000000000000002E-3</v>
      </c>
    </row>
    <row r="5" spans="1:6" x14ac:dyDescent="0.3">
      <c r="A5" s="611">
        <f ca="1"/>
        <v>1</v>
      </c>
      <c r="B5" s="611" t="str">
        <v>General</v>
      </c>
      <c r="C5" s="611">
        <f ca="1"/>
        <v>4</v>
      </c>
      <c r="D5" s="611">
        <f ca="1"/>
        <v>4.0000000000000001E-3</v>
      </c>
    </row>
    <row r="6" spans="1:6" x14ac:dyDescent="0.3">
      <c r="A6" s="611">
        <f ca="1"/>
        <v>1</v>
      </c>
      <c r="B6" s="611" t="str">
        <v>General</v>
      </c>
      <c r="C6" s="611">
        <f ca="1"/>
        <v>5</v>
      </c>
      <c r="D6" s="611">
        <f ca="1"/>
        <v>6.9999999999999993E-3</v>
      </c>
    </row>
    <row r="7" spans="1:6" x14ac:dyDescent="0.3">
      <c r="A7" s="611">
        <f ca="1"/>
        <v>1</v>
      </c>
      <c r="B7" s="611" t="str">
        <v>General</v>
      </c>
      <c r="C7" s="611">
        <f ca="1"/>
        <v>6</v>
      </c>
      <c r="D7" s="611">
        <f ca="1"/>
        <v>6.0000000000000001E-3</v>
      </c>
    </row>
    <row r="8" spans="1:6" x14ac:dyDescent="0.3">
      <c r="A8" s="611">
        <f ca="1"/>
        <v>1</v>
      </c>
      <c r="B8" s="611" t="str">
        <v>General</v>
      </c>
      <c r="C8" s="611">
        <f ca="1"/>
        <v>7</v>
      </c>
      <c r="D8" s="611">
        <f ca="1"/>
        <v>6.0000000000000001E-3</v>
      </c>
    </row>
    <row r="9" spans="1:6" x14ac:dyDescent="0.3">
      <c r="A9" s="611">
        <f ca="1"/>
        <v>1</v>
      </c>
      <c r="B9" s="611" t="str">
        <v>General</v>
      </c>
      <c r="C9" s="611">
        <f ca="1"/>
        <v>8</v>
      </c>
      <c r="D9" s="611">
        <f ca="1"/>
        <v>6.0000000000000001E-3</v>
      </c>
    </row>
    <row r="10" spans="1:6" x14ac:dyDescent="0.3">
      <c r="A10" s="611">
        <f ca="1"/>
        <v>1</v>
      </c>
      <c r="B10" s="611" t="str">
        <v>General</v>
      </c>
      <c r="C10" s="611">
        <f ca="1"/>
        <v>9</v>
      </c>
      <c r="D10" s="611">
        <f ca="1"/>
        <v>6.0000000000000001E-3</v>
      </c>
    </row>
    <row r="11" spans="1:6" x14ac:dyDescent="0.3">
      <c r="A11" s="611">
        <f ca="1"/>
        <v>1</v>
      </c>
      <c r="B11" s="611" t="str">
        <v>General</v>
      </c>
      <c r="C11" s="611">
        <f ca="1"/>
        <v>10</v>
      </c>
      <c r="D11" s="611">
        <f ca="1"/>
        <v>6.0000000000000001E-3</v>
      </c>
    </row>
    <row r="12" spans="1:6" x14ac:dyDescent="0.3">
      <c r="A12" s="611">
        <f ca="1"/>
        <v>1</v>
      </c>
      <c r="B12" s="611" t="str">
        <v>General</v>
      </c>
      <c r="C12" s="611">
        <f ca="1"/>
        <v>11</v>
      </c>
      <c r="D12" s="611">
        <f ca="1"/>
        <v>6.0000000000000001E-3</v>
      </c>
    </row>
    <row r="13" spans="1:6" x14ac:dyDescent="0.3">
      <c r="A13" s="611">
        <f ca="1"/>
        <v>1</v>
      </c>
      <c r="B13" s="611" t="str">
        <v>General</v>
      </c>
      <c r="C13" s="611">
        <f ca="1"/>
        <v>12</v>
      </c>
      <c r="D13" s="611">
        <f ca="1"/>
        <v>6.0000000000000001E-3</v>
      </c>
    </row>
    <row r="14" spans="1:6" x14ac:dyDescent="0.3">
      <c r="A14" s="611">
        <f ca="1"/>
        <v>1</v>
      </c>
      <c r="B14" s="611" t="str">
        <v>General</v>
      </c>
      <c r="C14" s="611">
        <f ca="1"/>
        <v>13</v>
      </c>
      <c r="D14" s="611">
        <f ca="1"/>
        <v>6.0000000000000001E-3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59A0E-7F6A-4353-BBC1-986C4A07FD8D}">
  <sheetPr codeName="Sheet81"/>
  <dimension ref="A1:O9"/>
  <sheetViews>
    <sheetView workbookViewId="0">
      <selection activeCell="C2" sqref="C2"/>
    </sheetView>
  </sheetViews>
  <sheetFormatPr defaultColWidth="5.6640625" defaultRowHeight="14.4" x14ac:dyDescent="0.3"/>
  <cols>
    <col min="1" max="15" width="12.77734375" customWidth="1"/>
  </cols>
  <sheetData>
    <row r="1" spans="1:15" x14ac:dyDescent="0.3">
      <c r="A1" s="139" t="s">
        <v>1992</v>
      </c>
      <c r="B1" s="139" t="s">
        <v>1272</v>
      </c>
      <c r="C1" s="138" t="str" cm="1">
        <f t="array" aca="1" ref="C1:O1" ca="1">TRANSPOSE(OFFSET(Internal!$Q$1,1,0,Internal!$B$8,1))</f>
        <v>Electric_0</v>
      </c>
      <c r="D1" s="138" t="str">
        <f ca="1"/>
        <v>Electric_1</v>
      </c>
      <c r="E1" s="138" t="str">
        <f ca="1"/>
        <v>Electric_2</v>
      </c>
      <c r="F1" t="str">
        <f ca="1"/>
        <v>LPG</v>
      </c>
      <c r="G1" t="str">
        <f ca="1"/>
        <v>Biogas</v>
      </c>
      <c r="H1" t="str">
        <f ca="1"/>
        <v>Charcoal_0</v>
      </c>
      <c r="I1" t="str">
        <f ca="1"/>
        <v>Charcoal_1</v>
      </c>
      <c r="J1" t="str">
        <f ca="1"/>
        <v>Charcoal_2</v>
      </c>
      <c r="K1" t="str">
        <f ca="1"/>
        <v>Firewood-Bio_0</v>
      </c>
      <c r="L1" t="str">
        <f ca="1"/>
        <v>Firewood-Bio_1</v>
      </c>
      <c r="M1" t="str">
        <f ca="1"/>
        <v>Firewood-Bio_2</v>
      </c>
      <c r="N1" t="str">
        <f ca="1"/>
        <v>Pellets</v>
      </c>
      <c r="O1" t="str">
        <f ca="1"/>
        <v>Ethanol</v>
      </c>
    </row>
    <row r="2" spans="1:15" x14ac:dyDescent="0.3">
      <c r="A2" s="610" cm="1">
        <f t="array" aca="1" ref="A2:A9" ca="1">TRANSPOSE(_xlfn.SCAN("",OFFSET(Pl!$B$23,0,1,1,2*(Internal!$B$13+1)),_xlfn.LAMBDA(_xlpm.prev,_xlpm.cur,IF(_xlpm.cur&lt;&gt;"",_xlpm.cur,_xlpm.prev))))</f>
        <v>10</v>
      </c>
      <c r="B2" cm="1">
        <f t="array" aca="1" ref="B2:B9" ca="1">IF(TRANSPOSE(OFFSET(Pl!$C$29,Internal!$B$6+2+1,0,1,2*(Internal!$B$13+1)))="urban",1,0)</f>
        <v>0</v>
      </c>
      <c r="C2" cm="1">
        <f t="array" aca="1" ref="C2:O9" ca="1">TRANSPOSE(OFFSET(Pl!$C$30,Internal!$B$6+2+1,0,Internal!$B$8,2*(Internal!$B$13+1)))</f>
        <v>0.7</v>
      </c>
      <c r="D2" s="632">
        <f ca="1"/>
        <v>0.8</v>
      </c>
      <c r="E2" s="632">
        <f ca="1"/>
        <v>0.8</v>
      </c>
      <c r="F2" s="633">
        <f ca="1"/>
        <v>0.4</v>
      </c>
      <c r="G2" s="633">
        <f ca="1"/>
        <v>0.7</v>
      </c>
      <c r="H2" s="633">
        <f ca="1"/>
        <v>0.6</v>
      </c>
      <c r="I2" s="633">
        <f ca="1"/>
        <v>0.6</v>
      </c>
      <c r="J2" s="633">
        <f ca="1"/>
        <v>0.6</v>
      </c>
      <c r="K2" s="633">
        <f ca="1"/>
        <v>0.6</v>
      </c>
      <c r="L2">
        <f ca="1"/>
        <v>0.6</v>
      </c>
      <c r="M2">
        <f ca="1"/>
        <v>0.6</v>
      </c>
      <c r="N2">
        <f ca="1"/>
        <v>0.6</v>
      </c>
      <c r="O2">
        <f ca="1"/>
        <v>0.6</v>
      </c>
    </row>
    <row r="3" spans="1:15" x14ac:dyDescent="0.3">
      <c r="A3">
        <f ca="1"/>
        <v>10</v>
      </c>
      <c r="B3">
        <f ca="1"/>
        <v>1</v>
      </c>
      <c r="C3" s="633">
        <f ca="1"/>
        <v>0.8</v>
      </c>
      <c r="D3" s="633">
        <f ca="1"/>
        <v>1</v>
      </c>
      <c r="E3" s="633">
        <f ca="1"/>
        <v>0.9</v>
      </c>
      <c r="F3" s="633">
        <f ca="1"/>
        <v>0.8</v>
      </c>
      <c r="G3" s="633">
        <f ca="1"/>
        <v>0.5</v>
      </c>
      <c r="H3" s="633">
        <f ca="1"/>
        <v>0.8</v>
      </c>
      <c r="I3" s="633">
        <f ca="1"/>
        <v>0.8</v>
      </c>
      <c r="J3" s="633">
        <f ca="1"/>
        <v>0.8</v>
      </c>
      <c r="K3" s="633">
        <f ca="1"/>
        <v>0.8</v>
      </c>
      <c r="L3">
        <f ca="1"/>
        <v>0.8</v>
      </c>
      <c r="M3">
        <f ca="1"/>
        <v>0.8</v>
      </c>
      <c r="N3">
        <f ca="1"/>
        <v>0.8</v>
      </c>
      <c r="O3">
        <f ca="1"/>
        <v>0.8</v>
      </c>
    </row>
    <row r="4" spans="1:15" x14ac:dyDescent="0.3">
      <c r="A4">
        <f ca="1"/>
        <v>11</v>
      </c>
      <c r="B4">
        <f ca="1"/>
        <v>0</v>
      </c>
      <c r="C4" s="633">
        <f ca="1"/>
        <v>0.7</v>
      </c>
      <c r="D4" s="633">
        <f ca="1"/>
        <v>0.8</v>
      </c>
      <c r="E4" s="633">
        <f ca="1"/>
        <v>0.8</v>
      </c>
      <c r="F4" s="633">
        <f ca="1"/>
        <v>0.4</v>
      </c>
      <c r="G4" s="633">
        <f ca="1"/>
        <v>0.7</v>
      </c>
      <c r="H4" s="633">
        <f ca="1"/>
        <v>0.6</v>
      </c>
      <c r="I4" s="633">
        <f ca="1"/>
        <v>0.6</v>
      </c>
      <c r="J4" s="633">
        <f ca="1"/>
        <v>0.6</v>
      </c>
      <c r="K4" s="633">
        <f ca="1"/>
        <v>0.6</v>
      </c>
      <c r="L4">
        <f ca="1"/>
        <v>0.6</v>
      </c>
      <c r="M4">
        <f ca="1"/>
        <v>0.6</v>
      </c>
      <c r="N4">
        <f ca="1"/>
        <v>0.6</v>
      </c>
      <c r="O4">
        <f ca="1"/>
        <v>0.6</v>
      </c>
    </row>
    <row r="5" spans="1:15" x14ac:dyDescent="0.3">
      <c r="A5">
        <f ca="1"/>
        <v>11</v>
      </c>
      <c r="B5">
        <f ca="1"/>
        <v>1</v>
      </c>
      <c r="C5" s="633">
        <f ca="1"/>
        <v>0.8</v>
      </c>
      <c r="D5" s="633">
        <f ca="1"/>
        <v>1</v>
      </c>
      <c r="E5" s="633">
        <f ca="1"/>
        <v>0.9</v>
      </c>
      <c r="F5" s="633">
        <f ca="1"/>
        <v>0.8</v>
      </c>
      <c r="G5" s="633">
        <f ca="1"/>
        <v>0.5</v>
      </c>
      <c r="H5" s="633">
        <f ca="1"/>
        <v>0.8</v>
      </c>
      <c r="I5" s="633">
        <f ca="1"/>
        <v>0.8</v>
      </c>
      <c r="J5" s="633">
        <f ca="1"/>
        <v>0.8</v>
      </c>
      <c r="K5" s="633">
        <f ca="1"/>
        <v>0.8</v>
      </c>
      <c r="L5">
        <f ca="1"/>
        <v>0.8</v>
      </c>
      <c r="M5">
        <f ca="1"/>
        <v>0.8</v>
      </c>
      <c r="N5">
        <f ca="1"/>
        <v>0.8</v>
      </c>
      <c r="O5">
        <f ca="1"/>
        <v>0.8</v>
      </c>
    </row>
    <row r="6" spans="1:15" x14ac:dyDescent="0.3">
      <c r="A6">
        <f ca="1"/>
        <v>12</v>
      </c>
      <c r="B6">
        <f ca="1"/>
        <v>0</v>
      </c>
      <c r="C6" s="633">
        <f ca="1"/>
        <v>0.7</v>
      </c>
      <c r="D6" s="633">
        <f ca="1"/>
        <v>0.8</v>
      </c>
      <c r="E6" s="633">
        <f ca="1"/>
        <v>0.8</v>
      </c>
      <c r="F6" s="633">
        <f ca="1"/>
        <v>0.4</v>
      </c>
      <c r="G6" s="633">
        <f ca="1"/>
        <v>0.7</v>
      </c>
      <c r="H6" s="633">
        <f ca="1"/>
        <v>0.6</v>
      </c>
      <c r="I6" s="633">
        <f ca="1"/>
        <v>0.6</v>
      </c>
      <c r="J6" s="633">
        <f ca="1"/>
        <v>0.6</v>
      </c>
      <c r="K6" s="633">
        <f ca="1"/>
        <v>0.6</v>
      </c>
      <c r="L6">
        <f ca="1"/>
        <v>0.6</v>
      </c>
      <c r="M6">
        <f ca="1"/>
        <v>0.6</v>
      </c>
      <c r="N6">
        <f ca="1"/>
        <v>0.6</v>
      </c>
      <c r="O6">
        <f ca="1"/>
        <v>0.6</v>
      </c>
    </row>
    <row r="7" spans="1:15" x14ac:dyDescent="0.3">
      <c r="A7">
        <f ca="1"/>
        <v>12</v>
      </c>
      <c r="B7">
        <f ca="1"/>
        <v>1</v>
      </c>
      <c r="C7" s="633">
        <f ca="1"/>
        <v>0.8</v>
      </c>
      <c r="D7" s="633">
        <f ca="1"/>
        <v>1</v>
      </c>
      <c r="E7" s="633">
        <f ca="1"/>
        <v>0.9</v>
      </c>
      <c r="F7" s="633">
        <f ca="1"/>
        <v>0.8</v>
      </c>
      <c r="G7" s="633">
        <f ca="1"/>
        <v>0.5</v>
      </c>
      <c r="H7" s="633">
        <f ca="1"/>
        <v>0.8</v>
      </c>
      <c r="I7" s="633">
        <f ca="1"/>
        <v>0.8</v>
      </c>
      <c r="J7" s="633">
        <f ca="1"/>
        <v>0.8</v>
      </c>
      <c r="K7" s="633">
        <f ca="1"/>
        <v>0.8</v>
      </c>
      <c r="L7">
        <f ca="1"/>
        <v>0.8</v>
      </c>
      <c r="M7">
        <f ca="1"/>
        <v>0.8</v>
      </c>
      <c r="N7">
        <f ca="1"/>
        <v>0.8</v>
      </c>
      <c r="O7">
        <f ca="1"/>
        <v>0.8</v>
      </c>
    </row>
    <row r="8" spans="1:15" x14ac:dyDescent="0.3">
      <c r="A8">
        <f ca="1"/>
        <v>13</v>
      </c>
      <c r="B8">
        <f ca="1"/>
        <v>0</v>
      </c>
      <c r="C8" s="633">
        <f ca="1"/>
        <v>0.7</v>
      </c>
      <c r="D8" s="633">
        <f ca="1"/>
        <v>0.8</v>
      </c>
      <c r="E8" s="633">
        <f ca="1"/>
        <v>0.8</v>
      </c>
      <c r="F8" s="633">
        <f ca="1"/>
        <v>0.4</v>
      </c>
      <c r="G8" s="633">
        <f ca="1"/>
        <v>0.7</v>
      </c>
      <c r="H8" s="633">
        <f ca="1"/>
        <v>0.6</v>
      </c>
      <c r="I8" s="633">
        <f ca="1"/>
        <v>0.6</v>
      </c>
      <c r="J8" s="633">
        <f ca="1"/>
        <v>0.6</v>
      </c>
      <c r="K8" s="633">
        <f ca="1"/>
        <v>0.6</v>
      </c>
      <c r="L8">
        <f ca="1"/>
        <v>0.6</v>
      </c>
      <c r="M8">
        <f ca="1"/>
        <v>0.6</v>
      </c>
      <c r="N8">
        <f ca="1"/>
        <v>0.6</v>
      </c>
      <c r="O8">
        <f ca="1"/>
        <v>0.6</v>
      </c>
    </row>
    <row r="9" spans="1:15" x14ac:dyDescent="0.3">
      <c r="A9">
        <f ca="1"/>
        <v>13</v>
      </c>
      <c r="B9">
        <f ca="1"/>
        <v>1</v>
      </c>
      <c r="C9" s="633">
        <f ca="1"/>
        <v>0.8</v>
      </c>
      <c r="D9" s="633">
        <f ca="1"/>
        <v>1</v>
      </c>
      <c r="E9" s="633">
        <f ca="1"/>
        <v>0.9</v>
      </c>
      <c r="F9" s="633">
        <f ca="1"/>
        <v>0.8</v>
      </c>
      <c r="G9" s="633">
        <f ca="1"/>
        <v>0.5</v>
      </c>
      <c r="H9" s="633">
        <f ca="1"/>
        <v>0.8</v>
      </c>
      <c r="I9" s="633">
        <f ca="1"/>
        <v>0.8</v>
      </c>
      <c r="J9" s="633">
        <f ca="1"/>
        <v>0.8</v>
      </c>
      <c r="K9" s="633">
        <f ca="1"/>
        <v>0.8</v>
      </c>
      <c r="L9">
        <f ca="1"/>
        <v>0.8</v>
      </c>
      <c r="M9">
        <f ca="1"/>
        <v>0.8</v>
      </c>
      <c r="N9">
        <f ca="1"/>
        <v>0.8</v>
      </c>
      <c r="O9">
        <f ca="1"/>
        <v>0.8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44DC8-7A12-4B29-8F21-A2A83FFB42F6}">
  <sheetPr codeName="Sheet82"/>
  <dimension ref="A1:J9"/>
  <sheetViews>
    <sheetView workbookViewId="0">
      <selection activeCell="B2" sqref="B2"/>
    </sheetView>
  </sheetViews>
  <sheetFormatPr defaultColWidth="5.6640625" defaultRowHeight="14.4" x14ac:dyDescent="0.3"/>
  <cols>
    <col min="1" max="14" width="12.77734375" customWidth="1"/>
  </cols>
  <sheetData>
    <row r="1" spans="1:10" x14ac:dyDescent="0.3">
      <c r="A1" s="139" t="s">
        <v>1993</v>
      </c>
      <c r="B1" s="138" t="str" cm="1">
        <f t="array" aca="1" ref="B1:J1" ca="1">TRANSPOSE(OFFSET(Internal!$M$1,1,0,Internal!$B$6,1))</f>
        <v>Electricity</v>
      </c>
      <c r="C1" s="138" t="str">
        <f ca="1"/>
        <v>LPG</v>
      </c>
      <c r="D1" s="138" t="str">
        <f ca="1"/>
        <v>Biogas</v>
      </c>
      <c r="E1" t="str">
        <f ca="1"/>
        <v>Charcoal</v>
      </c>
      <c r="F1" t="str">
        <f ca="1"/>
        <v>Com-Firewood</v>
      </c>
      <c r="G1" t="str">
        <f ca="1"/>
        <v>Free-Biomass</v>
      </c>
      <c r="H1" t="str">
        <f ca="1"/>
        <v>Pellets</v>
      </c>
      <c r="I1" t="str">
        <f ca="1"/>
        <v>Free-Firewood</v>
      </c>
      <c r="J1" t="str">
        <f ca="1"/>
        <v>Ethanol</v>
      </c>
    </row>
    <row r="2" spans="1:10" x14ac:dyDescent="0.3">
      <c r="A2" s="610" cm="1">
        <f t="array" aca="1" ref="A2:A4" ca="1">TRANSPOSE(_xlfn.SCAN("",OFFSET(Pl!$B$29,Internal!$B$6+1+2+Internal!$B$8+1+3+1,1,1,Internal!$B$14+1),_xlfn.LAMBDA(_xlpm.prev,_xlpm.cur,IF(_xlpm.cur&lt;&gt;"",_xlpm.cur,_xlpm.prev))))</f>
        <v>10</v>
      </c>
      <c r="B2" s="633" cm="1">
        <f t="array" aca="1" ref="B2:J4" ca="1">TRANSPOSE(OFFSET(Pl!$C$29,Internal!$B$6+2+1+1+Internal!$B$8+1+3+2+2,0,Internal!$B$6,Internal!$B$14+1))</f>
        <v>1</v>
      </c>
      <c r="C2" s="632">
        <f ca="1"/>
        <v>1.2</v>
      </c>
      <c r="D2" s="632">
        <f ca="1"/>
        <v>1.2</v>
      </c>
      <c r="E2" s="633">
        <f ca="1"/>
        <v>1.2</v>
      </c>
      <c r="F2" s="633">
        <f ca="1"/>
        <v>1.2</v>
      </c>
      <c r="G2" s="633">
        <f ca="1"/>
        <v>1.2</v>
      </c>
      <c r="H2" s="633">
        <f ca="1"/>
        <v>1.2</v>
      </c>
      <c r="I2" s="633">
        <f ca="1"/>
        <v>1</v>
      </c>
      <c r="J2" s="633">
        <f ca="1"/>
        <v>1</v>
      </c>
    </row>
    <row r="3" spans="1:10" x14ac:dyDescent="0.3">
      <c r="A3">
        <f ca="1"/>
        <v>11</v>
      </c>
      <c r="B3" s="633">
        <f ca="1"/>
        <v>1</v>
      </c>
      <c r="C3" s="633">
        <f ca="1"/>
        <v>1.2</v>
      </c>
      <c r="D3" s="633">
        <f ca="1"/>
        <v>1.2</v>
      </c>
      <c r="E3" s="633">
        <f ca="1"/>
        <v>1.2</v>
      </c>
      <c r="F3" s="633">
        <f ca="1"/>
        <v>1.2</v>
      </c>
      <c r="G3" s="633">
        <f ca="1"/>
        <v>1.2</v>
      </c>
      <c r="H3" s="633">
        <f ca="1"/>
        <v>1.2</v>
      </c>
      <c r="I3" s="633">
        <f ca="1"/>
        <v>1</v>
      </c>
      <c r="J3" s="633">
        <f ca="1"/>
        <v>1</v>
      </c>
    </row>
    <row r="4" spans="1:10" x14ac:dyDescent="0.3">
      <c r="A4">
        <f ca="1"/>
        <v>12</v>
      </c>
      <c r="B4" s="633">
        <f ca="1"/>
        <v>1</v>
      </c>
      <c r="C4" s="633">
        <f ca="1"/>
        <v>1.2</v>
      </c>
      <c r="D4" s="633">
        <f ca="1"/>
        <v>1.2</v>
      </c>
      <c r="E4" s="633">
        <f ca="1"/>
        <v>1.2</v>
      </c>
      <c r="F4" s="633">
        <f ca="1"/>
        <v>1.2</v>
      </c>
      <c r="G4" s="633">
        <f ca="1"/>
        <v>1.2</v>
      </c>
      <c r="H4" s="633">
        <f ca="1"/>
        <v>1.2</v>
      </c>
      <c r="I4" s="633">
        <f ca="1"/>
        <v>1</v>
      </c>
      <c r="J4" s="633">
        <f ca="1"/>
        <v>1</v>
      </c>
    </row>
    <row r="5" spans="1:10" x14ac:dyDescent="0.3">
      <c r="B5" s="633"/>
      <c r="C5" s="633"/>
      <c r="D5" s="633"/>
      <c r="E5" s="633"/>
      <c r="F5" s="633"/>
      <c r="G5" s="633"/>
      <c r="H5" s="633"/>
      <c r="I5" s="633"/>
      <c r="J5" s="633"/>
    </row>
    <row r="6" spans="1:10" x14ac:dyDescent="0.3">
      <c r="B6" s="633"/>
      <c r="C6" s="633"/>
      <c r="D6" s="633"/>
      <c r="E6" s="633"/>
      <c r="F6" s="633"/>
      <c r="G6" s="633"/>
      <c r="H6" s="633"/>
      <c r="I6" s="633"/>
      <c r="J6" s="633"/>
    </row>
    <row r="7" spans="1:10" x14ac:dyDescent="0.3">
      <c r="B7" s="633"/>
      <c r="C7" s="633"/>
      <c r="D7" s="633"/>
      <c r="E7" s="633"/>
      <c r="F7" s="633"/>
      <c r="G7" s="633"/>
      <c r="H7" s="633"/>
      <c r="I7" s="633"/>
      <c r="J7" s="633"/>
    </row>
    <row r="8" spans="1:10" x14ac:dyDescent="0.3">
      <c r="B8" s="633"/>
      <c r="C8" s="633"/>
      <c r="D8" s="633"/>
      <c r="E8" s="633"/>
      <c r="F8" s="633"/>
      <c r="G8" s="633"/>
      <c r="H8" s="633"/>
      <c r="I8" s="633"/>
      <c r="J8" s="633"/>
    </row>
    <row r="9" spans="1:10" x14ac:dyDescent="0.3">
      <c r="B9" s="633"/>
      <c r="C9" s="633"/>
      <c r="D9" s="633"/>
      <c r="E9" s="633"/>
      <c r="F9" s="633"/>
      <c r="G9" s="633"/>
      <c r="H9" s="633"/>
      <c r="I9" s="633"/>
      <c r="J9" s="63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60D3-128E-4496-AAD5-7D3088085EF0}">
  <sheetPr codeName="Sheet83"/>
  <dimension ref="A1:N9"/>
  <sheetViews>
    <sheetView workbookViewId="0">
      <selection activeCell="B1" sqref="B1"/>
    </sheetView>
  </sheetViews>
  <sheetFormatPr defaultColWidth="5.6640625" defaultRowHeight="14.4" x14ac:dyDescent="0.3"/>
  <cols>
    <col min="1" max="14" width="12.77734375" customWidth="1"/>
  </cols>
  <sheetData>
    <row r="1" spans="1:14" x14ac:dyDescent="0.3">
      <c r="A1" s="139" t="s">
        <v>1993</v>
      </c>
      <c r="B1" s="138" t="str" cm="1">
        <f t="array" aca="1" ref="B1:N1" ca="1">TRANSPOSE(OFFSET(Internal!$Q$1,1,0,Internal!$B$8,1))</f>
        <v>Electric_0</v>
      </c>
      <c r="C1" s="138" t="str">
        <f ca="1"/>
        <v>Electric_1</v>
      </c>
      <c r="D1" s="138" t="str">
        <f ca="1"/>
        <v>Electric_2</v>
      </c>
      <c r="E1" t="str">
        <f ca="1"/>
        <v>LPG</v>
      </c>
      <c r="F1" t="str">
        <f ca="1"/>
        <v>Biogas</v>
      </c>
      <c r="G1" t="str">
        <f ca="1"/>
        <v>Charcoal_0</v>
      </c>
      <c r="H1" t="str">
        <f ca="1"/>
        <v>Charcoal_1</v>
      </c>
      <c r="I1" t="str">
        <f ca="1"/>
        <v>Charcoal_2</v>
      </c>
      <c r="J1" t="str">
        <f ca="1"/>
        <v>Firewood-Bio_0</v>
      </c>
      <c r="K1" t="str">
        <f ca="1"/>
        <v>Firewood-Bio_1</v>
      </c>
      <c r="L1" t="str">
        <f ca="1"/>
        <v>Firewood-Bio_2</v>
      </c>
      <c r="M1" t="str">
        <f ca="1"/>
        <v>Pellets</v>
      </c>
      <c r="N1" t="str">
        <f ca="1"/>
        <v>Ethanol</v>
      </c>
    </row>
    <row r="2" spans="1:14" x14ac:dyDescent="0.3">
      <c r="A2" s="610" cm="1">
        <f t="array" aca="1" ref="A2:A4" ca="1">TRANSPOSE(_xlfn.SCAN("",OFFSET(Pl!$B$29,Internal!$B$6+1+2+Internal!$B$8+1+3+1,1,1,Internal!$B$14+1),_xlfn.LAMBDA(_xlpm.prev,_xlpm.cur,IF(_xlpm.cur&lt;&gt;"",_xlpm.cur,_xlpm.prev))))</f>
        <v>10</v>
      </c>
      <c r="B2" s="633" cm="1">
        <f t="array" aca="1" ref="B2:N4" ca="1">TRANSPOSE(OFFSET(Pl!$C$29,Internal!$B$6+2+1+1+Internal!$B$8+1+3+2+2+Internal!$B$6+1+2,0,Internal!$B$8,Internal!$B$14+1))</f>
        <v>1</v>
      </c>
      <c r="C2" s="632">
        <f ca="1"/>
        <v>0.5</v>
      </c>
      <c r="D2" s="632">
        <f ca="1"/>
        <v>0.5</v>
      </c>
      <c r="E2" s="633">
        <f ca="1"/>
        <v>0.5</v>
      </c>
      <c r="F2" s="633">
        <f ca="1"/>
        <v>0.5</v>
      </c>
      <c r="G2" s="633">
        <f ca="1"/>
        <v>1</v>
      </c>
      <c r="H2" s="633">
        <f ca="1"/>
        <v>1</v>
      </c>
      <c r="I2" s="633">
        <f ca="1"/>
        <v>0.5</v>
      </c>
      <c r="J2" s="633">
        <f ca="1"/>
        <v>1</v>
      </c>
      <c r="K2">
        <f ca="1"/>
        <v>1</v>
      </c>
      <c r="L2">
        <f ca="1"/>
        <v>0.5</v>
      </c>
      <c r="M2">
        <f ca="1"/>
        <v>0.5</v>
      </c>
      <c r="N2">
        <f ca="1"/>
        <v>0.5</v>
      </c>
    </row>
    <row r="3" spans="1:14" x14ac:dyDescent="0.3">
      <c r="A3">
        <f ca="1"/>
        <v>11</v>
      </c>
      <c r="B3" s="633">
        <f ca="1"/>
        <v>1</v>
      </c>
      <c r="C3" s="633">
        <f ca="1"/>
        <v>0.6</v>
      </c>
      <c r="D3" s="633">
        <f ca="1"/>
        <v>0.6</v>
      </c>
      <c r="E3" s="633">
        <f ca="1"/>
        <v>0.6</v>
      </c>
      <c r="F3" s="633">
        <f ca="1"/>
        <v>0.8</v>
      </c>
      <c r="G3" s="633">
        <f ca="1"/>
        <v>1</v>
      </c>
      <c r="H3" s="633">
        <f ca="1"/>
        <v>1</v>
      </c>
      <c r="I3" s="633">
        <f ca="1"/>
        <v>0.8</v>
      </c>
      <c r="J3" s="633">
        <f ca="1"/>
        <v>1</v>
      </c>
      <c r="K3">
        <f ca="1"/>
        <v>1</v>
      </c>
      <c r="L3">
        <f ca="1"/>
        <v>0.8</v>
      </c>
      <c r="M3">
        <f ca="1"/>
        <v>0.8</v>
      </c>
      <c r="N3">
        <f ca="1"/>
        <v>0.8</v>
      </c>
    </row>
    <row r="4" spans="1:14" x14ac:dyDescent="0.3">
      <c r="A4">
        <f ca="1"/>
        <v>12</v>
      </c>
      <c r="B4" s="633">
        <f ca="1"/>
        <v>1</v>
      </c>
      <c r="C4" s="633">
        <f ca="1"/>
        <v>1.2</v>
      </c>
      <c r="D4" s="633">
        <f ca="1"/>
        <v>1.1000000000000001</v>
      </c>
      <c r="E4" s="633">
        <f ca="1"/>
        <v>1.1000000000000001</v>
      </c>
      <c r="F4" s="633">
        <f ca="1"/>
        <v>1.1000000000000001</v>
      </c>
      <c r="G4" s="633">
        <f ca="1"/>
        <v>1.1000000000000001</v>
      </c>
      <c r="H4" s="633">
        <f ca="1"/>
        <v>1.2</v>
      </c>
      <c r="I4" s="633">
        <f ca="1"/>
        <v>1.3</v>
      </c>
      <c r="J4" s="633">
        <f ca="1"/>
        <v>1.4</v>
      </c>
      <c r="K4">
        <f ca="1"/>
        <v>1.5</v>
      </c>
      <c r="L4">
        <f ca="1"/>
        <v>1.6</v>
      </c>
      <c r="M4">
        <f ca="1"/>
        <v>1.7</v>
      </c>
      <c r="N4">
        <f ca="1"/>
        <v>1</v>
      </c>
    </row>
    <row r="5" spans="1:14" x14ac:dyDescent="0.3">
      <c r="B5" s="633"/>
      <c r="C5" s="633"/>
      <c r="D5" s="633"/>
      <c r="E5" s="633"/>
      <c r="F5" s="633"/>
      <c r="G5" s="633"/>
      <c r="H5" s="633"/>
      <c r="I5" s="633"/>
      <c r="J5" s="633"/>
    </row>
    <row r="6" spans="1:14" x14ac:dyDescent="0.3">
      <c r="A6" s="610"/>
      <c r="B6" s="633"/>
      <c r="C6" s="633"/>
      <c r="D6" s="633"/>
      <c r="E6" s="633"/>
      <c r="F6" s="633"/>
      <c r="G6" s="633"/>
      <c r="H6" s="633"/>
      <c r="I6" s="633"/>
      <c r="J6" s="633"/>
    </row>
    <row r="7" spans="1:14" x14ac:dyDescent="0.3">
      <c r="B7" s="633"/>
      <c r="C7" s="633"/>
      <c r="D7" s="633"/>
      <c r="E7" s="633"/>
      <c r="F7" s="633"/>
      <c r="G7" s="633"/>
      <c r="H7" s="633"/>
      <c r="I7" s="633"/>
      <c r="J7" s="633"/>
    </row>
    <row r="8" spans="1:14" x14ac:dyDescent="0.3">
      <c r="B8" s="633"/>
      <c r="C8" s="633"/>
      <c r="D8" s="633"/>
      <c r="E8" s="633"/>
      <c r="F8" s="633"/>
      <c r="G8" s="633"/>
      <c r="H8" s="633"/>
      <c r="I8" s="633"/>
      <c r="J8" s="633"/>
    </row>
    <row r="9" spans="1:14" x14ac:dyDescent="0.3">
      <c r="B9" s="633"/>
      <c r="C9" s="633"/>
      <c r="D9" s="633"/>
      <c r="E9" s="633"/>
      <c r="F9" s="633"/>
      <c r="G9" s="633"/>
      <c r="H9" s="633"/>
      <c r="I9" s="633"/>
      <c r="J9" s="63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440A1-56CD-4B12-A1B5-C9CB901D87B2}">
  <sheetPr codeName="Sheet84"/>
  <dimension ref="A1:H9"/>
  <sheetViews>
    <sheetView workbookViewId="0">
      <selection activeCell="C2" sqref="C2"/>
    </sheetView>
  </sheetViews>
  <sheetFormatPr defaultColWidth="5.6640625" defaultRowHeight="14.4" x14ac:dyDescent="0.3"/>
  <cols>
    <col min="1" max="1" width="7.77734375" bestFit="1" customWidth="1"/>
    <col min="2" max="2" width="7.88671875" bestFit="1" customWidth="1"/>
    <col min="3" max="3" width="10" bestFit="1" customWidth="1"/>
    <col min="4" max="4" width="13.33203125" bestFit="1" customWidth="1"/>
    <col min="5" max="5" width="10.77734375" bestFit="1" customWidth="1"/>
    <col min="6" max="6" width="14.109375" bestFit="1" customWidth="1"/>
    <col min="7" max="7" width="15" bestFit="1" customWidth="1"/>
    <col min="8" max="8" width="18.33203125" bestFit="1" customWidth="1"/>
  </cols>
  <sheetData>
    <row r="1" spans="1:8" x14ac:dyDescent="0.3">
      <c r="A1" s="139" t="s">
        <v>1996</v>
      </c>
      <c r="B1" s="139" t="s">
        <v>1997</v>
      </c>
      <c r="C1" s="139" t="s">
        <v>1992</v>
      </c>
      <c r="D1" s="138" t="s">
        <v>1998</v>
      </c>
      <c r="E1" s="138" t="s">
        <v>1993</v>
      </c>
      <c r="F1" s="139" t="s">
        <v>1999</v>
      </c>
      <c r="G1" s="139" t="s">
        <v>2000</v>
      </c>
      <c r="H1" s="139" t="s">
        <v>2001</v>
      </c>
    </row>
    <row r="2" spans="1:8" x14ac:dyDescent="0.3">
      <c r="A2" cm="1">
        <f t="array" ref="A2:A9">_xlfn.LET(_xlpm.reps,Internal!$B$15,_xlpm.runLen,Internal!$B$12+1,_xlpm.total,_xlpm.reps*_xlpm.runLen,MOD(_xlfn.SEQUENCE(_xlpm.total,1,0,1),_xlpm.runLen))</f>
        <v>0</v>
      </c>
      <c r="B2" cm="1">
        <f t="array" aca="1" ref="B2:B9" ca="1">_xlfn.LET(_xlpm.reps,Internal!$B$15,_xlpm.len,Internal!$B$12+1,_xlpm.src,OFFSET(INDIRECT(ADDRESS(29+Internal!$B$6+2+1+1+Internal!$B$8+1+3+2+2+Internal!$B$6+2+Internal!$B$8+1+2+4+2,2,,,"Pl")),0,0,Internal!$B$12+1,1),_xlpm.total,_xlpm.reps*_xlpm.len,INDEX(_xlpm.src,MOD(_xlfn.SEQUENCE(_xlpm.total)-1,_xlpm.len)+1))</f>
        <v>2025</v>
      </c>
      <c r="C2" cm="1">
        <f t="array" ref="C2:C9">_xlfn.LET(_xlpm.cnt,Internal!$B$15,_xlpm.n,Internal!$B$12+1,_xlpm.total,_xlpm.cnt*_xlpm.n,_xlpm.startRow,29+Internal!$B$6+2+1+1+Internal!$B$8+1+3+2+2+Internal!$B$6+2+Internal!$B$8+1+3+2+1+1+1,_xlpm.rows,_xlfn.SEQUENCE(_xlpm.n,1,_xlpm.startRow,1),_xlpm.cols,_xlfn.SEQUENCE(1,_xlpm.cnt,3,2),_xlpm.src,INDEX(Pl!$1:$1048576,_xlpm.rows,_xlpm.cols),_xlpm.seq,_xlfn.SEQUENCE(_xlpm.total,1,1,1),_xlpm.colIdx,INT((_xlpm.seq-1)/_xlpm.n)+1,_xlpm.rowIdx,MOD(_xlpm.seq-1,_xlpm.n)+1,INDEX(_xlpm.src,_xlpm.rowIdx,_xlpm.colIdx))</f>
        <v>10</v>
      </c>
      <c r="D2" t="str" cm="1">
        <f t="array" aca="1" ref="D2:D9" ca="1">_xlfn.LET(_xlpm.cnt,Internal!$B$13,_xlpm.n,(Internal!$B$12+1)*Internal!$B$15,_xlpm.startRow,23,_xlpm.lookupValue,OFFSET($C$1,1,0,_xlpm.n,1),_xlpm.lookupRange,OFFSET(INDIRECT(ADDRESS(_xlpm.startRow,3,,,"Pl")),0,0,1,2*(_xlpm.cnt+1)),_xlpm.returnRange,OFFSET(INDIRECT(ADDRESS(_xlpm.startRow+1,3,,,"Pl")),0,0,1,2*(_xlpm.cnt+1)),_xlfn.XLOOKUP(_xlpm.lookupValue,_xlpm.lookupRange,_xlpm.returnRange,"Not found"))</f>
        <v>D0</v>
      </c>
      <c r="E2" cm="1">
        <f t="array" ref="E2:E9">_xlfn.LET(_xlpm.cnt,Internal!$B$15,_xlpm.n,Internal!$B$12+1,_xlpm.total,_xlpm.cnt*_xlpm.n,_xlpm.startRow,29+Internal!$B$6+2+1+1+Internal!$B$8+1+3+2+2+Internal!$B$6+2+Internal!$B$8+1+3+2+1+1+1,_xlpm.rows,_xlfn.SEQUENCE(_xlpm.n,1,_xlpm.startRow,1),_xlpm.cols,_xlfn.SEQUENCE(1,_xlpm.cnt,4,2),_xlpm.src,INDEX(Pl!$1:$1048576,_xlpm.rows,_xlpm.cols),_xlpm.seq,_xlfn.SEQUENCE(_xlpm.total,1,1,1),_xlpm.colIdx,INT((_xlpm.seq-1)/_xlpm.n)+1,_xlpm.rowIdx,MOD(_xlpm.seq-1,_xlpm.n)+1,INDEX(_xlpm.src,_xlpm.rowIdx,_xlpm.colIdx))</f>
        <v>10</v>
      </c>
      <c r="F2" t="str" cm="1">
        <f t="array" aca="1" ref="F2:F9" ca="1">_xlfn.LET(_xlpm.cnt,Internal!$B$14,_xlpm.n,(Internal!$B$12+1)*Internal!$B$15,_xlpm.startRow,29+Internal!$B$6+2+1+1+Internal!$B$8+1+3,_xlpm.lookupValue,OFFSET($E$1,1,0,_xlpm.n,1),_xlpm.lookupRange,OFFSET(INDIRECT(ADDRESS(_xlpm.startRow,3,,,"Pl")),0,0,1,_xlpm.cnt+1),_xlpm.returnRange,OFFSET(INDIRECT(ADDRESS(_xlpm.startRow+1,3,,,"Pl")),0,0,1,_xlpm.cnt+1),_xlfn.XLOOKUP(_xlpm.lookupValue,_xlpm.lookupRange,_xlpm.returnRange,"Not found"))</f>
        <v>P0</v>
      </c>
      <c r="G2" cm="1">
        <f t="array" ref="G2:G9">_xlfn.LET(_xlpm.reps,Internal!$B$12+1,_xlpm.cnt,Internal!$B$15,_xlpm.total,_xlpm.reps*_xlpm.cnt,_xlpm.startRow,29+Internal!$B$6+2+1+1+Internal!$B$8+1+3+2+2+Internal!$B$6+2+Internal!$B$8+1+3+1,_xlpm.cols,_xlfn.SEQUENCE(1,_xlpm.cnt,3,2),_xlpm.src,INDEX(Pl!$1:$1048576,_xlpm.startRow,_xlpm.cols),_xlpm.idx,INT((_xlfn.SEQUENCE(_xlpm.total,1,1,1)-1)/_xlpm.reps)+1,INDEX(_xlpm.src,_xlpm.idx))</f>
        <v>1</v>
      </c>
      <c r="H2" t="str" cm="1">
        <f t="array" ref="H2:H9">_xlfn.LET(_xlpm.reps,Internal!$B$12+1,_xlpm.cnt,Internal!$B$15,_xlpm.total,_xlpm.reps*_xlpm.cnt,_xlpm.startRow,29+Internal!$B$6+2+1+1+Internal!$B$8+1+3+2+2+Internal!$B$6+2+Internal!$B$8+1+3+1+1,_xlpm.cols,_xlfn.SEQUENCE(1,_xlpm.cnt,3,2),_xlpm.src,INDEX(Pl!$1:$1048576,_xlpm.startRow,_xlpm.cols),_xlpm.idx,INT((_xlfn.SEQUENCE(_xlpm.total,1,1,1)-1)/_xlpm.reps)+1,INDEX(_xlpm.src,_xlpm.idx))</f>
        <v>High</v>
      </c>
    </row>
    <row r="3" spans="1:8" x14ac:dyDescent="0.3">
      <c r="A3">
        <v>1</v>
      </c>
      <c r="B3">
        <f ca="1"/>
        <v>2030</v>
      </c>
      <c r="C3" s="610">
        <v>11</v>
      </c>
      <c r="D3" t="str">
        <f ca="1"/>
        <v>D1</v>
      </c>
      <c r="E3">
        <v>11</v>
      </c>
      <c r="F3" t="str">
        <f ca="1"/>
        <v>P1</v>
      </c>
      <c r="G3">
        <v>1</v>
      </c>
      <c r="H3" t="str">
        <v>High</v>
      </c>
    </row>
    <row r="4" spans="1:8" x14ac:dyDescent="0.3">
      <c r="A4">
        <v>2</v>
      </c>
      <c r="B4">
        <f ca="1"/>
        <v>2033</v>
      </c>
      <c r="C4">
        <v>12</v>
      </c>
      <c r="D4" t="str">
        <f ca="1"/>
        <v>D2</v>
      </c>
      <c r="E4">
        <v>12</v>
      </c>
      <c r="F4" t="str">
        <f ca="1"/>
        <v>P2</v>
      </c>
      <c r="G4">
        <v>1</v>
      </c>
      <c r="H4" t="str">
        <v>High</v>
      </c>
    </row>
    <row r="5" spans="1:8" x14ac:dyDescent="0.3">
      <c r="A5">
        <v>3</v>
      </c>
      <c r="B5">
        <f ca="1"/>
        <v>2038</v>
      </c>
      <c r="C5">
        <v>13</v>
      </c>
      <c r="D5" t="str">
        <f ca="1"/>
        <v>D3</v>
      </c>
      <c r="E5">
        <v>12</v>
      </c>
      <c r="F5" t="str">
        <f ca="1"/>
        <v>P2</v>
      </c>
      <c r="G5">
        <v>1</v>
      </c>
      <c r="H5" t="str">
        <v>High</v>
      </c>
    </row>
    <row r="6" spans="1:8" x14ac:dyDescent="0.3">
      <c r="A6">
        <v>0</v>
      </c>
      <c r="B6">
        <f ca="1"/>
        <v>2025</v>
      </c>
      <c r="C6">
        <v>10</v>
      </c>
      <c r="D6" t="str">
        <f ca="1"/>
        <v>D0</v>
      </c>
      <c r="E6">
        <v>10</v>
      </c>
      <c r="F6" t="str">
        <f ca="1"/>
        <v>P0</v>
      </c>
      <c r="G6">
        <v>2</v>
      </c>
      <c r="H6" t="str">
        <v>Low</v>
      </c>
    </row>
    <row r="7" spans="1:8" x14ac:dyDescent="0.3">
      <c r="A7">
        <v>1</v>
      </c>
      <c r="B7">
        <f ca="1"/>
        <v>2030</v>
      </c>
      <c r="C7">
        <v>11</v>
      </c>
      <c r="D7" t="str">
        <f ca="1"/>
        <v>D1</v>
      </c>
      <c r="E7">
        <v>11</v>
      </c>
      <c r="F7" t="str">
        <f ca="1"/>
        <v>P1</v>
      </c>
      <c r="G7">
        <v>2</v>
      </c>
      <c r="H7" t="str">
        <v>Low</v>
      </c>
    </row>
    <row r="8" spans="1:8" x14ac:dyDescent="0.3">
      <c r="A8">
        <v>2</v>
      </c>
      <c r="B8">
        <f ca="1"/>
        <v>2033</v>
      </c>
      <c r="C8">
        <v>11</v>
      </c>
      <c r="D8" t="str">
        <f ca="1"/>
        <v>D1</v>
      </c>
      <c r="E8">
        <v>12</v>
      </c>
      <c r="F8" t="str">
        <f ca="1"/>
        <v>P2</v>
      </c>
      <c r="G8">
        <v>2</v>
      </c>
      <c r="H8" t="str">
        <v>Low</v>
      </c>
    </row>
    <row r="9" spans="1:8" x14ac:dyDescent="0.3">
      <c r="A9">
        <v>3</v>
      </c>
      <c r="B9">
        <f ca="1"/>
        <v>2038</v>
      </c>
      <c r="C9">
        <v>12</v>
      </c>
      <c r="D9" t="str">
        <f ca="1"/>
        <v>D2</v>
      </c>
      <c r="E9">
        <v>11</v>
      </c>
      <c r="F9" t="str">
        <f ca="1"/>
        <v>P1</v>
      </c>
      <c r="G9">
        <v>2</v>
      </c>
      <c r="H9" t="str">
        <v>Low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67247-B5C9-4482-AF85-C6E18869D84F}">
  <sheetPr codeName="Sheet87"/>
  <dimension ref="A1:L167"/>
  <sheetViews>
    <sheetView workbookViewId="0">
      <selection activeCell="A25" sqref="A25"/>
    </sheetView>
  </sheetViews>
  <sheetFormatPr defaultColWidth="8.88671875" defaultRowHeight="15.6" x14ac:dyDescent="0.3"/>
  <cols>
    <col min="1" max="1" width="9.109375" style="641" bestFit="1" customWidth="1"/>
    <col min="2" max="16384" width="8.88671875" style="641"/>
  </cols>
  <sheetData>
    <row r="1" spans="1:12" x14ac:dyDescent="0.3">
      <c r="A1" s="641" t="s">
        <v>2086</v>
      </c>
    </row>
    <row r="2" spans="1:12" x14ac:dyDescent="0.3">
      <c r="A2" s="641" t="s">
        <v>2183</v>
      </c>
    </row>
    <row r="3" spans="1:12" x14ac:dyDescent="0.3">
      <c r="A3" s="641" t="s">
        <v>2088</v>
      </c>
    </row>
    <row r="4" spans="1:12" x14ac:dyDescent="0.3">
      <c r="A4" s="641" t="s">
        <v>2084</v>
      </c>
    </row>
    <row r="5" spans="1:12" x14ac:dyDescent="0.3">
      <c r="A5" s="641" t="str">
        <f>_xlfn.CONCAT("interactive_mode: ",IF(LOWER(Internal!B22),"true","false"),"            # Interactive mode = true, offline mode = false")</f>
        <v>interactive_mode: true            # Interactive mode = true, offline mode = false</v>
      </c>
    </row>
    <row r="6" spans="1:12" x14ac:dyDescent="0.3">
      <c r="A6" s="641" t="str">
        <f ca="1">_xlfn.CONCAT("simulation_planCombined: ",MATCH(Console!$D$6,OFFSET(Internal!$AB$1,1,0,Internal!$B$15),0),"         # Id of the combined plan to simulate")</f>
        <v>simulation_planCombined: 1         # Id of the combined plan to simulate</v>
      </c>
      <c r="L6" s="641" t="str">
        <f ca="1">IF(SEARCH("Windows",INFO("OSVERSION"))=1,pathProject,"")</f>
        <v>C:/projectTesting/rwanda</v>
      </c>
    </row>
    <row r="7" spans="1:12" x14ac:dyDescent="0.3">
      <c r="A7" s="641" t="str">
        <f ca="1">_xlfn.CONCAT("simulation_growthScenario: ",MATCH(Console!$D$7,OFFSET(Internal!$AD$1,1,0,Internal!$B$16),0),"       # Id of the growth scenario to simulate")</f>
        <v>simulation_growthScenario: 1       # Id of the growth scenario to simulate</v>
      </c>
    </row>
    <row r="8" spans="1:12" x14ac:dyDescent="0.3">
      <c r="A8" s="641" t="s">
        <v>2084</v>
      </c>
    </row>
    <row r="9" spans="1:12" x14ac:dyDescent="0.3">
      <c r="A9" s="641" t="s">
        <v>2221</v>
      </c>
    </row>
    <row r="10" spans="1:12" x14ac:dyDescent="0.3">
      <c r="A10" s="641" t="str">
        <f>_xlfn.CONCAT("  PricePlan_id: ",Pl!$D$96)</f>
        <v>  PricePlan_id: 10</v>
      </c>
    </row>
    <row r="11" spans="1:12" x14ac:dyDescent="0.3">
      <c r="A11" s="641" t="str">
        <f>_xlfn.CONCAT("  DepPlan_id: ",Pl!$C$96)</f>
        <v>  DepPlan_id: 10</v>
      </c>
    </row>
    <row r="12" spans="1:12" x14ac:dyDescent="0.3">
      <c r="A12" s="641" t="str">
        <f>_xlfn.CONCAT("  year: ",Pl!$B$96)</f>
        <v>  year: 2025</v>
      </c>
    </row>
    <row r="13" spans="1:12" x14ac:dyDescent="0.3">
      <c r="A13" s="641" t="s">
        <v>2229</v>
      </c>
    </row>
    <row r="14" spans="1:12" x14ac:dyDescent="0.3">
      <c r="A14" s="641" t="s">
        <v>2084</v>
      </c>
    </row>
    <row r="15" spans="1:12" x14ac:dyDescent="0.3">
      <c r="A15" s="641" t="s">
        <v>2149</v>
      </c>
    </row>
    <row r="16" spans="1:12" x14ac:dyDescent="0.3">
      <c r="A16" s="641" t="s">
        <v>2185</v>
      </c>
    </row>
    <row r="17" spans="1:1" x14ac:dyDescent="0.3">
      <c r="A17" s="641" t="str">
        <f>_xlfn.CONCAT("  utm_epsg: ",preprocess!$C$4,"                  # UTM for region (number format)")</f>
        <v xml:space="preserve">  utm_epsg: 32735                  # UTM for region (number format)</v>
      </c>
    </row>
    <row r="18" spans="1:1" x14ac:dyDescent="0.3">
      <c r="A18" s="641" t="s">
        <v>2084</v>
      </c>
    </row>
    <row r="19" spans="1:1" x14ac:dyDescent="0.3">
      <c r="A19" s="641" t="s">
        <v>2150</v>
      </c>
    </row>
    <row r="20" spans="1:1" x14ac:dyDescent="0.3">
      <c r="A20" s="641" t="str">
        <f>_xlfn.CONCAT("url_geoinfo: ","""",preprocess!$C$3,"""")</f>
        <v>url_geoinfo: "https://download.geofabrik.de/africa/rwanda-latest-free.shp.zip"</v>
      </c>
    </row>
    <row r="21" spans="1:1" x14ac:dyDescent="0.3">
      <c r="A21" s="641" t="s">
        <v>2084</v>
      </c>
    </row>
    <row r="22" spans="1:1" x14ac:dyDescent="0.3">
      <c r="A22" s="641" t="s">
        <v>2085</v>
      </c>
    </row>
    <row r="23" spans="1:1" x14ac:dyDescent="0.3">
      <c r="A23" s="641" t="s">
        <v>2222</v>
      </c>
    </row>
    <row r="24" spans="1:1" x14ac:dyDescent="0.3">
      <c r="A24" s="641" t="s">
        <v>2223</v>
      </c>
    </row>
    <row r="25" spans="1:1" x14ac:dyDescent="0.3">
      <c r="A25" s="641" t="str">
        <f ca="1">_xlfn.CONCAT("  inputs: ","""",IF(SEARCH("Windows",INFO("OSVERSION"))=2,_xlfn.CONCAT(pathProject,"/CleanCooking_os"),"."),,"/data/inputs","""","                               # Input files")</f>
        <v xml:space="preserve">  inputs: "./data/inputs"                               # Input files</v>
      </c>
    </row>
    <row r="26" spans="1:1" x14ac:dyDescent="0.3">
      <c r="A26" s="641" t="s">
        <v>2224</v>
      </c>
    </row>
    <row r="27" spans="1:1" x14ac:dyDescent="0.3">
      <c r="A27" s="641" t="s">
        <v>2231</v>
      </c>
    </row>
    <row r="28" spans="1:1" x14ac:dyDescent="0.3">
      <c r="A28" s="641" t="s">
        <v>2230</v>
      </c>
    </row>
    <row r="29" spans="1:1" x14ac:dyDescent="0.3">
      <c r="A29" s="641" t="s">
        <v>2184</v>
      </c>
    </row>
    <row r="30" spans="1:1" x14ac:dyDescent="0.3">
      <c r="A30" s="641" t="s">
        <v>2207</v>
      </c>
    </row>
    <row r="31" spans="1:1" x14ac:dyDescent="0.3">
      <c r="A31" s="641" t="s">
        <v>2208</v>
      </c>
    </row>
    <row r="32" spans="1:1" x14ac:dyDescent="0.3">
      <c r="A32" s="641" t="s">
        <v>2209</v>
      </c>
    </row>
    <row r="33" spans="1:1" x14ac:dyDescent="0.3">
      <c r="A33" s="641" t="s">
        <v>2210</v>
      </c>
    </row>
    <row r="34" spans="1:1" x14ac:dyDescent="0.3">
      <c r="A34" s="641" t="s">
        <v>2211</v>
      </c>
    </row>
    <row r="35" spans="1:1" x14ac:dyDescent="0.3">
      <c r="A35" s="641" t="s">
        <v>2212</v>
      </c>
    </row>
    <row r="36" spans="1:1" x14ac:dyDescent="0.3">
      <c r="A36" s="641" t="s">
        <v>2213</v>
      </c>
    </row>
    <row r="37" spans="1:1" x14ac:dyDescent="0.3">
      <c r="A37" s="641" t="s">
        <v>2214</v>
      </c>
    </row>
    <row r="38" spans="1:1" x14ac:dyDescent="0.3">
      <c r="A38" s="641" t="s">
        <v>2215</v>
      </c>
    </row>
    <row r="39" spans="1:1" x14ac:dyDescent="0.3">
      <c r="A39" s="641" t="s">
        <v>2216</v>
      </c>
    </row>
    <row r="40" spans="1:1" x14ac:dyDescent="0.3">
      <c r="A40" s="641" t="s">
        <v>2084</v>
      </c>
    </row>
    <row r="41" spans="1:1" x14ac:dyDescent="0.3">
      <c r="A41" s="641" t="s">
        <v>2087</v>
      </c>
    </row>
    <row r="42" spans="1:1" x14ac:dyDescent="0.3">
      <c r="A42" s="641" t="s">
        <v>2225</v>
      </c>
    </row>
    <row r="43" spans="1:1" x14ac:dyDescent="0.3">
      <c r="A43" s="641" t="s">
        <v>2226</v>
      </c>
    </row>
    <row r="44" spans="1:1" x14ac:dyDescent="0.3">
      <c r="A44" s="641" t="s">
        <v>2227</v>
      </c>
    </row>
    <row r="45" spans="1:1" x14ac:dyDescent="0.3">
      <c r="A45" s="641" t="s">
        <v>2084</v>
      </c>
    </row>
    <row r="46" spans="1:1" x14ac:dyDescent="0.3">
      <c r="A46" s="641" t="s">
        <v>2228</v>
      </c>
    </row>
    <row r="47" spans="1:1" x14ac:dyDescent="0.3">
      <c r="A47" s="641" t="s">
        <v>2084</v>
      </c>
    </row>
    <row r="48" spans="1:1" x14ac:dyDescent="0.3">
      <c r="A48" s="641" t="s">
        <v>2151</v>
      </c>
    </row>
    <row r="49" spans="1:1" x14ac:dyDescent="0.3">
      <c r="A49" s="641" t="str">
        <f>_xlfn.CONCAT("  type: ",preprocess!$H$6,"                                        # default building type, e.g. residential")</f>
        <v xml:space="preserve">  type: 21                                        # default building type, e.g. residential</v>
      </c>
    </row>
    <row r="50" spans="1:1" x14ac:dyDescent="0.3">
      <c r="A50" s="641" t="str">
        <f>_xlfn.CONCAT("  aggregated: ",preprocess!$J$11,"                                  # default aggregated building type")</f>
        <v xml:space="preserve">  aggregated: 20                                  # default aggregated building type</v>
      </c>
    </row>
    <row r="51" spans="1:1" x14ac:dyDescent="0.3">
      <c r="A51" s="641" t="str">
        <f>_xlfn.CONCAT("  social: ",preprocess!$H$7,"                                       # default social category, e.g. low income")</f>
        <v xml:space="preserve">  social: 3                                       # default social category, e.g. low income</v>
      </c>
    </row>
    <row r="52" spans="1:1" x14ac:dyDescent="0.3">
      <c r="A52" s="641" t="str">
        <f ca="1">_xlfn.CONCAT("  num_social: ",MAX(OFFSET(preprocess!$E$12,1,0,Internal!$B$3)),"                                   # number of social categories")</f>
        <v xml:space="preserve">  num_social: 5                                   # number of social categories</v>
      </c>
    </row>
    <row r="53" spans="1:1" x14ac:dyDescent="0.3">
      <c r="A53" s="641" t="str">
        <f>_xlfn.CONCAT("  residential_clusters: ",preprocess!$H$8,"        # residential social clusters")</f>
        <v xml:space="preserve">  residential_clusters: ["S","M","L","XL"]        # residential social clusters</v>
      </c>
    </row>
    <row r="54" spans="1:1" x14ac:dyDescent="0.3">
      <c r="A54" s="641" t="str">
        <f>_xlfn.CONCAT("  fuel_names: ",preprocess!$H$9,"                      # names of fuel areas")</f>
        <v xml:space="preserve">  fuel_names: ["elec","lpg"]                      # names of fuel areas</v>
      </c>
    </row>
    <row r="55" spans="1:1" x14ac:dyDescent="0.3">
      <c r="A55" s="641" t="s">
        <v>2084</v>
      </c>
    </row>
    <row r="56" spans="1:1" x14ac:dyDescent="0.3">
      <c r="A56" s="641" t="str">
        <f>_xlfn.CONCAT("main_region_label: ","""",preprocess!$C$7,"""")</f>
        <v>main_region_label: "District"</v>
      </c>
    </row>
    <row r="57" spans="1:1" x14ac:dyDescent="0.3">
      <c r="A57" s="641" t="str">
        <f>_xlfn.CONCAT("social_region_label: ","""",preprocess!$C$8,"""")</f>
        <v>social_region_label: "Sector"</v>
      </c>
    </row>
    <row r="58" spans="1:1" x14ac:dyDescent="0.3">
      <c r="A58" s="641" t="str">
        <f>_xlfn.CONCAT("pue_region_label: ","""",preprocess!$C$9,"""")</f>
        <v>pue_region_label: "Village"</v>
      </c>
    </row>
    <row r="59" spans="1:1" x14ac:dyDescent="0.3">
      <c r="A59" s="641" t="s">
        <v>2084</v>
      </c>
    </row>
    <row r="60" spans="1:1" x14ac:dyDescent="0.3">
      <c r="A60" s="641" t="s">
        <v>2152</v>
      </c>
    </row>
    <row r="61" spans="1:1" x14ac:dyDescent="0.3">
      <c r="A61" s="641" t="s">
        <v>2189</v>
      </c>
    </row>
    <row r="62" spans="1:1" x14ac:dyDescent="0.3">
      <c r="A62" s="641" t="s">
        <v>2190</v>
      </c>
    </row>
    <row r="63" spans="1:1" x14ac:dyDescent="0.3">
      <c r="A63" s="641" t="s">
        <v>2186</v>
      </c>
    </row>
    <row r="64" spans="1:1" x14ac:dyDescent="0.3">
      <c r="A64" s="641" t="s">
        <v>2187</v>
      </c>
    </row>
    <row r="65" spans="1:1" x14ac:dyDescent="0.3">
      <c r="A65" s="641" t="s">
        <v>2188</v>
      </c>
    </row>
    <row r="66" spans="1:1" x14ac:dyDescent="0.3">
      <c r="A66" s="641" t="str">
        <f>_xlfn.CONCAT("  main_region: ","""",preprocess!$D$7,"""","                     # filename for main region shapefile")</f>
        <v xml:space="preserve">  main_region: "district.shp"                     # filename for main region shapefile</v>
      </c>
    </row>
    <row r="67" spans="1:1" x14ac:dyDescent="0.3">
      <c r="A67" s="641" t="str">
        <f>_xlfn.CONCAT("  social_region: ","""",preprocess!$D$8,"""","                     # filename for social cluster region shapefile")</f>
        <v xml:space="preserve">  social_region: "sector.shp"                     # filename for social cluster region shapefile</v>
      </c>
    </row>
    <row r="68" spans="1:1" x14ac:dyDescent="0.3">
      <c r="A68" s="641" t="str">
        <f>_xlfn.CONCAT("  pue_region: ","""",preprocess!$D$9,"""","                       # filename for productive use of electricity region shapefile")</f>
        <v xml:space="preserve">  pue_region: "village.shp"                       # filename for productive use of electricity region shapefile</v>
      </c>
    </row>
    <row r="69" spans="1:1" x14ac:dyDescent="0.3">
      <c r="A69" s="641" t="str" cm="1">
        <f t="array" aca="1" ref="A69:A167" ca="1">_xlfn.LET(_xlpm.nB,COUNTA(_xlfn.DROP(preprocess!B:B,12)), _xlpm.nI,COUNTA(_xlfn.DROP(preprocess!I:I,12)), _xlpm.nJ,COUNTA(_xlfn.DROP(preprocess!J:J,12)),
_xlpm.rngB,OFFSET(preprocess!$B$12,1,0,_xlpm.nB), _xlpm.rngC,OFFSET(preprocess!$C$12,1,0,Internal!$B$3), _xlpm.rngD,OFFSET(preprocess!$D$12,1,0,Internal!$B$3), _xlpm.rngE,OFFSET(preprocess!$E$12,1,0,Internal!$B$3), _xlpm.rngF,OFFSET(preprocess!$F$12,1,0,Internal!$B$11), _xlpm.rngG,OFFSET(preprocess!$G$12,1,0,Internal!$B$11), _xlpm.rngH,OFFSET(preprocess!$H$12,1,0,Internal!$B$11), _xlpm.rngI,OFFSET(preprocess!$I$12,1,0,_xlpm.nI), _xlpm.rngJ,OFFSET(preprocess!$J$12,1,0,_xlpm.nJ),
_xlpm.listB,_xlfn._xlws.FILTER(_xlpm.rngB,_xlpm.rngB&lt;&gt;""), _xlpm.listC,_xlfn._xlws.FILTER(_xlpm.rngC,_xlpm.rngC&lt;&gt;""), _xlpm.listD,_xlfn._xlws.FILTER(_xlpm.rngD,_xlpm.rngD&lt;&gt;""), _xlpm.listE,_xlfn._xlws.FILTER(_xlpm.rngE,_xlpm.rngE&lt;&gt;""), _xlpm.listF,_xlfn._xlws.FILTER(_xlpm.rngF,_xlpm.rngF&lt;&gt;""), _xlpm.listG,_xlfn._xlws.FILTER(_xlpm.rngG,_xlpm.rngF&lt;&gt;""), _xlpm.listH,_xlfn._xlws.FILTER(_xlpm.rngH,_xlpm.rngF&lt;&gt;""), _xlpm.listI,_xlfn._xlws.FILTER(_xlpm.rngI,_xlpm.rngI&lt;&gt;""), _xlpm.listJ,_xlfn._xlws.FILTER(_xlpm.rngJ,_xlpm.rngJ&lt;&gt;""),
_xlpm.regions,"  - " &amp; _xlpm.listB, _xlpm.bdg_type,"  - " &amp; _xlpm.listC &amp;  "  # " &amp; _xlpm.listD, _xlpm.bdg_type_social,"  " &amp; _xlpm.listC &amp;  ": " &amp; _xlpm.listE, _xlpm.landuse,"    " &amp; _xlpm.listF &amp;  ": " &amp; _xlpm.listG, _xlpm.main_classes,IFERROR(_xlfn._xlws.FILTER(_xlpm.landuse,_xlpm.listH),""), _xlpm.tiffLines,"    tiff" &amp; _xlfn.SEQUENCE(ROWS(_xlpm.listI)) &amp; ": " &amp; _xlpm.listI, _xlpm.multiLines,"    multi" &amp; _xlfn.SEQUENCE(ROWS(_xlpm.listJ)) &amp; ": " &amp; _xlpm.listJ,
_xlfn.VSTACK("  multiple:",_xlpm.multiLines,"  landuse:",_xlpm.tiffLines," ","regions:",_xlpm.regions," ","bdg_type:",_xlpm.bdg_type," ","bdg_type_social:",_xlpm.bdg_type_social," ","landuse:","  classes:",_xlpm.landuse,"  radius: 200","  main_classes:",_xlpm.main_classes))</f>
        <v xml:space="preserve">  multiple:</v>
      </c>
    </row>
    <row r="70" spans="1:1" x14ac:dyDescent="0.3">
      <c r="A70" s="641" t="str">
        <f ca="1"/>
        <v xml:space="preserve">    multi1: refugee_camp.shp</v>
      </c>
    </row>
    <row r="71" spans="1:1" x14ac:dyDescent="0.3">
      <c r="A71" s="641" t="str">
        <f ca="1"/>
        <v xml:space="preserve">  landuse:</v>
      </c>
    </row>
    <row r="72" spans="1:1" x14ac:dyDescent="0.3">
      <c r="A72" s="641" t="str">
        <f ca="1"/>
        <v xml:space="preserve">    tiff1: 35M.tif</v>
      </c>
    </row>
    <row r="73" spans="1:1" x14ac:dyDescent="0.3">
      <c r="A73" s="641" t="str">
        <f ca="1"/>
        <v xml:space="preserve">    tiff2: 36M.tif</v>
      </c>
    </row>
    <row r="74" spans="1:1" x14ac:dyDescent="0.3">
      <c r="A74" s="641" t="str">
        <f ca="1"/>
        <v xml:space="preserve"> </v>
      </c>
    </row>
    <row r="75" spans="1:1" x14ac:dyDescent="0.3">
      <c r="A75" s="641" t="str">
        <f ca="1"/>
        <v>regions:</v>
      </c>
    </row>
    <row r="76" spans="1:1" x14ac:dyDescent="0.3">
      <c r="A76" s="641" t="str">
        <f ca="1"/>
        <v xml:space="preserve">  - Nyarugenge</v>
      </c>
    </row>
    <row r="77" spans="1:1" x14ac:dyDescent="0.3">
      <c r="A77" s="641" t="str">
        <f ca="1"/>
        <v xml:space="preserve">  - Gasabo</v>
      </c>
    </row>
    <row r="78" spans="1:1" x14ac:dyDescent="0.3">
      <c r="A78" s="641" t="str">
        <f ca="1"/>
        <v xml:space="preserve">  - Kicukiro</v>
      </c>
    </row>
    <row r="79" spans="1:1" x14ac:dyDescent="0.3">
      <c r="A79" s="641" t="str">
        <f ca="1"/>
        <v xml:space="preserve">  - Nyanza</v>
      </c>
    </row>
    <row r="80" spans="1:1" x14ac:dyDescent="0.3">
      <c r="A80" s="641" t="str">
        <f ca="1"/>
        <v xml:space="preserve">  - Gisagara</v>
      </c>
    </row>
    <row r="81" spans="1:1" x14ac:dyDescent="0.3">
      <c r="A81" s="641" t="str">
        <f ca="1"/>
        <v xml:space="preserve">  - Nyaruguru</v>
      </c>
    </row>
    <row r="82" spans="1:1" x14ac:dyDescent="0.3">
      <c r="A82" s="641" t="str">
        <f ca="1"/>
        <v xml:space="preserve">  - Huye</v>
      </c>
    </row>
    <row r="83" spans="1:1" x14ac:dyDescent="0.3">
      <c r="A83" s="641" t="str">
        <f ca="1"/>
        <v xml:space="preserve">  - Nyamagabe</v>
      </c>
    </row>
    <row r="84" spans="1:1" x14ac:dyDescent="0.3">
      <c r="A84" s="641" t="str">
        <f ca="1"/>
        <v xml:space="preserve">  - Ruhango</v>
      </c>
    </row>
    <row r="85" spans="1:1" x14ac:dyDescent="0.3">
      <c r="A85" s="641" t="str">
        <f ca="1"/>
        <v xml:space="preserve">  - Muhanga</v>
      </c>
    </row>
    <row r="86" spans="1:1" x14ac:dyDescent="0.3">
      <c r="A86" s="641" t="str">
        <f ca="1"/>
        <v xml:space="preserve">  - Kamonyi</v>
      </c>
    </row>
    <row r="87" spans="1:1" x14ac:dyDescent="0.3">
      <c r="A87" s="641" t="str">
        <f ca="1"/>
        <v xml:space="preserve">  - Karongi</v>
      </c>
    </row>
    <row r="88" spans="1:1" x14ac:dyDescent="0.3">
      <c r="A88" s="641" t="str">
        <f ca="1"/>
        <v xml:space="preserve">  - Rutsiro</v>
      </c>
    </row>
    <row r="89" spans="1:1" x14ac:dyDescent="0.3">
      <c r="A89" s="641" t="str">
        <f ca="1"/>
        <v xml:space="preserve">  - Rubavu</v>
      </c>
    </row>
    <row r="90" spans="1:1" x14ac:dyDescent="0.3">
      <c r="A90" s="641" t="str">
        <f ca="1"/>
        <v xml:space="preserve">  - Nyabihu</v>
      </c>
    </row>
    <row r="91" spans="1:1" x14ac:dyDescent="0.3">
      <c r="A91" s="641" t="str">
        <f ca="1"/>
        <v xml:space="preserve">  - Ngororero</v>
      </c>
    </row>
    <row r="92" spans="1:1" x14ac:dyDescent="0.3">
      <c r="A92" s="641" t="str">
        <f ca="1"/>
        <v xml:space="preserve">  - Rusizi</v>
      </c>
    </row>
    <row r="93" spans="1:1" x14ac:dyDescent="0.3">
      <c r="A93" s="641" t="str">
        <f ca="1"/>
        <v xml:space="preserve">  - Nyamasheke</v>
      </c>
    </row>
    <row r="94" spans="1:1" x14ac:dyDescent="0.3">
      <c r="A94" s="641" t="str">
        <f ca="1"/>
        <v xml:space="preserve">  - Rulindo</v>
      </c>
    </row>
    <row r="95" spans="1:1" x14ac:dyDescent="0.3">
      <c r="A95" s="641" t="str">
        <f ca="1"/>
        <v xml:space="preserve">  - Gakenke</v>
      </c>
    </row>
    <row r="96" spans="1:1" x14ac:dyDescent="0.3">
      <c r="A96" s="641" t="str">
        <f ca="1"/>
        <v xml:space="preserve">  - Musanze</v>
      </c>
    </row>
    <row r="97" spans="1:1" x14ac:dyDescent="0.3">
      <c r="A97" s="641" t="str">
        <f ca="1"/>
        <v xml:space="preserve">  - Burera</v>
      </c>
    </row>
    <row r="98" spans="1:1" x14ac:dyDescent="0.3">
      <c r="A98" s="641" t="str">
        <f ca="1"/>
        <v xml:space="preserve">  - Gicumbi</v>
      </c>
    </row>
    <row r="99" spans="1:1" x14ac:dyDescent="0.3">
      <c r="A99" s="641" t="str">
        <f ca="1"/>
        <v xml:space="preserve">  - Rwamagana</v>
      </c>
    </row>
    <row r="100" spans="1:1" x14ac:dyDescent="0.3">
      <c r="A100" s="641" t="str">
        <f ca="1"/>
        <v xml:space="preserve">  - Nyagatare</v>
      </c>
    </row>
    <row r="101" spans="1:1" x14ac:dyDescent="0.3">
      <c r="A101" s="641" t="str">
        <f ca="1"/>
        <v xml:space="preserve">  - Gatsibo</v>
      </c>
    </row>
    <row r="102" spans="1:1" x14ac:dyDescent="0.3">
      <c r="A102" s="641" t="str">
        <f ca="1"/>
        <v xml:space="preserve">  - Kayonza</v>
      </c>
    </row>
    <row r="103" spans="1:1" x14ac:dyDescent="0.3">
      <c r="A103" s="641" t="str">
        <f ca="1"/>
        <v xml:space="preserve">  - Kirehe</v>
      </c>
    </row>
    <row r="104" spans="1:1" x14ac:dyDescent="0.3">
      <c r="A104" s="641" t="str">
        <f ca="1"/>
        <v xml:space="preserve">  - Ngoma</v>
      </c>
    </row>
    <row r="105" spans="1:1" x14ac:dyDescent="0.3">
      <c r="A105" s="641" t="str">
        <f ca="1"/>
        <v xml:space="preserve">  - Bugesera</v>
      </c>
    </row>
    <row r="106" spans="1:1" x14ac:dyDescent="0.3">
      <c r="A106" s="641" t="str">
        <f ca="1"/>
        <v xml:space="preserve"> </v>
      </c>
    </row>
    <row r="107" spans="1:1" x14ac:dyDescent="0.3">
      <c r="A107" s="641" t="str">
        <f ca="1"/>
        <v>bdg_type:</v>
      </c>
    </row>
    <row r="108" spans="1:1" x14ac:dyDescent="0.3">
      <c r="A108" s="641" t="str">
        <f ca="1"/>
        <v xml:space="preserve">  - 1  # residential_S</v>
      </c>
    </row>
    <row r="109" spans="1:1" x14ac:dyDescent="0.3">
      <c r="A109" s="641" t="str">
        <f ca="1"/>
        <v xml:space="preserve">  - 2  # residential_M</v>
      </c>
    </row>
    <row r="110" spans="1:1" x14ac:dyDescent="0.3">
      <c r="A110" s="641" t="str">
        <f ca="1"/>
        <v xml:space="preserve">  - 3  # residential_L</v>
      </c>
    </row>
    <row r="111" spans="1:1" x14ac:dyDescent="0.3">
      <c r="A111" s="641" t="str">
        <f ca="1"/>
        <v xml:space="preserve">  - 4  # residential_XL</v>
      </c>
    </row>
    <row r="112" spans="1:1" x14ac:dyDescent="0.3">
      <c r="A112" s="641" t="str">
        <f ca="1"/>
        <v xml:space="preserve">  - 5  # commercial_S</v>
      </c>
    </row>
    <row r="113" spans="1:1" x14ac:dyDescent="0.3">
      <c r="A113" s="641" t="str">
        <f ca="1"/>
        <v xml:space="preserve">  - 6  # commercial_L</v>
      </c>
    </row>
    <row r="114" spans="1:1" x14ac:dyDescent="0.3">
      <c r="A114" s="641" t="str">
        <f ca="1"/>
        <v xml:space="preserve">  - 7  # hotel</v>
      </c>
    </row>
    <row r="115" spans="1:1" x14ac:dyDescent="0.3">
      <c r="A115" s="641" t="str">
        <f ca="1"/>
        <v xml:space="preserve">  - 8  # commercial-CC</v>
      </c>
    </row>
    <row r="116" spans="1:1" x14ac:dyDescent="0.3">
      <c r="A116" s="641" t="str">
        <f ca="1"/>
        <v xml:space="preserve">  - 9  # industry_S-CC</v>
      </c>
    </row>
    <row r="117" spans="1:1" x14ac:dyDescent="0.3">
      <c r="A117" s="641" t="str">
        <f ca="1"/>
        <v xml:space="preserve">  - 10  # industry_L-CC</v>
      </c>
    </row>
    <row r="118" spans="1:1" x14ac:dyDescent="0.3">
      <c r="A118" s="641" t="str">
        <f ca="1"/>
        <v xml:space="preserve">  - 11  # industry</v>
      </c>
    </row>
    <row r="119" spans="1:1" x14ac:dyDescent="0.3">
      <c r="A119" s="641" t="str">
        <f ca="1"/>
        <v xml:space="preserve">  - 12  # education_S</v>
      </c>
    </row>
    <row r="120" spans="1:1" x14ac:dyDescent="0.3">
      <c r="A120" s="641" t="str">
        <f ca="1"/>
        <v xml:space="preserve">  - 13  # education_L</v>
      </c>
    </row>
    <row r="121" spans="1:1" x14ac:dyDescent="0.3">
      <c r="A121" s="641" t="str">
        <f ca="1"/>
        <v xml:space="preserve">  - 14  # restaurant_S</v>
      </c>
    </row>
    <row r="122" spans="1:1" x14ac:dyDescent="0.3">
      <c r="A122" s="641" t="str">
        <f ca="1"/>
        <v xml:space="preserve">  - 15  # restaurant_M</v>
      </c>
    </row>
    <row r="123" spans="1:1" x14ac:dyDescent="0.3">
      <c r="A123" s="641" t="str">
        <f ca="1"/>
        <v xml:space="preserve">  - 16  # restaurant_L</v>
      </c>
    </row>
    <row r="124" spans="1:1" x14ac:dyDescent="0.3">
      <c r="A124" s="641" t="str">
        <f ca="1"/>
        <v xml:space="preserve">  - 17  # hospital</v>
      </c>
    </row>
    <row r="125" spans="1:1" x14ac:dyDescent="0.3">
      <c r="A125" s="641" t="str">
        <f ca="1"/>
        <v xml:space="preserve">  - 18  # office</v>
      </c>
    </row>
    <row r="126" spans="1:1" x14ac:dyDescent="0.3">
      <c r="A126" s="641" t="str">
        <f ca="1"/>
        <v xml:space="preserve">  - 19  # airport</v>
      </c>
    </row>
    <row r="127" spans="1:1" x14ac:dyDescent="0.3">
      <c r="A127" s="641" t="str">
        <f ca="1"/>
        <v xml:space="preserve">  - 20  # residential_GR</v>
      </c>
    </row>
    <row r="128" spans="1:1" x14ac:dyDescent="0.3">
      <c r="A128" s="641" t="str">
        <f ca="1"/>
        <v xml:space="preserve"> </v>
      </c>
    </row>
    <row r="129" spans="1:1" x14ac:dyDescent="0.3">
      <c r="A129" s="641" t="str">
        <f ca="1"/>
        <v>bdg_type_social:</v>
      </c>
    </row>
    <row r="130" spans="1:1" x14ac:dyDescent="0.3">
      <c r="A130" s="641" t="str">
        <f ca="1"/>
        <v xml:space="preserve">  1: 3</v>
      </c>
    </row>
    <row r="131" spans="1:1" x14ac:dyDescent="0.3">
      <c r="A131" s="641" t="str">
        <f ca="1"/>
        <v xml:space="preserve">  2: 4</v>
      </c>
    </row>
    <row r="132" spans="1:1" x14ac:dyDescent="0.3">
      <c r="A132" s="641" t="str">
        <f ca="1"/>
        <v xml:space="preserve">  3: 5</v>
      </c>
    </row>
    <row r="133" spans="1:1" x14ac:dyDescent="0.3">
      <c r="A133" s="641" t="str">
        <f ca="1"/>
        <v xml:space="preserve">  4: 5</v>
      </c>
    </row>
    <row r="134" spans="1:1" x14ac:dyDescent="0.3">
      <c r="A134" s="641" t="str">
        <f ca="1"/>
        <v xml:space="preserve">  5: 2</v>
      </c>
    </row>
    <row r="135" spans="1:1" x14ac:dyDescent="0.3">
      <c r="A135" s="641" t="str">
        <f ca="1"/>
        <v xml:space="preserve">  6: 2</v>
      </c>
    </row>
    <row r="136" spans="1:1" x14ac:dyDescent="0.3">
      <c r="A136" s="641" t="str">
        <f ca="1"/>
        <v xml:space="preserve">  7: 2</v>
      </c>
    </row>
    <row r="137" spans="1:1" x14ac:dyDescent="0.3">
      <c r="A137" s="641" t="str">
        <f ca="1"/>
        <v xml:space="preserve">  8: 2</v>
      </c>
    </row>
    <row r="138" spans="1:1" x14ac:dyDescent="0.3">
      <c r="A138" s="641" t="str">
        <f ca="1"/>
        <v xml:space="preserve">  9: 2</v>
      </c>
    </row>
    <row r="139" spans="1:1" x14ac:dyDescent="0.3">
      <c r="A139" s="641" t="str">
        <f ca="1"/>
        <v xml:space="preserve">  10: 2</v>
      </c>
    </row>
    <row r="140" spans="1:1" x14ac:dyDescent="0.3">
      <c r="A140" s="641" t="str">
        <f ca="1"/>
        <v xml:space="preserve">  11: 2</v>
      </c>
    </row>
    <row r="141" spans="1:1" x14ac:dyDescent="0.3">
      <c r="A141" s="641" t="str">
        <f ca="1"/>
        <v xml:space="preserve">  12: 1</v>
      </c>
    </row>
    <row r="142" spans="1:1" x14ac:dyDescent="0.3">
      <c r="A142" s="641" t="str">
        <f ca="1"/>
        <v xml:space="preserve">  13: 1</v>
      </c>
    </row>
    <row r="143" spans="1:1" x14ac:dyDescent="0.3">
      <c r="A143" s="641" t="str">
        <f ca="1"/>
        <v xml:space="preserve">  14: 2</v>
      </c>
    </row>
    <row r="144" spans="1:1" x14ac:dyDescent="0.3">
      <c r="A144" s="641" t="str">
        <f ca="1"/>
        <v xml:space="preserve">  15: 2</v>
      </c>
    </row>
    <row r="145" spans="1:1" x14ac:dyDescent="0.3">
      <c r="A145" s="641" t="str">
        <f ca="1"/>
        <v xml:space="preserve">  16: 2</v>
      </c>
    </row>
    <row r="146" spans="1:1" x14ac:dyDescent="0.3">
      <c r="A146" s="641" t="str">
        <f ca="1"/>
        <v xml:space="preserve">  17: 1</v>
      </c>
    </row>
    <row r="147" spans="1:1" x14ac:dyDescent="0.3">
      <c r="A147" s="641" t="str">
        <f ca="1"/>
        <v xml:space="preserve">  18: 1</v>
      </c>
    </row>
    <row r="148" spans="1:1" x14ac:dyDescent="0.3">
      <c r="A148" s="641" t="str">
        <f ca="1"/>
        <v xml:space="preserve">  19: 1</v>
      </c>
    </row>
    <row r="149" spans="1:1" x14ac:dyDescent="0.3">
      <c r="A149" s="641" t="str">
        <f ca="1"/>
        <v xml:space="preserve">  20: 1</v>
      </c>
    </row>
    <row r="150" spans="1:1" x14ac:dyDescent="0.3">
      <c r="A150" s="641" t="str">
        <f ca="1"/>
        <v xml:space="preserve"> </v>
      </c>
    </row>
    <row r="151" spans="1:1" x14ac:dyDescent="0.3">
      <c r="A151" s="641" t="str">
        <f ca="1"/>
        <v>landuse:</v>
      </c>
    </row>
    <row r="152" spans="1:1" x14ac:dyDescent="0.3">
      <c r="A152" s="641" t="str">
        <f ca="1"/>
        <v xml:space="preserve">  classes:</v>
      </c>
    </row>
    <row r="153" spans="1:1" x14ac:dyDescent="0.3">
      <c r="A153" s="641" t="str">
        <f ca="1"/>
        <v xml:space="preserve">    1: Water</v>
      </c>
    </row>
    <row r="154" spans="1:1" x14ac:dyDescent="0.3">
      <c r="A154" s="641" t="str">
        <f ca="1"/>
        <v xml:space="preserve">    2: Trees</v>
      </c>
    </row>
    <row r="155" spans="1:1" x14ac:dyDescent="0.3">
      <c r="A155" s="641" t="str">
        <f ca="1"/>
        <v xml:space="preserve">    4: FloodedVeg</v>
      </c>
    </row>
    <row r="156" spans="1:1" x14ac:dyDescent="0.3">
      <c r="A156" s="641" t="str">
        <f ca="1"/>
        <v xml:space="preserve">    5: Crops</v>
      </c>
    </row>
    <row r="157" spans="1:1" x14ac:dyDescent="0.3">
      <c r="A157" s="641" t="str">
        <f ca="1"/>
        <v xml:space="preserve">    7: BuiltArea</v>
      </c>
    </row>
    <row r="158" spans="1:1" x14ac:dyDescent="0.3">
      <c r="A158" s="641" t="str">
        <f ca="1"/>
        <v xml:space="preserve">    8: BareGround</v>
      </c>
    </row>
    <row r="159" spans="1:1" x14ac:dyDescent="0.3">
      <c r="A159" s="641" t="str">
        <f ca="1"/>
        <v xml:space="preserve">    9: Snow/Ice</v>
      </c>
    </row>
    <row r="160" spans="1:1" x14ac:dyDescent="0.3">
      <c r="A160" s="641" t="str">
        <f ca="1"/>
        <v xml:space="preserve">    10: Clouds</v>
      </c>
    </row>
    <row r="161" spans="1:1" x14ac:dyDescent="0.3">
      <c r="A161" s="641" t="str">
        <f ca="1"/>
        <v xml:space="preserve">    11: Rangeland</v>
      </c>
    </row>
    <row r="162" spans="1:1" x14ac:dyDescent="0.3">
      <c r="A162" s="641" t="str">
        <f ca="1"/>
        <v xml:space="preserve">  radius: 200</v>
      </c>
    </row>
    <row r="163" spans="1:1" x14ac:dyDescent="0.3">
      <c r="A163" s="641" t="str">
        <f ca="1"/>
        <v xml:space="preserve">  main_classes:</v>
      </c>
    </row>
    <row r="164" spans="1:1" x14ac:dyDescent="0.3">
      <c r="A164" s="641" t="str">
        <f ca="1"/>
        <v xml:space="preserve">    2: Trees</v>
      </c>
    </row>
    <row r="165" spans="1:1" x14ac:dyDescent="0.3">
      <c r="A165" s="641" t="str">
        <f ca="1"/>
        <v xml:space="preserve">    5: Crops</v>
      </c>
    </row>
    <row r="166" spans="1:1" x14ac:dyDescent="0.3">
      <c r="A166" s="641" t="str">
        <f ca="1"/>
        <v xml:space="preserve">    7: BuiltArea</v>
      </c>
    </row>
    <row r="167" spans="1:1" x14ac:dyDescent="0.3">
      <c r="A167" s="641" t="str">
        <f ca="1"/>
        <v xml:space="preserve">    11: Rangeland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AC4BF-7D10-4F09-B30B-EE0DC7662D67}">
  <sheetPr codeName="Sheet20">
    <tabColor rgb="FFFFC000"/>
  </sheetPr>
  <dimension ref="A1:L42"/>
  <sheetViews>
    <sheetView showGridLines="0" showRowColHeaders="0" workbookViewId="0">
      <pane ySplit="12" topLeftCell="A13" activePane="bottomLeft" state="frozen"/>
      <selection activeCell="H42" sqref="H42"/>
      <selection pane="bottomLeft" activeCell="B13" sqref="B13"/>
    </sheetView>
  </sheetViews>
  <sheetFormatPr defaultColWidth="8.88671875" defaultRowHeight="14.4" x14ac:dyDescent="0.3"/>
  <cols>
    <col min="1" max="1" width="6.77734375" style="210" customWidth="1"/>
    <col min="2" max="2" width="19.77734375" style="676" customWidth="1"/>
    <col min="3" max="3" width="8.77734375" style="688" customWidth="1"/>
    <col min="4" max="4" width="16.88671875" style="689" customWidth="1"/>
    <col min="5" max="5" width="8.77734375" style="684" customWidth="1"/>
    <col min="6" max="6" width="8.77734375" style="688" customWidth="1"/>
    <col min="7" max="7" width="16.77734375" style="690" customWidth="1"/>
    <col min="8" max="8" width="8.77734375" style="691" customWidth="1"/>
    <col min="9" max="9" width="10.77734375" style="686" customWidth="1"/>
    <col min="10" max="10" width="22.77734375" style="499" customWidth="1"/>
    <col min="11" max="11" width="8.88671875" style="661"/>
    <col min="12" max="16384" width="8.88671875" style="210"/>
  </cols>
  <sheetData>
    <row r="1" spans="1:12" s="3" customFormat="1" ht="70.2" customHeight="1" thickBot="1" x14ac:dyDescent="0.35">
      <c r="A1" s="3" t="s">
        <v>2119</v>
      </c>
    </row>
    <row r="2" spans="1:12" ht="15.6" thickTop="1" thickBot="1" x14ac:dyDescent="0.35">
      <c r="B2" s="210"/>
      <c r="C2" s="210"/>
      <c r="D2" s="210"/>
      <c r="E2" s="210"/>
      <c r="F2" s="210"/>
      <c r="G2" s="210"/>
      <c r="H2" s="210"/>
      <c r="I2" s="210"/>
      <c r="J2" s="210"/>
      <c r="K2" s="351"/>
      <c r="L2" s="351"/>
    </row>
    <row r="3" spans="1:12" ht="15.6" thickTop="1" thickBot="1" x14ac:dyDescent="0.35">
      <c r="B3" s="662" t="s">
        <v>2138</v>
      </c>
      <c r="C3" s="888" t="s">
        <v>2140</v>
      </c>
      <c r="D3" s="889"/>
      <c r="E3" s="889"/>
      <c r="F3" s="889"/>
      <c r="G3" s="889"/>
      <c r="H3" s="889"/>
      <c r="I3" s="890"/>
      <c r="J3" s="351"/>
      <c r="K3" s="351"/>
      <c r="L3" s="351"/>
    </row>
    <row r="4" spans="1:12" ht="15.6" thickTop="1" thickBot="1" x14ac:dyDescent="0.35">
      <c r="B4" s="663" t="s">
        <v>2139</v>
      </c>
      <c r="C4" s="692">
        <v>32735</v>
      </c>
      <c r="D4" s="717"/>
      <c r="E4" s="718"/>
      <c r="F4" s="718"/>
      <c r="G4" s="718"/>
      <c r="H4" s="718"/>
      <c r="I4" s="718"/>
      <c r="J4" s="351"/>
      <c r="K4" s="351"/>
      <c r="L4" s="351"/>
    </row>
    <row r="5" spans="1:12" ht="15.6" thickTop="1" thickBot="1" x14ac:dyDescent="0.35">
      <c r="B5" s="210"/>
      <c r="C5" s="210"/>
      <c r="D5" s="210"/>
      <c r="E5" s="210"/>
      <c r="F5" s="210"/>
      <c r="G5" s="210"/>
      <c r="H5" s="210"/>
      <c r="I5" s="210"/>
      <c r="J5" s="210"/>
      <c r="K5" s="210"/>
      <c r="L5" s="351"/>
    </row>
    <row r="6" spans="1:12" ht="15.6" thickTop="1" thickBot="1" x14ac:dyDescent="0.35">
      <c r="B6" s="662" t="s">
        <v>2120</v>
      </c>
      <c r="C6" s="353" t="s">
        <v>2126</v>
      </c>
      <c r="D6" s="658" t="s">
        <v>2127</v>
      </c>
      <c r="E6" s="210"/>
      <c r="F6" s="352" t="s">
        <v>2141</v>
      </c>
      <c r="G6" s="669"/>
      <c r="H6" s="698">
        <v>21</v>
      </c>
      <c r="I6" s="351"/>
      <c r="J6" s="351"/>
      <c r="K6" s="351"/>
      <c r="L6" s="351"/>
    </row>
    <row r="7" spans="1:12" ht="15.6" thickTop="1" thickBot="1" x14ac:dyDescent="0.35">
      <c r="B7" s="664" t="s">
        <v>2136</v>
      </c>
      <c r="C7" s="693" t="s">
        <v>2128</v>
      </c>
      <c r="D7" s="694" t="s">
        <v>2131</v>
      </c>
      <c r="E7" s="210"/>
      <c r="F7" s="670" t="s">
        <v>2142</v>
      </c>
      <c r="G7" s="671"/>
      <c r="H7" s="699">
        <v>3</v>
      </c>
      <c r="I7" s="716"/>
      <c r="J7" s="351"/>
      <c r="K7" s="351"/>
      <c r="L7" s="351"/>
    </row>
    <row r="8" spans="1:12" ht="15" thickTop="1" x14ac:dyDescent="0.3">
      <c r="B8" s="665" t="s">
        <v>2134</v>
      </c>
      <c r="C8" s="695" t="s">
        <v>2129</v>
      </c>
      <c r="D8" s="696" t="s">
        <v>2132</v>
      </c>
      <c r="E8" s="210"/>
      <c r="F8" s="670" t="s">
        <v>2144</v>
      </c>
      <c r="G8" s="671"/>
      <c r="H8" s="891" t="s">
        <v>2145</v>
      </c>
      <c r="I8" s="892"/>
      <c r="J8" s="700" t="s">
        <v>2146</v>
      </c>
      <c r="K8" s="351"/>
      <c r="L8" s="351"/>
    </row>
    <row r="9" spans="1:12" ht="15" thickBot="1" x14ac:dyDescent="0.35">
      <c r="B9" s="666" t="s">
        <v>2135</v>
      </c>
      <c r="C9" s="697" t="s">
        <v>2130</v>
      </c>
      <c r="D9" s="692" t="s">
        <v>2133</v>
      </c>
      <c r="E9" s="210"/>
      <c r="F9" s="672" t="s">
        <v>2147</v>
      </c>
      <c r="G9" s="673"/>
      <c r="H9" s="893" t="s">
        <v>2143</v>
      </c>
      <c r="I9" s="894"/>
      <c r="J9" s="700" t="s">
        <v>2148</v>
      </c>
      <c r="K9" s="351"/>
      <c r="L9" s="351"/>
    </row>
    <row r="10" spans="1:12" ht="15.6" thickTop="1" thickBot="1" x14ac:dyDescent="0.35">
      <c r="B10" s="210"/>
      <c r="C10" s="687"/>
      <c r="D10" s="687"/>
      <c r="E10" s="210"/>
      <c r="F10" s="687"/>
      <c r="G10" s="2"/>
      <c r="H10" s="687"/>
      <c r="I10" s="126"/>
      <c r="J10" s="126"/>
      <c r="K10" s="351"/>
      <c r="L10" s="351"/>
    </row>
    <row r="11" spans="1:12" ht="15.6" thickTop="1" thickBot="1" x14ac:dyDescent="0.35">
      <c r="B11" s="210"/>
      <c r="C11" s="656" t="s">
        <v>1108</v>
      </c>
      <c r="D11" s="353"/>
      <c r="E11" s="658"/>
      <c r="F11" s="656" t="s">
        <v>168</v>
      </c>
      <c r="G11" s="659"/>
      <c r="H11" s="659"/>
      <c r="I11" s="658"/>
      <c r="J11" s="685">
        <v>20</v>
      </c>
      <c r="K11" s="667" t="s">
        <v>2137</v>
      </c>
    </row>
    <row r="12" spans="1:12" ht="15" thickTop="1" x14ac:dyDescent="0.3">
      <c r="B12" s="674" t="s">
        <v>2120</v>
      </c>
      <c r="C12" s="358" t="s">
        <v>324</v>
      </c>
      <c r="D12" s="364" t="s">
        <v>155</v>
      </c>
      <c r="E12" s="657" t="s">
        <v>2121</v>
      </c>
      <c r="F12" s="361" t="s">
        <v>324</v>
      </c>
      <c r="G12" s="660" t="s">
        <v>155</v>
      </c>
      <c r="H12" s="360" t="s">
        <v>2122</v>
      </c>
      <c r="I12" s="657" t="s">
        <v>2123</v>
      </c>
      <c r="J12" s="668" t="s">
        <v>2124</v>
      </c>
    </row>
    <row r="13" spans="1:12" x14ac:dyDescent="0.3">
      <c r="B13" s="676" t="s">
        <v>229</v>
      </c>
      <c r="C13" s="688" cm="1">
        <f t="array" aca="1" ref="C13:C32" ca="1">OFFSET(Internal!$F$1,1,0,Internal!$B$3)</f>
        <v>1</v>
      </c>
      <c r="D13" s="689" t="str" cm="1">
        <f t="array" aca="1" ref="D13:D32" ca="1">OFFSET(Internal!$F$1,1,1,Internal!$B$3)</f>
        <v>residential_S</v>
      </c>
      <c r="E13" s="684">
        <v>3</v>
      </c>
      <c r="F13" s="688" cm="1">
        <f t="array" aca="1" ref="F13:F21" ca="1">OFFSET(Internal!X1,1,0,Internal!$B$11)</f>
        <v>1</v>
      </c>
      <c r="G13" s="690" t="str" cm="1">
        <f t="array" aca="1" ref="G13:G21" ca="1">OFFSET(Internal!X1,1,1,Internal!$B$11)</f>
        <v>Water</v>
      </c>
      <c r="H13" s="691" t="b" cm="1">
        <f t="array" aca="1" ref="H13:H21" ca="1">OFFSET(Internal!X1,1,2,Internal!$B$11)</f>
        <v>0</v>
      </c>
      <c r="I13" s="686" t="s">
        <v>2181</v>
      </c>
      <c r="J13" s="499" t="s">
        <v>2125</v>
      </c>
    </row>
    <row r="14" spans="1:12" x14ac:dyDescent="0.3">
      <c r="B14" s="676" t="s">
        <v>230</v>
      </c>
      <c r="C14" s="688">
        <f ca="1"/>
        <v>2</v>
      </c>
      <c r="D14" s="689" t="str">
        <f ca="1"/>
        <v>residential_M</v>
      </c>
      <c r="E14" s="684">
        <v>4</v>
      </c>
      <c r="F14" s="688">
        <f ca="1"/>
        <v>2</v>
      </c>
      <c r="G14" s="690" t="str">
        <f ca="1"/>
        <v>Trees</v>
      </c>
      <c r="H14" s="691" t="b">
        <f ca="1"/>
        <v>1</v>
      </c>
      <c r="I14" s="686" t="s">
        <v>2182</v>
      </c>
    </row>
    <row r="15" spans="1:12" x14ac:dyDescent="0.3">
      <c r="B15" s="676" t="s">
        <v>231</v>
      </c>
      <c r="C15" s="688">
        <f ca="1"/>
        <v>3</v>
      </c>
      <c r="D15" s="689" t="str">
        <f ca="1"/>
        <v>residential_L</v>
      </c>
      <c r="E15" s="684">
        <v>5</v>
      </c>
      <c r="F15" s="688">
        <f ca="1"/>
        <v>4</v>
      </c>
      <c r="G15" s="690" t="str">
        <f ca="1"/>
        <v>FloodedVeg</v>
      </c>
      <c r="H15" s="691" t="b">
        <f ca="1"/>
        <v>0</v>
      </c>
    </row>
    <row r="16" spans="1:12" x14ac:dyDescent="0.3">
      <c r="B16" s="676" t="s">
        <v>232</v>
      </c>
      <c r="C16" s="688">
        <f ca="1"/>
        <v>4</v>
      </c>
      <c r="D16" s="689" t="str">
        <f ca="1"/>
        <v>residential_XL</v>
      </c>
      <c r="E16" s="684">
        <v>5</v>
      </c>
      <c r="F16" s="688">
        <f ca="1"/>
        <v>5</v>
      </c>
      <c r="G16" s="690" t="str">
        <f ca="1"/>
        <v>Crops</v>
      </c>
      <c r="H16" s="691" t="b">
        <f ca="1"/>
        <v>1</v>
      </c>
    </row>
    <row r="17" spans="2:8" x14ac:dyDescent="0.3">
      <c r="B17" s="676" t="s">
        <v>233</v>
      </c>
      <c r="C17" s="688">
        <f ca="1"/>
        <v>5</v>
      </c>
      <c r="D17" s="689" t="str">
        <f ca="1"/>
        <v>commercial_S</v>
      </c>
      <c r="E17" s="684">
        <v>2</v>
      </c>
      <c r="F17" s="688">
        <f ca="1"/>
        <v>7</v>
      </c>
      <c r="G17" s="690" t="str">
        <f ca="1"/>
        <v>BuiltArea</v>
      </c>
      <c r="H17" s="691" t="b">
        <f ca="1"/>
        <v>1</v>
      </c>
    </row>
    <row r="18" spans="2:8" x14ac:dyDescent="0.3">
      <c r="B18" s="676" t="s">
        <v>234</v>
      </c>
      <c r="C18" s="688">
        <f ca="1"/>
        <v>6</v>
      </c>
      <c r="D18" s="689" t="str">
        <f ca="1"/>
        <v>commercial_L</v>
      </c>
      <c r="E18" s="684">
        <v>2</v>
      </c>
      <c r="F18" s="688">
        <f ca="1"/>
        <v>8</v>
      </c>
      <c r="G18" s="690" t="str">
        <f ca="1"/>
        <v>BareGround</v>
      </c>
      <c r="H18" s="691" t="b">
        <f ca="1"/>
        <v>0</v>
      </c>
    </row>
    <row r="19" spans="2:8" x14ac:dyDescent="0.3">
      <c r="B19" s="676" t="s">
        <v>235</v>
      </c>
      <c r="C19" s="688">
        <f ca="1"/>
        <v>7</v>
      </c>
      <c r="D19" s="689" t="str">
        <f ca="1"/>
        <v>hotel</v>
      </c>
      <c r="E19" s="684">
        <v>2</v>
      </c>
      <c r="F19" s="688">
        <f ca="1"/>
        <v>9</v>
      </c>
      <c r="G19" s="690" t="str">
        <f ca="1"/>
        <v>Snow/Ice</v>
      </c>
      <c r="H19" s="691" t="b">
        <f ca="1"/>
        <v>0</v>
      </c>
    </row>
    <row r="20" spans="2:8" x14ac:dyDescent="0.3">
      <c r="B20" s="676" t="s">
        <v>236</v>
      </c>
      <c r="C20" s="688">
        <f ca="1"/>
        <v>8</v>
      </c>
      <c r="D20" s="689" t="str">
        <f ca="1"/>
        <v>commercial-CC</v>
      </c>
      <c r="E20" s="684">
        <v>2</v>
      </c>
      <c r="F20" s="688">
        <f ca="1"/>
        <v>10</v>
      </c>
      <c r="G20" s="690" t="str">
        <f ca="1"/>
        <v>Clouds</v>
      </c>
      <c r="H20" s="691" t="b">
        <f ca="1"/>
        <v>0</v>
      </c>
    </row>
    <row r="21" spans="2:8" x14ac:dyDescent="0.3">
      <c r="B21" s="676" t="s">
        <v>237</v>
      </c>
      <c r="C21" s="688">
        <f ca="1"/>
        <v>9</v>
      </c>
      <c r="D21" s="689" t="str">
        <f ca="1"/>
        <v>industry_S-CC</v>
      </c>
      <c r="E21" s="684">
        <v>2</v>
      </c>
      <c r="F21" s="688">
        <f ca="1"/>
        <v>11</v>
      </c>
      <c r="G21" s="690" t="str">
        <f ca="1"/>
        <v>Rangeland</v>
      </c>
      <c r="H21" s="691" t="b">
        <f ca="1"/>
        <v>1</v>
      </c>
    </row>
    <row r="22" spans="2:8" x14ac:dyDescent="0.3">
      <c r="B22" s="676" t="s">
        <v>238</v>
      </c>
      <c r="C22" s="688">
        <f ca="1"/>
        <v>10</v>
      </c>
      <c r="D22" s="689" t="str">
        <f ca="1"/>
        <v>industry_L-CC</v>
      </c>
      <c r="E22" s="684">
        <v>2</v>
      </c>
    </row>
    <row r="23" spans="2:8" x14ac:dyDescent="0.3">
      <c r="B23" s="676" t="s">
        <v>239</v>
      </c>
      <c r="C23" s="688">
        <f ca="1"/>
        <v>11</v>
      </c>
      <c r="D23" s="689" t="str">
        <f ca="1"/>
        <v>industry</v>
      </c>
      <c r="E23" s="684">
        <v>2</v>
      </c>
    </row>
    <row r="24" spans="2:8" x14ac:dyDescent="0.3">
      <c r="B24" s="676" t="s">
        <v>240</v>
      </c>
      <c r="C24" s="688">
        <f ca="1"/>
        <v>12</v>
      </c>
      <c r="D24" s="689" t="str">
        <f ca="1"/>
        <v>education_S</v>
      </c>
      <c r="E24" s="684">
        <v>1</v>
      </c>
    </row>
    <row r="25" spans="2:8" x14ac:dyDescent="0.3">
      <c r="B25" s="676" t="s">
        <v>241</v>
      </c>
      <c r="C25" s="688">
        <f ca="1"/>
        <v>13</v>
      </c>
      <c r="D25" s="689" t="str">
        <f ca="1"/>
        <v>education_L</v>
      </c>
      <c r="E25" s="684">
        <v>1</v>
      </c>
    </row>
    <row r="26" spans="2:8" x14ac:dyDescent="0.3">
      <c r="B26" s="676" t="s">
        <v>242</v>
      </c>
      <c r="C26" s="688">
        <f ca="1"/>
        <v>14</v>
      </c>
      <c r="D26" s="689" t="str">
        <f ca="1"/>
        <v>restaurant_S</v>
      </c>
      <c r="E26" s="684">
        <v>2</v>
      </c>
    </row>
    <row r="27" spans="2:8" x14ac:dyDescent="0.3">
      <c r="B27" s="676" t="s">
        <v>243</v>
      </c>
      <c r="C27" s="688">
        <f ca="1"/>
        <v>15</v>
      </c>
      <c r="D27" s="689" t="str">
        <f ca="1"/>
        <v>restaurant_M</v>
      </c>
      <c r="E27" s="684">
        <v>2</v>
      </c>
    </row>
    <row r="28" spans="2:8" x14ac:dyDescent="0.3">
      <c r="B28" s="676" t="s">
        <v>244</v>
      </c>
      <c r="C28" s="688">
        <f ca="1"/>
        <v>16</v>
      </c>
      <c r="D28" s="689" t="str">
        <f ca="1"/>
        <v>restaurant_L</v>
      </c>
      <c r="E28" s="684">
        <v>2</v>
      </c>
    </row>
    <row r="29" spans="2:8" x14ac:dyDescent="0.3">
      <c r="B29" s="676" t="s">
        <v>245</v>
      </c>
      <c r="C29" s="688">
        <f ca="1"/>
        <v>17</v>
      </c>
      <c r="D29" s="689" t="str">
        <f ca="1"/>
        <v>hospital</v>
      </c>
      <c r="E29" s="684">
        <v>1</v>
      </c>
    </row>
    <row r="30" spans="2:8" x14ac:dyDescent="0.3">
      <c r="B30" s="676" t="s">
        <v>246</v>
      </c>
      <c r="C30" s="688">
        <f ca="1"/>
        <v>18</v>
      </c>
      <c r="D30" s="689" t="str">
        <f ca="1"/>
        <v>office</v>
      </c>
      <c r="E30" s="684">
        <v>1</v>
      </c>
    </row>
    <row r="31" spans="2:8" x14ac:dyDescent="0.3">
      <c r="B31" s="676" t="s">
        <v>247</v>
      </c>
      <c r="C31" s="688">
        <f ca="1"/>
        <v>19</v>
      </c>
      <c r="D31" s="689" t="str">
        <f ca="1"/>
        <v>airport</v>
      </c>
      <c r="E31" s="684">
        <v>1</v>
      </c>
    </row>
    <row r="32" spans="2:8" x14ac:dyDescent="0.3">
      <c r="B32" s="676" t="s">
        <v>248</v>
      </c>
      <c r="C32" s="688">
        <f ca="1"/>
        <v>20</v>
      </c>
      <c r="D32" s="689" t="str">
        <f ca="1"/>
        <v>residential_GR</v>
      </c>
      <c r="E32" s="684">
        <v>1</v>
      </c>
    </row>
    <row r="33" spans="2:2" x14ac:dyDescent="0.3">
      <c r="B33" s="676" t="s">
        <v>249</v>
      </c>
    </row>
    <row r="34" spans="2:2" x14ac:dyDescent="0.3">
      <c r="B34" s="676" t="s">
        <v>250</v>
      </c>
    </row>
    <row r="35" spans="2:2" x14ac:dyDescent="0.3">
      <c r="B35" s="676" t="s">
        <v>251</v>
      </c>
    </row>
    <row r="36" spans="2:2" x14ac:dyDescent="0.3">
      <c r="B36" s="676" t="s">
        <v>252</v>
      </c>
    </row>
    <row r="37" spans="2:2" x14ac:dyDescent="0.3">
      <c r="B37" s="676" t="s">
        <v>253</v>
      </c>
    </row>
    <row r="38" spans="2:2" x14ac:dyDescent="0.3">
      <c r="B38" s="676" t="s">
        <v>254</v>
      </c>
    </row>
    <row r="39" spans="2:2" x14ac:dyDescent="0.3">
      <c r="B39" s="676" t="s">
        <v>255</v>
      </c>
    </row>
    <row r="40" spans="2:2" x14ac:dyDescent="0.3">
      <c r="B40" s="676" t="s">
        <v>256</v>
      </c>
    </row>
    <row r="41" spans="2:2" x14ac:dyDescent="0.3">
      <c r="B41" s="676" t="s">
        <v>257</v>
      </c>
    </row>
    <row r="42" spans="2:2" x14ac:dyDescent="0.3">
      <c r="B42" s="676" t="s">
        <v>258</v>
      </c>
    </row>
  </sheetData>
  <sheetProtection algorithmName="SHA-512" hashValue="5WSEPlVfKGsvsXSqT/LT6UM+1up/hNyyLnumcwgM7Vyk9qRTQLdCGrdySvEGmkyq8Wj+3ks7xGIZ/932NeaTCg==" saltValue="WN71S41ylSBtXAQK/q6INA==" spinCount="100000" sheet="1" objects="1" scenarios="1" selectLockedCells="1"/>
  <mergeCells count="3">
    <mergeCell ref="C3:I3"/>
    <mergeCell ref="H8:I8"/>
    <mergeCell ref="H9:I9"/>
  </mergeCells>
  <conditionalFormatting sqref="C3:I3">
    <cfRule type="containsBlanks" dxfId="80" priority="2">
      <formula>LEN(TRIM(C3))=0</formula>
    </cfRule>
  </conditionalFormatting>
  <conditionalFormatting sqref="C3:I3 C4 C7:D9 H6:H9">
    <cfRule type="containsBlanks" dxfId="79" priority="1">
      <formula>LEN(TRIM(C3))=0</formula>
    </cfRule>
  </conditionalFormatting>
  <dataValidations count="4">
    <dataValidation type="decimal" allowBlank="1" showInputMessage="1" showErrorMessage="1" sqref="C13:C1048576" xr:uid="{9D7D707C-7713-40E5-9E6E-87F14CF90E44}">
      <formula1>-90</formula1>
      <formula2>90</formula2>
    </dataValidation>
    <dataValidation type="whole" operator="greaterThan" allowBlank="1" showInputMessage="1" showErrorMessage="1" errorTitle="CleanCooking-inputs" error="Values of social clusters are whole numbers from 1 to the total number of social clusters." prompt="Each social cluster is defines by a number, like:_x000a_- 1: administrative_x000a_- 2: commercial_x000a_- 3: residential low-income_x000a_- 4: residential low-income_x000a_- 5: residential low-income" sqref="E14:E1048576" xr:uid="{2D69C9AB-6019-4511-A35E-FD3B55382DEC}">
      <formula1>0</formula1>
    </dataValidation>
    <dataValidation type="whole" operator="greaterThan" allowBlank="1" showInputMessage="1" showErrorMessage="1" errorTitle="CleanCooking-inputs" error="Values of social clusters are whole numbers from 1 to the total number of social clusters." prompt="Each social cluster is defined by a number, like:_x000a_- 1: administrative_x000a_- 2: commercial_x000a_- 3: residential low-income_x000a_- 4: residential low-income_x000a_- 5: residential low-income" sqref="E13" xr:uid="{94BE7630-31FB-4698-9B8E-F43D2240987C}">
      <formula1>0</formula1>
    </dataValidation>
    <dataValidation type="whole" operator="greaterThanOrEqual" allowBlank="1" showInputMessage="1" showErrorMessage="1" errorTitle="CleanCooking-inputs" error="Value must be integer and greater of equal than 1." sqref="H6:H7" xr:uid="{9ADF4E19-3176-45A3-9355-9BCD1720D3EC}">
      <formula1>1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5E1817-B521-4FDE-B291-4255F9D95C6D}">
          <x14:formula1>
            <xm:f>OFFSET(Internal!$F$1,1,0,Internal!$B$3)</xm:f>
          </x14:formula1>
          <xm:sqref>J11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9AA14-1EBD-4774-885C-4C033FB051F2}">
  <sheetPr codeName="Sheet21">
    <tabColor theme="8" tint="0.59999389629810485"/>
  </sheetPr>
  <dimension ref="A1:N67"/>
  <sheetViews>
    <sheetView showRowColHeaders="0" zoomScaleNormal="160" workbookViewId="0">
      <selection activeCell="C11" sqref="C11"/>
    </sheetView>
  </sheetViews>
  <sheetFormatPr defaultColWidth="8.88671875" defaultRowHeight="14.4" x14ac:dyDescent="0.3"/>
  <cols>
    <col min="1" max="1" width="6.77734375" style="210" customWidth="1"/>
    <col min="2" max="2" width="22.77734375" style="210" customWidth="1"/>
    <col min="3" max="4" width="13.77734375" style="210" customWidth="1"/>
    <col min="5" max="16384" width="8.88671875" style="210"/>
  </cols>
  <sheetData>
    <row r="1" spans="1:7" s="4" customFormat="1" ht="70.2" customHeight="1" thickBot="1" x14ac:dyDescent="0.35">
      <c r="A1" s="3" t="s">
        <v>318</v>
      </c>
      <c r="B1" s="10"/>
    </row>
    <row r="2" spans="1:7" ht="15.6" thickTop="1" thickBot="1" x14ac:dyDescent="0.35"/>
    <row r="3" spans="1:7" ht="15.6" thickTop="1" thickBot="1" x14ac:dyDescent="0.35">
      <c r="B3" s="217" t="s">
        <v>289</v>
      </c>
      <c r="C3" s="218" t="s">
        <v>290</v>
      </c>
      <c r="D3" s="565"/>
      <c r="E3" s="566"/>
      <c r="F3" s="566"/>
      <c r="G3" s="571" t="s">
        <v>1300</v>
      </c>
    </row>
    <row r="4" spans="1:7" ht="15.6" thickTop="1" thickBot="1" x14ac:dyDescent="0.35">
      <c r="D4" s="567"/>
      <c r="E4" s="568"/>
      <c r="F4" s="568"/>
      <c r="G4" s="569"/>
    </row>
    <row r="5" spans="1:7" ht="15" thickTop="1" x14ac:dyDescent="0.3">
      <c r="B5" s="213" t="s">
        <v>291</v>
      </c>
      <c r="C5" s="214" t="s">
        <v>293</v>
      </c>
      <c r="D5" s="568"/>
      <c r="E5" s="568"/>
      <c r="F5" s="568"/>
      <c r="G5" s="569"/>
    </row>
    <row r="6" spans="1:7" x14ac:dyDescent="0.3">
      <c r="B6" s="211" t="s">
        <v>292</v>
      </c>
      <c r="C6" s="215">
        <v>1341</v>
      </c>
      <c r="D6" s="210" t="str">
        <f>_xlfn.CONCAT("USD/",$C$5)</f>
        <v>USD/RWF</v>
      </c>
      <c r="E6" s="568"/>
      <c r="F6" s="568"/>
      <c r="G6" s="569"/>
    </row>
    <row r="7" spans="1:7" x14ac:dyDescent="0.3">
      <c r="B7" s="211" t="s">
        <v>294</v>
      </c>
      <c r="C7" s="215">
        <v>1.56</v>
      </c>
      <c r="D7" s="210" t="s">
        <v>297</v>
      </c>
      <c r="E7" s="568"/>
      <c r="F7" s="568"/>
      <c r="G7" s="569"/>
    </row>
    <row r="8" spans="1:7" ht="15" thickBot="1" x14ac:dyDescent="0.35">
      <c r="B8" s="212" t="s">
        <v>295</v>
      </c>
      <c r="C8" s="216">
        <v>1.1499999999999999</v>
      </c>
      <c r="D8" s="210" t="s">
        <v>296</v>
      </c>
      <c r="E8" s="568"/>
      <c r="F8" s="568"/>
      <c r="G8" s="569"/>
    </row>
    <row r="9" spans="1:7" ht="15.6" thickTop="1" thickBot="1" x14ac:dyDescent="0.35">
      <c r="E9" s="568"/>
      <c r="F9" s="568"/>
      <c r="G9" s="569"/>
    </row>
    <row r="10" spans="1:7" ht="15" thickTop="1" x14ac:dyDescent="0.3">
      <c r="B10" s="213" t="s">
        <v>298</v>
      </c>
      <c r="C10" s="214">
        <v>220</v>
      </c>
      <c r="D10" s="210" t="s">
        <v>302</v>
      </c>
      <c r="E10" s="568"/>
      <c r="F10" s="568"/>
      <c r="G10" s="570" t="s">
        <v>1301</v>
      </c>
    </row>
    <row r="11" spans="1:7" x14ac:dyDescent="0.3">
      <c r="B11" s="211" t="s">
        <v>299</v>
      </c>
      <c r="C11" s="215">
        <v>110</v>
      </c>
      <c r="D11" s="210" t="s">
        <v>302</v>
      </c>
      <c r="E11" s="568"/>
      <c r="F11" s="568"/>
      <c r="G11" s="569"/>
    </row>
    <row r="12" spans="1:7" x14ac:dyDescent="0.3">
      <c r="B12" s="211" t="s">
        <v>300</v>
      </c>
      <c r="C12" s="215">
        <v>33</v>
      </c>
      <c r="D12" s="210" t="s">
        <v>302</v>
      </c>
      <c r="E12" s="568"/>
      <c r="F12" s="568"/>
      <c r="G12" s="569"/>
    </row>
    <row r="13" spans="1:7" x14ac:dyDescent="0.3">
      <c r="B13" s="211" t="s">
        <v>301</v>
      </c>
      <c r="C13" s="215">
        <v>0.4</v>
      </c>
      <c r="D13" s="210" t="s">
        <v>302</v>
      </c>
      <c r="E13" s="568"/>
      <c r="F13" s="568"/>
      <c r="G13" s="569"/>
    </row>
    <row r="14" spans="1:7" ht="15" thickBot="1" x14ac:dyDescent="0.35">
      <c r="B14" s="212" t="s">
        <v>303</v>
      </c>
      <c r="C14" s="216">
        <v>50</v>
      </c>
      <c r="D14" s="210" t="s">
        <v>304</v>
      </c>
      <c r="E14" s="568"/>
      <c r="F14" s="568"/>
      <c r="G14" s="569"/>
    </row>
    <row r="15" spans="1:7" ht="15" thickTop="1" x14ac:dyDescent="0.3">
      <c r="B15" s="213" t="s">
        <v>305</v>
      </c>
      <c r="C15" s="214">
        <v>320</v>
      </c>
      <c r="D15" s="210" t="s">
        <v>306</v>
      </c>
      <c r="E15" s="568"/>
      <c r="F15" s="568"/>
      <c r="G15" s="570" t="s">
        <v>2191</v>
      </c>
    </row>
    <row r="16" spans="1:7" x14ac:dyDescent="0.3">
      <c r="B16" s="211" t="s">
        <v>307</v>
      </c>
      <c r="C16" s="215">
        <v>650</v>
      </c>
      <c r="D16" s="210" t="s">
        <v>308</v>
      </c>
      <c r="E16" s="568"/>
      <c r="F16" s="568"/>
      <c r="G16" s="569"/>
    </row>
    <row r="17" spans="2:14" x14ac:dyDescent="0.3">
      <c r="B17" s="211" t="s">
        <v>309</v>
      </c>
      <c r="C17" s="311">
        <v>0.05</v>
      </c>
      <c r="E17" s="568"/>
      <c r="F17" s="568"/>
      <c r="G17" s="570" t="s">
        <v>379</v>
      </c>
    </row>
    <row r="18" spans="2:14" x14ac:dyDescent="0.3">
      <c r="B18" s="211" t="s">
        <v>310</v>
      </c>
      <c r="C18" s="215">
        <v>0.2</v>
      </c>
      <c r="D18" s="210" t="s">
        <v>218</v>
      </c>
      <c r="E18" s="568"/>
      <c r="F18" s="568"/>
      <c r="G18" s="569"/>
    </row>
    <row r="19" spans="2:14" x14ac:dyDescent="0.3">
      <c r="B19" s="211" t="s">
        <v>370</v>
      </c>
      <c r="C19" s="311">
        <v>0.95</v>
      </c>
      <c r="E19" s="568"/>
      <c r="F19" s="568"/>
      <c r="G19" s="569"/>
    </row>
    <row r="20" spans="2:14" ht="15" thickBot="1" x14ac:dyDescent="0.35">
      <c r="B20" s="212" t="s">
        <v>369</v>
      </c>
      <c r="C20" s="310">
        <v>0.1</v>
      </c>
      <c r="D20" s="210" t="s">
        <v>378</v>
      </c>
      <c r="E20" s="568"/>
      <c r="F20" s="568"/>
      <c r="G20" s="569"/>
    </row>
    <row r="21" spans="2:14" ht="15" thickTop="1" x14ac:dyDescent="0.3">
      <c r="B21" s="213" t="s">
        <v>312</v>
      </c>
      <c r="C21" s="214">
        <v>35</v>
      </c>
      <c r="D21" s="210" t="s">
        <v>311</v>
      </c>
      <c r="E21" s="568"/>
      <c r="F21" s="568"/>
      <c r="G21" s="570" t="s">
        <v>371</v>
      </c>
    </row>
    <row r="22" spans="2:14" x14ac:dyDescent="0.3">
      <c r="B22" s="211" t="s">
        <v>373</v>
      </c>
      <c r="C22" s="215">
        <v>0.11</v>
      </c>
      <c r="D22" s="210" t="s">
        <v>2155</v>
      </c>
      <c r="E22" s="568"/>
      <c r="F22" s="568"/>
      <c r="G22" s="570" t="s">
        <v>377</v>
      </c>
    </row>
    <row r="23" spans="2:14" x14ac:dyDescent="0.3">
      <c r="B23" s="211" t="s">
        <v>374</v>
      </c>
      <c r="C23" s="215">
        <v>0.03</v>
      </c>
      <c r="D23" s="210" t="s">
        <v>2155</v>
      </c>
      <c r="E23" s="568"/>
      <c r="F23" s="568"/>
      <c r="G23" s="569"/>
    </row>
    <row r="24" spans="2:14" x14ac:dyDescent="0.3">
      <c r="B24" s="211" t="s">
        <v>375</v>
      </c>
      <c r="C24" s="215">
        <v>0.08</v>
      </c>
      <c r="D24" s="210" t="s">
        <v>2155</v>
      </c>
      <c r="E24" s="568"/>
      <c r="F24" s="568"/>
      <c r="G24" s="569"/>
    </row>
    <row r="25" spans="2:14" ht="15" thickBot="1" x14ac:dyDescent="0.35">
      <c r="B25" s="212" t="s">
        <v>376</v>
      </c>
      <c r="C25" s="216">
        <v>0.25</v>
      </c>
      <c r="D25" s="210" t="s">
        <v>2155</v>
      </c>
      <c r="E25" s="568"/>
      <c r="F25" s="568"/>
      <c r="G25" s="569"/>
    </row>
    <row r="26" spans="2:14" ht="15.6" thickTop="1" thickBot="1" x14ac:dyDescent="0.35">
      <c r="E26" s="568"/>
      <c r="F26" s="568"/>
      <c r="G26" s="569"/>
    </row>
    <row r="27" spans="2:14" ht="15" thickTop="1" x14ac:dyDescent="0.3">
      <c r="B27" s="213" t="s">
        <v>313</v>
      </c>
      <c r="C27" s="219">
        <v>0.4</v>
      </c>
      <c r="E27" s="568"/>
      <c r="F27" s="568"/>
      <c r="G27" s="570" t="s">
        <v>372</v>
      </c>
    </row>
    <row r="28" spans="2:14" ht="15" thickBot="1" x14ac:dyDescent="0.35">
      <c r="B28" s="212" t="s">
        <v>314</v>
      </c>
      <c r="C28" s="220">
        <v>0.2</v>
      </c>
      <c r="E28" s="568"/>
      <c r="F28" s="568"/>
      <c r="G28" s="569"/>
    </row>
    <row r="29" spans="2:14" ht="15" thickTop="1" x14ac:dyDescent="0.3">
      <c r="B29" s="31" t="s">
        <v>322</v>
      </c>
      <c r="C29" s="313">
        <v>0.05</v>
      </c>
      <c r="E29" s="568"/>
      <c r="F29" s="568"/>
      <c r="G29" s="570" t="s">
        <v>2095</v>
      </c>
    </row>
    <row r="30" spans="2:14" ht="15" thickBot="1" x14ac:dyDescent="0.35">
      <c r="B30" s="241" t="s">
        <v>323</v>
      </c>
      <c r="C30" s="224">
        <v>7.0000000000000007E-2</v>
      </c>
      <c r="E30" s="568"/>
      <c r="F30" s="568"/>
      <c r="G30" s="569"/>
    </row>
    <row r="31" spans="2:14" ht="15.6" thickTop="1" thickBot="1" x14ac:dyDescent="0.35"/>
    <row r="32" spans="2:14" ht="15" thickTop="1" x14ac:dyDescent="0.3">
      <c r="B32" s="213" t="s">
        <v>1233</v>
      </c>
      <c r="C32" s="907" t="s">
        <v>1230</v>
      </c>
      <c r="D32" s="908"/>
      <c r="E32" s="549" t="s">
        <v>1288</v>
      </c>
      <c r="F32" s="343"/>
      <c r="G32" s="343"/>
      <c r="I32" s="648" t="s">
        <v>1286</v>
      </c>
      <c r="J32" s="240"/>
      <c r="K32" s="240"/>
      <c r="L32" s="240"/>
      <c r="M32" s="240"/>
      <c r="N32" s="649"/>
    </row>
    <row r="33" spans="2:14" x14ac:dyDescent="0.3">
      <c r="B33" s="211"/>
      <c r="C33" s="905" t="s">
        <v>1231</v>
      </c>
      <c r="D33" s="906"/>
      <c r="E33" s="552" t="s">
        <v>1289</v>
      </c>
      <c r="I33" s="309" t="s">
        <v>1287</v>
      </c>
      <c r="J33" s="239"/>
      <c r="K33" s="239"/>
      <c r="L33" s="239"/>
      <c r="M33" s="239"/>
      <c r="N33" s="308"/>
    </row>
    <row r="34" spans="2:14" x14ac:dyDescent="0.3">
      <c r="B34" s="503"/>
      <c r="C34" s="909" t="s">
        <v>1232</v>
      </c>
      <c r="D34" s="910"/>
      <c r="E34" s="553" t="s">
        <v>1290</v>
      </c>
      <c r="F34" s="550"/>
      <c r="G34" s="550"/>
      <c r="I34" s="502"/>
    </row>
    <row r="35" spans="2:14" x14ac:dyDescent="0.3">
      <c r="B35" s="211" t="s">
        <v>1</v>
      </c>
      <c r="C35" s="905" t="s">
        <v>1229</v>
      </c>
      <c r="D35" s="906"/>
      <c r="E35" s="554" t="s">
        <v>1291</v>
      </c>
      <c r="F35" s="551"/>
      <c r="G35" s="551"/>
      <c r="I35" s="502"/>
    </row>
    <row r="36" spans="2:14" x14ac:dyDescent="0.3">
      <c r="B36" s="211"/>
      <c r="C36" s="905" t="s">
        <v>1234</v>
      </c>
      <c r="D36" s="906"/>
      <c r="E36" s="552" t="s">
        <v>1292</v>
      </c>
      <c r="I36" s="502"/>
    </row>
    <row r="37" spans="2:14" x14ac:dyDescent="0.3">
      <c r="B37" s="211"/>
      <c r="C37" s="905" t="s">
        <v>1235</v>
      </c>
      <c r="D37" s="906"/>
      <c r="E37" s="552" t="s">
        <v>1293</v>
      </c>
      <c r="I37" s="502"/>
    </row>
    <row r="38" spans="2:14" x14ac:dyDescent="0.3">
      <c r="B38" s="211"/>
      <c r="C38" s="905" t="s">
        <v>1236</v>
      </c>
      <c r="D38" s="906"/>
      <c r="E38" s="553" t="s">
        <v>1294</v>
      </c>
      <c r="F38" s="550"/>
      <c r="G38" s="550"/>
      <c r="I38" s="502"/>
    </row>
    <row r="39" spans="2:14" x14ac:dyDescent="0.3">
      <c r="B39" s="544" t="s">
        <v>284</v>
      </c>
      <c r="C39" s="911" t="s">
        <v>1265</v>
      </c>
      <c r="D39" s="912"/>
      <c r="E39" s="555" t="s">
        <v>3</v>
      </c>
      <c r="F39" s="551"/>
      <c r="G39" s="551"/>
    </row>
    <row r="40" spans="2:14" x14ac:dyDescent="0.3">
      <c r="B40" s="18"/>
      <c r="C40" s="895" t="s">
        <v>1266</v>
      </c>
      <c r="D40" s="896"/>
      <c r="E40" s="556" t="s">
        <v>4</v>
      </c>
    </row>
    <row r="41" spans="2:14" x14ac:dyDescent="0.3">
      <c r="B41" s="18"/>
      <c r="C41" s="895" t="s">
        <v>1267</v>
      </c>
      <c r="D41" s="896"/>
      <c r="E41" s="556" t="s">
        <v>7</v>
      </c>
    </row>
    <row r="42" spans="2:14" x14ac:dyDescent="0.3">
      <c r="B42" s="18"/>
      <c r="C42" s="895" t="s">
        <v>1268</v>
      </c>
      <c r="D42" s="896"/>
      <c r="E42" s="556" t="s">
        <v>5</v>
      </c>
    </row>
    <row r="43" spans="2:14" x14ac:dyDescent="0.3">
      <c r="B43" s="719"/>
      <c r="C43" s="897" t="s">
        <v>1269</v>
      </c>
      <c r="D43" s="898"/>
      <c r="E43" s="720" t="s">
        <v>6</v>
      </c>
      <c r="F43" s="562"/>
      <c r="G43" s="562"/>
    </row>
    <row r="44" spans="2:14" x14ac:dyDescent="0.3">
      <c r="B44" s="543" t="s">
        <v>2</v>
      </c>
      <c r="C44" s="901" t="s">
        <v>54</v>
      </c>
      <c r="D44" s="902"/>
      <c r="E44" s="563" t="s">
        <v>1298</v>
      </c>
      <c r="F44" s="561"/>
      <c r="G44" s="561"/>
    </row>
    <row r="45" spans="2:14" x14ac:dyDescent="0.3">
      <c r="B45" s="557"/>
      <c r="C45" s="899" t="s">
        <v>83</v>
      </c>
      <c r="D45" s="900"/>
      <c r="E45" s="564" t="s">
        <v>1299</v>
      </c>
      <c r="F45" s="562"/>
      <c r="G45" s="562"/>
    </row>
    <row r="46" spans="2:14" x14ac:dyDescent="0.3">
      <c r="B46" s="211" t="s">
        <v>287</v>
      </c>
      <c r="C46" s="905" t="s">
        <v>1285</v>
      </c>
      <c r="D46" s="906"/>
      <c r="E46" s="563" t="s">
        <v>1296</v>
      </c>
      <c r="F46" s="561"/>
      <c r="G46" s="561"/>
    </row>
    <row r="47" spans="2:14" x14ac:dyDescent="0.3">
      <c r="B47" s="557"/>
      <c r="C47" s="558" t="s">
        <v>1295</v>
      </c>
      <c r="D47" s="559"/>
      <c r="E47" s="564" t="s">
        <v>1297</v>
      </c>
      <c r="F47" s="562"/>
      <c r="G47" s="562"/>
    </row>
    <row r="48" spans="2:14" x14ac:dyDescent="0.3">
      <c r="B48" s="543" t="s">
        <v>288</v>
      </c>
      <c r="C48" s="901" t="s">
        <v>1978</v>
      </c>
      <c r="D48" s="902"/>
      <c r="E48" s="563" t="s">
        <v>1984</v>
      </c>
      <c r="F48" s="561"/>
      <c r="G48" s="561"/>
    </row>
    <row r="49" spans="2:7" x14ac:dyDescent="0.3">
      <c r="B49" s="211"/>
      <c r="C49" s="498" t="s">
        <v>1979</v>
      </c>
      <c r="D49" s="499"/>
      <c r="E49" s="552" t="s">
        <v>1985</v>
      </c>
    </row>
    <row r="50" spans="2:7" x14ac:dyDescent="0.3">
      <c r="B50" s="211"/>
      <c r="C50" s="498" t="s">
        <v>1991</v>
      </c>
      <c r="D50" s="499"/>
      <c r="E50" s="552" t="s">
        <v>1986</v>
      </c>
    </row>
    <row r="51" spans="2:7" x14ac:dyDescent="0.3">
      <c r="B51" s="211"/>
      <c r="C51" s="498" t="s">
        <v>1980</v>
      </c>
      <c r="D51" s="499"/>
      <c r="E51" s="552" t="s">
        <v>1987</v>
      </c>
    </row>
    <row r="52" spans="2:7" x14ac:dyDescent="0.3">
      <c r="B52" s="211"/>
      <c r="C52" s="498" t="s">
        <v>1981</v>
      </c>
      <c r="D52" s="499"/>
      <c r="E52" s="552" t="s">
        <v>1988</v>
      </c>
    </row>
    <row r="53" spans="2:7" x14ac:dyDescent="0.3">
      <c r="B53" s="211"/>
      <c r="C53" s="498" t="s">
        <v>1982</v>
      </c>
      <c r="D53" s="499"/>
      <c r="E53" s="552" t="s">
        <v>1989</v>
      </c>
    </row>
    <row r="54" spans="2:7" x14ac:dyDescent="0.3">
      <c r="B54" s="557"/>
      <c r="C54" s="558" t="s">
        <v>1983</v>
      </c>
      <c r="D54" s="559"/>
      <c r="E54" s="564" t="s">
        <v>1990</v>
      </c>
      <c r="F54" s="562"/>
      <c r="G54" s="562"/>
    </row>
    <row r="55" spans="2:7" x14ac:dyDescent="0.3">
      <c r="B55" s="721" t="s">
        <v>286</v>
      </c>
      <c r="C55" s="903" t="s">
        <v>1966</v>
      </c>
      <c r="D55" s="904"/>
      <c r="E55" s="609" t="s">
        <v>402</v>
      </c>
      <c r="F55" s="560"/>
      <c r="G55" s="560"/>
    </row>
    <row r="56" spans="2:7" x14ac:dyDescent="0.3">
      <c r="B56" s="543" t="s">
        <v>315</v>
      </c>
      <c r="C56" s="901" t="s">
        <v>1916</v>
      </c>
      <c r="D56" s="902"/>
      <c r="E56" s="563" t="s">
        <v>208</v>
      </c>
      <c r="F56" s="561"/>
      <c r="G56" s="561"/>
    </row>
    <row r="57" spans="2:7" x14ac:dyDescent="0.3">
      <c r="B57" s="557"/>
      <c r="C57" s="899" t="s">
        <v>1917</v>
      </c>
      <c r="D57" s="900"/>
      <c r="E57" s="553" t="s">
        <v>1955</v>
      </c>
      <c r="F57" s="562"/>
      <c r="G57" s="562"/>
    </row>
    <row r="58" spans="2:7" x14ac:dyDescent="0.3">
      <c r="B58" s="543" t="s">
        <v>316</v>
      </c>
      <c r="C58" s="901" t="s">
        <v>261</v>
      </c>
      <c r="D58" s="902"/>
      <c r="E58" s="554" t="s">
        <v>262</v>
      </c>
      <c r="F58" s="561"/>
      <c r="G58" s="561"/>
    </row>
    <row r="59" spans="2:7" x14ac:dyDescent="0.3">
      <c r="B59" s="557"/>
      <c r="C59" s="558" t="s">
        <v>1954</v>
      </c>
      <c r="D59" s="559"/>
      <c r="E59" s="564" t="s">
        <v>1956</v>
      </c>
      <c r="F59" s="562"/>
      <c r="G59" s="562"/>
    </row>
    <row r="60" spans="2:7" x14ac:dyDescent="0.3">
      <c r="B60" s="543" t="s">
        <v>317</v>
      </c>
      <c r="C60" s="901" t="s">
        <v>2007</v>
      </c>
      <c r="D60" s="902"/>
      <c r="E60" s="554" t="s">
        <v>2014</v>
      </c>
      <c r="F60" s="561"/>
      <c r="G60" s="561"/>
    </row>
    <row r="61" spans="2:7" x14ac:dyDescent="0.3">
      <c r="B61" s="211"/>
      <c r="C61" s="498" t="s">
        <v>2002</v>
      </c>
      <c r="D61" s="499"/>
      <c r="E61" s="552" t="s">
        <v>2009</v>
      </c>
    </row>
    <row r="62" spans="2:7" x14ac:dyDescent="0.3">
      <c r="B62" s="211"/>
      <c r="C62" s="498" t="s">
        <v>2003</v>
      </c>
      <c r="D62" s="499"/>
      <c r="E62" s="552" t="s">
        <v>2010</v>
      </c>
    </row>
    <row r="63" spans="2:7" x14ac:dyDescent="0.3">
      <c r="B63" s="211"/>
      <c r="C63" s="498" t="s">
        <v>2004</v>
      </c>
      <c r="D63" s="499"/>
      <c r="E63" s="552" t="s">
        <v>2011</v>
      </c>
    </row>
    <row r="64" spans="2:7" x14ac:dyDescent="0.3">
      <c r="B64" s="211"/>
      <c r="C64" s="498" t="s">
        <v>2005</v>
      </c>
      <c r="D64" s="499"/>
      <c r="E64" s="552" t="s">
        <v>2012</v>
      </c>
    </row>
    <row r="65" spans="2:5" x14ac:dyDescent="0.3">
      <c r="B65" s="211"/>
      <c r="C65" s="498" t="s">
        <v>2006</v>
      </c>
      <c r="D65" s="499"/>
      <c r="E65" s="552" t="s">
        <v>2013</v>
      </c>
    </row>
    <row r="66" spans="2:5" ht="15" thickBot="1" x14ac:dyDescent="0.35">
      <c r="B66" s="212"/>
      <c r="C66" s="638" t="s">
        <v>2008</v>
      </c>
      <c r="D66" s="639"/>
      <c r="E66" s="552" t="s">
        <v>2015</v>
      </c>
    </row>
    <row r="67" spans="2:5" ht="15" thickTop="1" x14ac:dyDescent="0.3"/>
  </sheetData>
  <sheetProtection algorithmName="SHA-512" hashValue="sDbKh3BoQlz7e75/4IV+Vtlt6JRSl6doG1kgu555/YLwW1eLoEGD4U9J+sT0/6+P91sS8YLuxK01E6IzHw/y+Q==" saltValue="ApNDx92bLd+39KslwJn33A==" spinCount="100000" sheet="1" objects="1" scenarios="1" selectLockedCells="1"/>
  <mergeCells count="21">
    <mergeCell ref="C32:D32"/>
    <mergeCell ref="C33:D33"/>
    <mergeCell ref="C34:D34"/>
    <mergeCell ref="C35:D35"/>
    <mergeCell ref="C39:D39"/>
    <mergeCell ref="C36:D36"/>
    <mergeCell ref="C37:D37"/>
    <mergeCell ref="C38:D38"/>
    <mergeCell ref="C58:D58"/>
    <mergeCell ref="C60:D60"/>
    <mergeCell ref="C44:D44"/>
    <mergeCell ref="C55:D55"/>
    <mergeCell ref="C46:D46"/>
    <mergeCell ref="C48:D48"/>
    <mergeCell ref="C45:D45"/>
    <mergeCell ref="C40:D40"/>
    <mergeCell ref="C41:D41"/>
    <mergeCell ref="C42:D42"/>
    <mergeCell ref="C43:D43"/>
    <mergeCell ref="C57:D57"/>
    <mergeCell ref="C56:D56"/>
  </mergeCells>
  <phoneticPr fontId="42" type="noConversion"/>
  <conditionalFormatting sqref="C15:C20">
    <cfRule type="containsBlanks" dxfId="78" priority="7">
      <formula>LEN(TRIM(C15))=0</formula>
    </cfRule>
  </conditionalFormatting>
  <conditionalFormatting sqref="C3 C5:C8 C10:C14">
    <cfRule type="containsBlanks" dxfId="77" priority="6">
      <formula>LEN(TRIM(C3))=0</formula>
    </cfRule>
  </conditionalFormatting>
  <conditionalFormatting sqref="C21:C25">
    <cfRule type="containsBlanks" dxfId="76" priority="5">
      <formula>LEN(TRIM(C21))=0</formula>
    </cfRule>
  </conditionalFormatting>
  <conditionalFormatting sqref="C27">
    <cfRule type="containsBlanks" dxfId="75" priority="4">
      <formula>LEN(TRIM(C27))=0</formula>
    </cfRule>
  </conditionalFormatting>
  <conditionalFormatting sqref="C28">
    <cfRule type="containsBlanks" dxfId="74" priority="3">
      <formula>LEN(TRIM(C28))=0</formula>
    </cfRule>
  </conditionalFormatting>
  <conditionalFormatting sqref="C29">
    <cfRule type="containsBlanks" dxfId="73" priority="2">
      <formula>LEN(TRIM(C29))=0</formula>
    </cfRule>
  </conditionalFormatting>
  <conditionalFormatting sqref="C30">
    <cfRule type="containsBlanks" dxfId="72" priority="1">
      <formula>LEN(TRIM(C30))=0</formula>
    </cfRule>
  </conditionalFormatting>
  <dataValidations count="7">
    <dataValidation type="decimal" operator="greaterThanOrEqual" allowBlank="1" showInputMessage="1" showErrorMessage="1" errorTitle="CleanCooking-inputs" error="Values must be greater than or equal to zero." sqref="C27:C30 C22:C25 C15:C20" xr:uid="{38BFF85D-F39B-4BA4-93A2-91730F428F2A}">
      <formula1>0</formula1>
    </dataValidation>
    <dataValidation type="decimal" operator="greaterThan" allowBlank="1" showInputMessage="1" showErrorMessage="1" errorTitle="CleanCooking-inputs" error="Value must be greater than zero (&gt;0)." sqref="C6:C8 C13" xr:uid="{9597E331-79CC-469D-A1BF-256AE4731FF7}">
      <formula1>0</formula1>
    </dataValidation>
    <dataValidation type="decimal" operator="greaterThan" allowBlank="1" showInputMessage="1" showErrorMessage="1" errorTitle="CleanCooking-inputs" error="High voltage must be higher than medium voltage." sqref="C11" xr:uid="{336354BA-98C2-4C82-9597-645388BEFE11}">
      <formula1>$C$12</formula1>
    </dataValidation>
    <dataValidation type="decimal" operator="greaterThan" allowBlank="1" showInputMessage="1" showErrorMessage="1" errorTitle="CleanCooking-inputs" error="Medium voltage must greater than low voltage." sqref="C12" xr:uid="{07E0B12B-7122-470E-A177-03A475846E53}">
      <formula1>$C$13</formula1>
    </dataValidation>
    <dataValidation type="decimal" operator="greaterThan" allowBlank="1" showInputMessage="1" showErrorMessage="1" errorTitle="CleanCooking-inputs" error="Very high voltage must be higher than high voltage." sqref="C10" xr:uid="{F0B50037-9076-4224-8F64-87ACE0593516}">
      <formula1>$C$11</formula1>
    </dataValidation>
    <dataValidation type="list" allowBlank="1" showInputMessage="1" showErrorMessage="1" errorTitle="CleanCooking-inputs" error="Select a value from the list." sqref="C14" xr:uid="{98AE71CF-5E5C-485F-B1F6-B50C3EA26CAB}">
      <formula1>"50,60"</formula1>
    </dataValidation>
    <dataValidation type="whole" operator="greaterThan" allowBlank="1" showInputMessage="1" showErrorMessage="1" errorTitle="CleanCooking-inputs" error="Value must be integer and greater than zero (&gt;0)." sqref="C21" xr:uid="{54060822-1830-44BC-A202-EDB587B3B7BD}">
      <formula1>0</formula1>
    </dataValidation>
  </dataValidation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62F92-E8C1-4E55-AAB1-E4276BB9ADC2}">
  <sheetPr codeName="Sheet24">
    <tabColor theme="8" tint="0.59999389629810485"/>
  </sheetPr>
  <dimension ref="A1:O40"/>
  <sheetViews>
    <sheetView showGridLines="0" showRowColHeaders="0" workbookViewId="0">
      <pane ySplit="4" topLeftCell="A5" activePane="bottomLeft" state="frozen"/>
      <selection activeCell="H42" sqref="H42"/>
      <selection pane="bottomLeft" activeCell="K47" sqref="K47"/>
    </sheetView>
  </sheetViews>
  <sheetFormatPr defaultColWidth="8.88671875" defaultRowHeight="14.4" x14ac:dyDescent="0.3"/>
  <cols>
    <col min="1" max="1" width="6.77734375" style="210" customWidth="1"/>
    <col min="2" max="2" width="10.77734375" style="676" customWidth="1"/>
    <col min="3" max="3" width="16.77734375" style="677" customWidth="1"/>
    <col min="4" max="4" width="8.77734375" style="428" customWidth="1"/>
    <col min="5" max="5" width="8.77734375" style="678" customWidth="1"/>
    <col min="6" max="6" width="8.77734375" style="679" customWidth="1"/>
    <col min="7" max="7" width="8.77734375" style="680" customWidth="1"/>
    <col min="8" max="8" width="8.77734375" style="80" customWidth="1"/>
    <col min="9" max="9" width="8.77734375" style="681" customWidth="1"/>
    <col min="10" max="10" width="22.77734375" style="682" customWidth="1"/>
    <col min="11" max="11" width="30.77734375" style="682" customWidth="1"/>
    <col min="12" max="12" width="10.77734375" style="541" customWidth="1"/>
    <col min="13" max="14" width="10.77734375" style="251" customWidth="1"/>
    <col min="15" max="15" width="10.77734375" style="575" customWidth="1"/>
    <col min="16" max="16384" width="8.88671875" style="210"/>
  </cols>
  <sheetData>
    <row r="1" spans="1:15" s="3" customFormat="1" ht="70.2" customHeight="1" thickBot="1" x14ac:dyDescent="0.35">
      <c r="A1" s="3" t="s">
        <v>402</v>
      </c>
    </row>
    <row r="2" spans="1:15" ht="15.6" thickTop="1" thickBot="1" x14ac:dyDescent="0.35"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</row>
    <row r="3" spans="1:15" ht="15.6" thickTop="1" thickBot="1" x14ac:dyDescent="0.35">
      <c r="B3" s="675" t="s">
        <v>1965</v>
      </c>
      <c r="C3" s="210"/>
      <c r="D3" s="210"/>
      <c r="E3" s="683" t="s">
        <v>406</v>
      </c>
      <c r="F3" s="354"/>
      <c r="G3" s="355" t="s">
        <v>405</v>
      </c>
      <c r="H3" s="356"/>
      <c r="I3" s="210"/>
      <c r="J3" s="210"/>
      <c r="K3" s="210"/>
      <c r="L3" s="210"/>
      <c r="M3" s="210"/>
      <c r="N3" s="210"/>
      <c r="O3" s="210"/>
    </row>
    <row r="4" spans="1:15" ht="15" thickTop="1" x14ac:dyDescent="0.3">
      <c r="B4" s="352" t="s">
        <v>403</v>
      </c>
      <c r="C4" s="357" t="s">
        <v>212</v>
      </c>
      <c r="D4" s="366" t="s">
        <v>404</v>
      </c>
      <c r="E4" s="361" t="s">
        <v>408</v>
      </c>
      <c r="F4" s="359" t="s">
        <v>407</v>
      </c>
      <c r="G4" s="358" t="s">
        <v>408</v>
      </c>
      <c r="H4" s="360" t="s">
        <v>407</v>
      </c>
      <c r="I4" s="361" t="s">
        <v>409</v>
      </c>
      <c r="J4" s="362" t="s">
        <v>1958</v>
      </c>
      <c r="K4" s="362" t="s">
        <v>410</v>
      </c>
      <c r="L4" s="363" t="str" cm="1">
        <f t="array" aca="1" ref="L4:O4" ca="1">TRANSPOSE(OFFSET(Internal!$U$1,1,0,Internal!$B$10))</f>
        <v>FORE</v>
      </c>
      <c r="M4" s="364" t="str">
        <f ca="1"/>
        <v>AGRO</v>
      </c>
      <c r="N4" s="364" t="str">
        <f ca="1"/>
        <v>CITY</v>
      </c>
      <c r="O4" s="365" t="str">
        <f ca="1"/>
        <v>RAGE</v>
      </c>
    </row>
    <row r="5" spans="1:15" x14ac:dyDescent="0.3">
      <c r="B5" s="676" t="s">
        <v>412</v>
      </c>
      <c r="C5" s="677" t="s">
        <v>411</v>
      </c>
      <c r="D5" s="428">
        <v>2</v>
      </c>
      <c r="E5" s="678">
        <v>28.86</v>
      </c>
      <c r="F5" s="679">
        <v>30.9</v>
      </c>
      <c r="G5" s="680">
        <v>-2.84</v>
      </c>
      <c r="H5" s="80">
        <v>-1.05</v>
      </c>
      <c r="I5" s="681">
        <v>5</v>
      </c>
      <c r="L5" s="541">
        <v>0.26790000000000003</v>
      </c>
      <c r="M5" s="251">
        <v>0.2412</v>
      </c>
      <c r="N5" s="251">
        <v>0.43990000000000001</v>
      </c>
      <c r="O5" s="575">
        <v>5.0999999999999997E-2</v>
      </c>
    </row>
    <row r="6" spans="1:15" x14ac:dyDescent="0.3">
      <c r="B6" s="676" t="s">
        <v>1197</v>
      </c>
      <c r="C6" s="677" t="s">
        <v>1194</v>
      </c>
      <c r="D6" s="428">
        <v>1</v>
      </c>
      <c r="E6" s="678">
        <v>29.96</v>
      </c>
      <c r="F6" s="679">
        <v>30.9</v>
      </c>
      <c r="G6" s="680">
        <v>-2.44</v>
      </c>
      <c r="H6" s="80">
        <v>-1.05</v>
      </c>
      <c r="I6" s="681">
        <v>7</v>
      </c>
      <c r="J6" s="682" t="s">
        <v>412</v>
      </c>
      <c r="L6" s="541">
        <v>0.10204285714285713</v>
      </c>
      <c r="M6" s="251">
        <v>0.28142857142857147</v>
      </c>
      <c r="N6" s="251">
        <v>0.60609999999999997</v>
      </c>
      <c r="O6" s="575">
        <v>1.0414285714285718E-2</v>
      </c>
    </row>
    <row r="7" spans="1:15" x14ac:dyDescent="0.3">
      <c r="B7" s="676" t="s">
        <v>418</v>
      </c>
      <c r="C7" s="677" t="s">
        <v>258</v>
      </c>
      <c r="D7" s="428">
        <v>0</v>
      </c>
      <c r="E7" s="678">
        <v>29.96</v>
      </c>
      <c r="F7" s="679">
        <v>30.37</v>
      </c>
      <c r="G7" s="680">
        <v>-2.44</v>
      </c>
      <c r="H7" s="80">
        <v>-2.0299999999999998</v>
      </c>
      <c r="J7" s="682" t="s">
        <v>1197</v>
      </c>
      <c r="K7" s="682" t="s">
        <v>2232</v>
      </c>
      <c r="L7" s="541">
        <v>0.22270000000000001</v>
      </c>
      <c r="M7" s="251">
        <v>0.13519999999999999</v>
      </c>
      <c r="N7" s="251">
        <v>0.61680000000000001</v>
      </c>
      <c r="O7" s="575">
        <v>2.53E-2</v>
      </c>
    </row>
    <row r="8" spans="1:15" x14ac:dyDescent="0.3">
      <c r="B8" s="676" t="s">
        <v>420</v>
      </c>
      <c r="C8" s="677" t="s">
        <v>254</v>
      </c>
      <c r="D8" s="428">
        <v>0</v>
      </c>
      <c r="E8" s="678">
        <v>30.16</v>
      </c>
      <c r="F8" s="679">
        <v>30.84</v>
      </c>
      <c r="G8" s="680">
        <v>-1.88</v>
      </c>
      <c r="H8" s="80">
        <v>-1.46</v>
      </c>
      <c r="J8" s="682" t="s">
        <v>1197</v>
      </c>
      <c r="K8" s="682" t="s">
        <v>2233</v>
      </c>
      <c r="L8" s="541">
        <v>0</v>
      </c>
      <c r="M8" s="251">
        <v>9.11E-2</v>
      </c>
      <c r="N8" s="251">
        <v>0.90190000000000003</v>
      </c>
      <c r="O8" s="575">
        <v>7.0000000000000001E-3</v>
      </c>
    </row>
    <row r="9" spans="1:15" x14ac:dyDescent="0.3">
      <c r="B9" s="676" t="s">
        <v>422</v>
      </c>
      <c r="C9" s="677" t="s">
        <v>255</v>
      </c>
      <c r="D9" s="428">
        <v>0</v>
      </c>
      <c r="E9" s="678">
        <v>30.42</v>
      </c>
      <c r="F9" s="679">
        <v>30.84</v>
      </c>
      <c r="G9" s="680">
        <v>-2.12</v>
      </c>
      <c r="H9" s="80">
        <v>-1.6</v>
      </c>
      <c r="J9" s="682" t="s">
        <v>1197</v>
      </c>
      <c r="K9" s="682" t="s">
        <v>2234</v>
      </c>
      <c r="L9" s="541">
        <v>8.4000000000000005E-2</v>
      </c>
      <c r="M9" s="251">
        <v>0.53879999999999995</v>
      </c>
      <c r="N9" s="251">
        <v>0.37669999999999998</v>
      </c>
      <c r="O9" s="575">
        <v>5.0000000000000001E-4</v>
      </c>
    </row>
    <row r="10" spans="1:15" x14ac:dyDescent="0.3">
      <c r="B10" s="676" t="s">
        <v>423</v>
      </c>
      <c r="C10" s="677" t="s">
        <v>256</v>
      </c>
      <c r="D10" s="428">
        <v>0</v>
      </c>
      <c r="E10" s="678">
        <v>30.46</v>
      </c>
      <c r="F10" s="679">
        <v>30.9</v>
      </c>
      <c r="G10" s="680">
        <v>-2.42</v>
      </c>
      <c r="H10" s="80">
        <v>-1.97</v>
      </c>
      <c r="J10" s="682" t="s">
        <v>1197</v>
      </c>
      <c r="K10" s="682" t="s">
        <v>2235</v>
      </c>
      <c r="L10" s="541">
        <v>2E-3</v>
      </c>
      <c r="M10" s="251">
        <v>0.83950000000000002</v>
      </c>
      <c r="N10" s="251">
        <v>0.15820000000000001</v>
      </c>
      <c r="O10" s="575">
        <v>2.9999999999999997E-4</v>
      </c>
    </row>
    <row r="11" spans="1:15" x14ac:dyDescent="0.3">
      <c r="B11" s="676" t="s">
        <v>424</v>
      </c>
      <c r="C11" s="677" t="s">
        <v>257</v>
      </c>
      <c r="D11" s="428">
        <v>0</v>
      </c>
      <c r="E11" s="678">
        <v>30.26</v>
      </c>
      <c r="F11" s="679">
        <v>30.66</v>
      </c>
      <c r="G11" s="680">
        <v>-2.35</v>
      </c>
      <c r="H11" s="80">
        <v>-2.0499999999999998</v>
      </c>
      <c r="J11" s="682" t="s">
        <v>1197</v>
      </c>
      <c r="K11" s="682" t="s">
        <v>2236</v>
      </c>
      <c r="L11" s="541">
        <v>2.0000000000000001E-4</v>
      </c>
      <c r="M11" s="251">
        <v>0.2351</v>
      </c>
      <c r="N11" s="251">
        <v>0.76119999999999999</v>
      </c>
      <c r="O11" s="575">
        <v>3.5000000000000001E-3</v>
      </c>
    </row>
    <row r="12" spans="1:15" x14ac:dyDescent="0.3">
      <c r="B12" s="676" t="s">
        <v>425</v>
      </c>
      <c r="C12" s="677" t="s">
        <v>253</v>
      </c>
      <c r="D12" s="428">
        <v>0</v>
      </c>
      <c r="E12" s="678">
        <v>30.07</v>
      </c>
      <c r="F12" s="679">
        <v>30.74</v>
      </c>
      <c r="G12" s="680">
        <v>-1.55</v>
      </c>
      <c r="H12" s="80">
        <v>-1.05</v>
      </c>
      <c r="J12" s="682" t="s">
        <v>1197</v>
      </c>
      <c r="K12" s="682" t="s">
        <v>2237</v>
      </c>
      <c r="L12" s="541">
        <v>0</v>
      </c>
      <c r="M12" s="251">
        <v>2.1499999999999998E-2</v>
      </c>
      <c r="N12" s="251">
        <v>0.94269999999999998</v>
      </c>
      <c r="O12" s="575">
        <v>3.56E-2</v>
      </c>
    </row>
    <row r="13" spans="1:15" x14ac:dyDescent="0.3">
      <c r="B13" s="676" t="s">
        <v>426</v>
      </c>
      <c r="C13" s="677" t="s">
        <v>252</v>
      </c>
      <c r="D13" s="428">
        <v>0</v>
      </c>
      <c r="E13" s="678">
        <v>30.22</v>
      </c>
      <c r="F13" s="679">
        <v>30.49</v>
      </c>
      <c r="G13" s="680">
        <v>-2.13</v>
      </c>
      <c r="H13" s="80">
        <v>-1.82</v>
      </c>
      <c r="J13" s="682" t="s">
        <v>1197</v>
      </c>
      <c r="K13" s="682" t="s">
        <v>2238</v>
      </c>
      <c r="L13" s="541">
        <v>0.40539999999999998</v>
      </c>
      <c r="M13" s="251">
        <v>0.10879999999999999</v>
      </c>
      <c r="N13" s="251">
        <v>0.48520000000000002</v>
      </c>
      <c r="O13" s="575">
        <v>6.9999999999999999E-4</v>
      </c>
    </row>
    <row r="14" spans="1:15" x14ac:dyDescent="0.3">
      <c r="B14" s="676" t="s">
        <v>413</v>
      </c>
      <c r="C14" s="677" t="s">
        <v>280</v>
      </c>
      <c r="D14" s="428">
        <v>1</v>
      </c>
      <c r="E14" s="678">
        <v>29.26</v>
      </c>
      <c r="F14" s="679">
        <v>30.28</v>
      </c>
      <c r="G14" s="680">
        <v>-2.84</v>
      </c>
      <c r="H14" s="80">
        <v>-1.31</v>
      </c>
      <c r="I14" s="681">
        <v>3</v>
      </c>
      <c r="J14" s="682" t="s">
        <v>412</v>
      </c>
      <c r="L14" s="541">
        <v>0.92263333333333331</v>
      </c>
      <c r="M14" s="251">
        <v>8.3666666666666663E-3</v>
      </c>
      <c r="N14" s="251">
        <v>6.7900000000000002E-2</v>
      </c>
      <c r="O14" s="575">
        <v>1.0666666666666667E-3</v>
      </c>
    </row>
    <row r="15" spans="1:15" x14ac:dyDescent="0.3">
      <c r="B15" s="676" t="s">
        <v>427</v>
      </c>
      <c r="C15" s="677" t="s">
        <v>230</v>
      </c>
      <c r="D15" s="428">
        <v>0</v>
      </c>
      <c r="E15" s="678">
        <v>29.99</v>
      </c>
      <c r="F15" s="679">
        <v>30.28</v>
      </c>
      <c r="G15" s="680">
        <v>-1.99</v>
      </c>
      <c r="H15" s="80">
        <v>-1.78</v>
      </c>
      <c r="J15" s="682" t="s">
        <v>413</v>
      </c>
      <c r="K15" s="682" t="s">
        <v>2239</v>
      </c>
      <c r="L15" s="541">
        <v>0.88490000000000002</v>
      </c>
      <c r="M15" s="251">
        <v>1.44E-2</v>
      </c>
      <c r="N15" s="251">
        <v>0.10059999999999999</v>
      </c>
      <c r="O15" s="575">
        <v>0</v>
      </c>
    </row>
    <row r="16" spans="1:15" x14ac:dyDescent="0.3">
      <c r="B16" s="676" t="s">
        <v>419</v>
      </c>
      <c r="C16" s="677" t="s">
        <v>231</v>
      </c>
      <c r="D16" s="428">
        <v>0</v>
      </c>
      <c r="E16" s="678">
        <v>30.05</v>
      </c>
      <c r="F16" s="679">
        <v>30.24</v>
      </c>
      <c r="G16" s="680">
        <v>-2.08</v>
      </c>
      <c r="H16" s="80">
        <v>-1.95</v>
      </c>
      <c r="J16" s="682" t="s">
        <v>413</v>
      </c>
      <c r="K16" s="682" t="s">
        <v>2240</v>
      </c>
      <c r="L16" s="541">
        <v>0.97299999999999998</v>
      </c>
      <c r="M16" s="251">
        <v>0</v>
      </c>
      <c r="N16" s="251">
        <v>2.3800000000000002E-2</v>
      </c>
      <c r="O16" s="575">
        <v>3.2000000000000002E-3</v>
      </c>
    </row>
    <row r="17" spans="2:15" x14ac:dyDescent="0.3">
      <c r="B17" s="676" t="s">
        <v>430</v>
      </c>
      <c r="C17" s="677" t="s">
        <v>229</v>
      </c>
      <c r="D17" s="428">
        <v>0</v>
      </c>
      <c r="E17" s="678">
        <v>29.98</v>
      </c>
      <c r="F17" s="679">
        <v>30.09</v>
      </c>
      <c r="G17" s="680">
        <v>-2.08</v>
      </c>
      <c r="H17" s="80">
        <v>-1.87</v>
      </c>
      <c r="J17" s="682" t="s">
        <v>413</v>
      </c>
      <c r="K17" s="682" t="s">
        <v>2241</v>
      </c>
      <c r="L17" s="541">
        <v>0.91</v>
      </c>
      <c r="M17" s="251">
        <v>1.0699999999999999E-2</v>
      </c>
      <c r="N17" s="251">
        <v>7.9299999999999995E-2</v>
      </c>
      <c r="O17" s="575">
        <v>0</v>
      </c>
    </row>
    <row r="18" spans="2:15" x14ac:dyDescent="0.3">
      <c r="B18" s="676" t="s">
        <v>414</v>
      </c>
      <c r="C18" s="677" t="s">
        <v>1193</v>
      </c>
      <c r="D18" s="428">
        <v>1</v>
      </c>
      <c r="E18" s="678">
        <v>29.26</v>
      </c>
      <c r="F18" s="679">
        <v>30.28</v>
      </c>
      <c r="G18" s="680">
        <v>-2.84</v>
      </c>
      <c r="H18" s="80">
        <v>-1.31</v>
      </c>
      <c r="I18" s="681">
        <v>5</v>
      </c>
      <c r="J18" s="682" t="s">
        <v>412</v>
      </c>
      <c r="L18" s="541">
        <v>0.25817999999999997</v>
      </c>
      <c r="M18" s="251">
        <v>0.13135999999999998</v>
      </c>
      <c r="N18" s="251">
        <v>0.50985999999999998</v>
      </c>
      <c r="O18" s="575">
        <v>5.808E-2</v>
      </c>
    </row>
    <row r="19" spans="2:15" x14ac:dyDescent="0.3">
      <c r="B19" s="676" t="s">
        <v>415</v>
      </c>
      <c r="C19" s="677" t="s">
        <v>250</v>
      </c>
      <c r="D19" s="428">
        <v>0</v>
      </c>
      <c r="E19" s="678">
        <v>29.66</v>
      </c>
      <c r="F19" s="679">
        <v>30</v>
      </c>
      <c r="G19" s="680">
        <v>-1.61</v>
      </c>
      <c r="H19" s="80">
        <v>-1.31</v>
      </c>
      <c r="J19" s="682" t="s">
        <v>414</v>
      </c>
      <c r="K19" s="682" t="s">
        <v>2242</v>
      </c>
      <c r="L19" s="541">
        <v>0.27100000000000002</v>
      </c>
      <c r="M19" s="251">
        <v>1.7500000000000002E-2</v>
      </c>
      <c r="N19" s="251">
        <v>0.67220000000000002</v>
      </c>
      <c r="O19" s="575">
        <v>1.26E-2</v>
      </c>
    </row>
    <row r="20" spans="2:15" x14ac:dyDescent="0.3">
      <c r="B20" s="676" t="s">
        <v>431</v>
      </c>
      <c r="C20" s="677" t="s">
        <v>248</v>
      </c>
      <c r="D20" s="428">
        <v>0</v>
      </c>
      <c r="E20" s="678">
        <v>29.63</v>
      </c>
      <c r="F20" s="679">
        <v>29.93</v>
      </c>
      <c r="G20" s="680">
        <v>-1.87</v>
      </c>
      <c r="H20" s="80">
        <v>-1.55</v>
      </c>
      <c r="J20" s="682" t="s">
        <v>414</v>
      </c>
      <c r="K20" s="682" t="s">
        <v>2243</v>
      </c>
      <c r="L20" s="541">
        <v>4.6800000000000001E-2</v>
      </c>
      <c r="M20" s="251">
        <v>0.18779999999999999</v>
      </c>
      <c r="N20" s="251">
        <v>0.50049999999999994</v>
      </c>
      <c r="O20" s="575">
        <v>0.17469999999999999</v>
      </c>
    </row>
    <row r="21" spans="2:15" x14ac:dyDescent="0.3">
      <c r="B21" s="676" t="s">
        <v>432</v>
      </c>
      <c r="C21" s="677" t="s">
        <v>251</v>
      </c>
      <c r="D21" s="428">
        <v>0</v>
      </c>
      <c r="E21" s="678">
        <v>29.94</v>
      </c>
      <c r="F21" s="679">
        <v>30.28</v>
      </c>
      <c r="G21" s="680">
        <v>-1.85</v>
      </c>
      <c r="H21" s="80">
        <v>-1.39</v>
      </c>
      <c r="J21" s="682" t="s">
        <v>414</v>
      </c>
      <c r="K21" s="682" t="s">
        <v>2244</v>
      </c>
      <c r="L21" s="541">
        <v>0.20749999999999999</v>
      </c>
      <c r="M21" s="251">
        <v>0.18429999999999999</v>
      </c>
      <c r="N21" s="251">
        <v>0.51519999999999999</v>
      </c>
      <c r="O21" s="575">
        <v>9.2999999999999999E-2</v>
      </c>
    </row>
    <row r="22" spans="2:15" x14ac:dyDescent="0.3">
      <c r="B22" s="676" t="s">
        <v>433</v>
      </c>
      <c r="C22" s="677" t="s">
        <v>249</v>
      </c>
      <c r="D22" s="428">
        <v>0</v>
      </c>
      <c r="E22" s="678">
        <v>29.45</v>
      </c>
      <c r="F22" s="679">
        <v>29.77</v>
      </c>
      <c r="G22" s="680">
        <v>-1.6</v>
      </c>
      <c r="H22" s="80">
        <v>-1.39</v>
      </c>
      <c r="J22" s="682" t="s">
        <v>414</v>
      </c>
      <c r="K22" s="682" t="s">
        <v>2245</v>
      </c>
      <c r="L22" s="541">
        <v>0.48130000000000001</v>
      </c>
      <c r="M22" s="251">
        <v>0</v>
      </c>
      <c r="N22" s="251">
        <v>0.50039999999999996</v>
      </c>
      <c r="O22" s="575">
        <v>6.4999999999999997E-3</v>
      </c>
    </row>
    <row r="23" spans="2:15" x14ac:dyDescent="0.3">
      <c r="B23" s="676" t="s">
        <v>434</v>
      </c>
      <c r="C23" s="677" t="s">
        <v>247</v>
      </c>
      <c r="D23" s="428">
        <v>0</v>
      </c>
      <c r="E23" s="678">
        <v>29.86</v>
      </c>
      <c r="F23" s="679">
        <v>30.13</v>
      </c>
      <c r="G23" s="680">
        <v>-1.91</v>
      </c>
      <c r="H23" s="80">
        <v>-1.59</v>
      </c>
      <c r="J23" s="682" t="s">
        <v>414</v>
      </c>
      <c r="K23" s="682" t="s">
        <v>2246</v>
      </c>
      <c r="L23" s="541">
        <v>0.2843</v>
      </c>
      <c r="M23" s="251">
        <v>0.26719999999999999</v>
      </c>
      <c r="N23" s="251">
        <v>0.36099999999999999</v>
      </c>
      <c r="O23" s="575">
        <v>3.5999999999999999E-3</v>
      </c>
    </row>
    <row r="24" spans="2:15" x14ac:dyDescent="0.3">
      <c r="B24" s="676" t="s">
        <v>1198</v>
      </c>
      <c r="C24" s="677" t="s">
        <v>1195</v>
      </c>
      <c r="D24" s="428">
        <v>1</v>
      </c>
      <c r="E24" s="678">
        <v>29.26</v>
      </c>
      <c r="F24" s="679">
        <v>30.02</v>
      </c>
      <c r="G24" s="680">
        <v>-2.84</v>
      </c>
      <c r="H24" s="80">
        <v>-1.73</v>
      </c>
      <c r="I24" s="681">
        <v>7</v>
      </c>
      <c r="J24" s="682" t="s">
        <v>412</v>
      </c>
      <c r="L24" s="541">
        <v>0.12047142857142856</v>
      </c>
      <c r="M24" s="251">
        <v>0.1722714285714286</v>
      </c>
      <c r="N24" s="251">
        <v>0.52457142857142858</v>
      </c>
      <c r="O24" s="575">
        <v>0.17650000000000002</v>
      </c>
    </row>
    <row r="25" spans="2:15" x14ac:dyDescent="0.3">
      <c r="B25" s="676" t="s">
        <v>435</v>
      </c>
      <c r="C25" s="677" t="s">
        <v>240</v>
      </c>
      <c r="D25" s="428">
        <v>0</v>
      </c>
      <c r="E25" s="678">
        <v>29.7</v>
      </c>
      <c r="F25" s="679">
        <v>29.97</v>
      </c>
      <c r="G25" s="680">
        <v>-2.82</v>
      </c>
      <c r="H25" s="80">
        <v>-2.4</v>
      </c>
      <c r="J25" s="682" t="s">
        <v>1198</v>
      </c>
      <c r="K25" s="682" t="s">
        <v>2247</v>
      </c>
      <c r="L25" s="541">
        <v>0.16489999999999999</v>
      </c>
      <c r="M25" s="251">
        <v>0.25469999999999998</v>
      </c>
      <c r="N25" s="251">
        <v>0.54430000000000001</v>
      </c>
      <c r="O25" s="575">
        <v>3.61E-2</v>
      </c>
    </row>
    <row r="26" spans="2:15" x14ac:dyDescent="0.3">
      <c r="B26" s="676" t="s">
        <v>439</v>
      </c>
      <c r="C26" s="677" t="s">
        <v>244</v>
      </c>
      <c r="D26" s="428">
        <v>0</v>
      </c>
      <c r="E26" s="678">
        <v>29.58</v>
      </c>
      <c r="F26" s="679">
        <v>29.85</v>
      </c>
      <c r="G26" s="680">
        <v>-2.7</v>
      </c>
      <c r="H26" s="80">
        <v>-2.37</v>
      </c>
      <c r="J26" s="682" t="s">
        <v>1198</v>
      </c>
      <c r="K26" s="682" t="s">
        <v>2248</v>
      </c>
      <c r="L26" s="541">
        <v>0</v>
      </c>
      <c r="M26" s="251">
        <v>0.53690000000000004</v>
      </c>
      <c r="N26" s="251">
        <v>0.40739999999999998</v>
      </c>
      <c r="O26" s="575">
        <v>5.57E-2</v>
      </c>
    </row>
    <row r="27" spans="2:15" x14ac:dyDescent="0.3">
      <c r="B27" s="676" t="s">
        <v>440</v>
      </c>
      <c r="C27" s="677" t="s">
        <v>243</v>
      </c>
      <c r="D27" s="428">
        <v>0</v>
      </c>
      <c r="E27" s="678">
        <v>29.78</v>
      </c>
      <c r="F27" s="679">
        <v>30.02</v>
      </c>
      <c r="G27" s="680">
        <v>-2.2000000000000002</v>
      </c>
      <c r="H27" s="80">
        <v>-1.85</v>
      </c>
      <c r="J27" s="682" t="s">
        <v>1198</v>
      </c>
      <c r="K27" s="682" t="s">
        <v>2249</v>
      </c>
      <c r="L27" s="541">
        <v>4.0500000000000001E-2</v>
      </c>
      <c r="M27" s="251">
        <v>0.1132</v>
      </c>
      <c r="N27" s="251">
        <v>0.79730000000000001</v>
      </c>
      <c r="O27" s="575">
        <v>6.3E-3</v>
      </c>
    </row>
    <row r="28" spans="2:15" x14ac:dyDescent="0.3">
      <c r="B28" s="676" t="s">
        <v>441</v>
      </c>
      <c r="C28" s="677" t="s">
        <v>246</v>
      </c>
      <c r="D28" s="428">
        <v>0</v>
      </c>
      <c r="E28" s="678">
        <v>29.61</v>
      </c>
      <c r="F28" s="679">
        <v>29.82</v>
      </c>
      <c r="G28" s="680">
        <v>-2.15</v>
      </c>
      <c r="H28" s="80">
        <v>-1.73</v>
      </c>
      <c r="J28" s="682" t="s">
        <v>1198</v>
      </c>
      <c r="K28" s="682" t="s">
        <v>2250</v>
      </c>
      <c r="L28" s="541">
        <v>0.18659999999999999</v>
      </c>
      <c r="M28" s="251">
        <v>0.1565</v>
      </c>
      <c r="N28" s="251">
        <v>0.1298</v>
      </c>
      <c r="O28" s="575">
        <v>0.52700000000000002</v>
      </c>
    </row>
    <row r="29" spans="2:15" x14ac:dyDescent="0.3">
      <c r="B29" s="676" t="s">
        <v>428</v>
      </c>
      <c r="C29" s="677" t="s">
        <v>242</v>
      </c>
      <c r="D29" s="428">
        <v>0</v>
      </c>
      <c r="E29" s="678">
        <v>29.26</v>
      </c>
      <c r="F29" s="679">
        <v>29.67</v>
      </c>
      <c r="G29" s="680">
        <v>-2.6</v>
      </c>
      <c r="H29" s="80">
        <v>-2.2000000000000002</v>
      </c>
      <c r="J29" s="682" t="s">
        <v>1198</v>
      </c>
      <c r="K29" s="682" t="s">
        <v>2251</v>
      </c>
      <c r="L29" s="541">
        <v>0.2482</v>
      </c>
      <c r="M29" s="251">
        <v>1.4E-3</v>
      </c>
      <c r="N29" s="251">
        <v>0.74870000000000003</v>
      </c>
      <c r="O29" s="575">
        <v>1.6999999999999999E-3</v>
      </c>
    </row>
    <row r="30" spans="2:15" x14ac:dyDescent="0.3">
      <c r="B30" s="676" t="s">
        <v>429</v>
      </c>
      <c r="C30" s="677" t="s">
        <v>245</v>
      </c>
      <c r="D30" s="428">
        <v>0</v>
      </c>
      <c r="E30" s="678">
        <v>29.58</v>
      </c>
      <c r="F30" s="679">
        <v>29.98</v>
      </c>
      <c r="G30" s="680">
        <v>-2.46</v>
      </c>
      <c r="H30" s="80">
        <v>-2.23</v>
      </c>
      <c r="J30" s="682" t="s">
        <v>1198</v>
      </c>
      <c r="K30" s="682" t="s">
        <v>2252</v>
      </c>
      <c r="L30" s="541">
        <v>0.2031</v>
      </c>
      <c r="M30" s="251">
        <v>4.3E-3</v>
      </c>
      <c r="N30" s="251">
        <v>0.41220000000000001</v>
      </c>
      <c r="O30" s="575">
        <v>0.38030000000000003</v>
      </c>
    </row>
    <row r="31" spans="2:15" x14ac:dyDescent="0.3">
      <c r="B31" s="676" t="s">
        <v>421</v>
      </c>
      <c r="C31" s="677" t="s">
        <v>241</v>
      </c>
      <c r="D31" s="428">
        <v>0</v>
      </c>
      <c r="E31" s="678">
        <v>29.33</v>
      </c>
      <c r="F31" s="679">
        <v>29.75</v>
      </c>
      <c r="G31" s="680">
        <v>-2.84</v>
      </c>
      <c r="H31" s="80">
        <v>-2.5299999999999998</v>
      </c>
      <c r="J31" s="682" t="s">
        <v>1198</v>
      </c>
      <c r="K31" s="682" t="s">
        <v>2253</v>
      </c>
      <c r="L31" s="541">
        <v>0</v>
      </c>
      <c r="M31" s="251">
        <v>0.1389</v>
      </c>
      <c r="N31" s="251">
        <v>0.63229999999999997</v>
      </c>
      <c r="O31" s="575">
        <v>0.22839999999999999</v>
      </c>
    </row>
    <row r="32" spans="2:15" x14ac:dyDescent="0.3">
      <c r="B32" s="676" t="s">
        <v>416</v>
      </c>
      <c r="C32" s="677" t="s">
        <v>1196</v>
      </c>
      <c r="D32" s="428">
        <v>1</v>
      </c>
      <c r="E32" s="678">
        <v>28.86</v>
      </c>
      <c r="F32" s="679">
        <v>29.99</v>
      </c>
      <c r="G32" s="680">
        <v>-2.74</v>
      </c>
      <c r="H32" s="80">
        <v>-1.51</v>
      </c>
      <c r="I32" s="681">
        <v>8</v>
      </c>
      <c r="J32" s="682" t="s">
        <v>412</v>
      </c>
      <c r="L32" s="541">
        <v>0.1388875</v>
      </c>
      <c r="M32" s="251">
        <v>0.51853749999999998</v>
      </c>
      <c r="N32" s="251">
        <v>0.31973750000000001</v>
      </c>
      <c r="O32" s="575">
        <v>2.2875E-2</v>
      </c>
    </row>
    <row r="33" spans="2:15" x14ac:dyDescent="0.3">
      <c r="B33" s="676" t="s">
        <v>442</v>
      </c>
      <c r="C33" s="677" t="s">
        <v>233</v>
      </c>
      <c r="D33" s="428">
        <v>0</v>
      </c>
      <c r="E33" s="678">
        <v>29.56</v>
      </c>
      <c r="F33" s="679">
        <v>29.99</v>
      </c>
      <c r="G33" s="680">
        <v>-2.29</v>
      </c>
      <c r="H33" s="80">
        <v>-2.1</v>
      </c>
      <c r="J33" s="682" t="s">
        <v>416</v>
      </c>
      <c r="K33" s="682" t="s">
        <v>2254</v>
      </c>
      <c r="L33" s="541">
        <v>1.47E-2</v>
      </c>
      <c r="M33" s="251">
        <v>0.31929999999999997</v>
      </c>
      <c r="N33" s="251">
        <v>0.65610000000000002</v>
      </c>
      <c r="O33" s="575">
        <v>9.9000000000000008E-3</v>
      </c>
    </row>
    <row r="34" spans="2:15" x14ac:dyDescent="0.3">
      <c r="B34" s="676" t="s">
        <v>417</v>
      </c>
      <c r="C34" s="677" t="s">
        <v>235</v>
      </c>
      <c r="D34" s="428">
        <v>0</v>
      </c>
      <c r="E34" s="678">
        <v>29.25</v>
      </c>
      <c r="F34" s="679">
        <v>29.62</v>
      </c>
      <c r="G34" s="680">
        <v>-2.3199999999999998</v>
      </c>
      <c r="H34" s="80">
        <v>-2.02</v>
      </c>
      <c r="J34" s="682" t="s">
        <v>416</v>
      </c>
      <c r="K34" s="682" t="s">
        <v>2255</v>
      </c>
      <c r="L34" s="541">
        <v>0.2203</v>
      </c>
      <c r="M34" s="251">
        <v>0.36009999999999998</v>
      </c>
      <c r="N34" s="251">
        <v>0.41970000000000002</v>
      </c>
      <c r="O34" s="575">
        <v>0</v>
      </c>
    </row>
    <row r="35" spans="2:15" x14ac:dyDescent="0.3">
      <c r="B35" s="676" t="s">
        <v>436</v>
      </c>
      <c r="C35" s="677" t="s">
        <v>239</v>
      </c>
      <c r="D35" s="428">
        <v>0</v>
      </c>
      <c r="E35" s="678">
        <v>29.4</v>
      </c>
      <c r="F35" s="679">
        <v>29.68</v>
      </c>
      <c r="G35" s="680">
        <v>-2.09</v>
      </c>
      <c r="H35" s="80">
        <v>-1.72</v>
      </c>
      <c r="J35" s="682" t="s">
        <v>416</v>
      </c>
      <c r="K35" s="682" t="s">
        <v>2256</v>
      </c>
      <c r="L35" s="541">
        <v>0.3483</v>
      </c>
      <c r="M35" s="251">
        <v>0.3846</v>
      </c>
      <c r="N35" s="251">
        <v>0.2651</v>
      </c>
      <c r="O35" s="575">
        <v>2E-3</v>
      </c>
    </row>
    <row r="36" spans="2:15" x14ac:dyDescent="0.3">
      <c r="B36" s="676" t="s">
        <v>437</v>
      </c>
      <c r="C36" s="677" t="s">
        <v>238</v>
      </c>
      <c r="D36" s="428">
        <v>0</v>
      </c>
      <c r="E36" s="678">
        <v>29.38</v>
      </c>
      <c r="F36" s="679">
        <v>29.64</v>
      </c>
      <c r="G36" s="680">
        <v>-1.78</v>
      </c>
      <c r="H36" s="80">
        <v>-1.51</v>
      </c>
      <c r="J36" s="682" t="s">
        <v>416</v>
      </c>
      <c r="K36" s="682" t="s">
        <v>2257</v>
      </c>
      <c r="L36" s="541">
        <v>0.26469999999999999</v>
      </c>
      <c r="M36" s="251">
        <v>0.30120000000000002</v>
      </c>
      <c r="N36" s="251">
        <v>0.34260000000000002</v>
      </c>
      <c r="O36" s="575">
        <v>9.1499999999999998E-2</v>
      </c>
    </row>
    <row r="37" spans="2:15" x14ac:dyDescent="0.3">
      <c r="B37" s="676" t="s">
        <v>443</v>
      </c>
      <c r="C37" s="677" t="s">
        <v>236</v>
      </c>
      <c r="D37" s="428">
        <v>0</v>
      </c>
      <c r="E37" s="678">
        <v>28.96</v>
      </c>
      <c r="F37" s="679">
        <v>29.34</v>
      </c>
      <c r="G37" s="680">
        <v>-2.57</v>
      </c>
      <c r="H37" s="80">
        <v>-2.15</v>
      </c>
      <c r="J37" s="682" t="s">
        <v>416</v>
      </c>
      <c r="K37" s="682" t="s">
        <v>2258</v>
      </c>
      <c r="L37" s="541">
        <v>0</v>
      </c>
      <c r="M37" s="251">
        <v>0.90159999999999996</v>
      </c>
      <c r="N37" s="251">
        <v>5.8500000000000003E-2</v>
      </c>
      <c r="O37" s="575">
        <v>3.9899999999999998E-2</v>
      </c>
    </row>
    <row r="38" spans="2:15" x14ac:dyDescent="0.3">
      <c r="B38" s="676" t="s">
        <v>444</v>
      </c>
      <c r="C38" s="677" t="s">
        <v>232</v>
      </c>
      <c r="D38" s="428">
        <v>0</v>
      </c>
      <c r="E38" s="678">
        <v>29.24</v>
      </c>
      <c r="F38" s="679">
        <v>29.44</v>
      </c>
      <c r="G38" s="680">
        <v>-1.77</v>
      </c>
      <c r="H38" s="80">
        <v>-1.51</v>
      </c>
      <c r="J38" s="682" t="s">
        <v>416</v>
      </c>
      <c r="K38" s="682" t="s">
        <v>2259</v>
      </c>
      <c r="L38" s="541">
        <v>0.18720000000000001</v>
      </c>
      <c r="M38" s="251">
        <v>0.39829999999999999</v>
      </c>
      <c r="N38" s="251">
        <v>0.4073</v>
      </c>
      <c r="O38" s="575">
        <v>7.3000000000000001E-3</v>
      </c>
    </row>
    <row r="39" spans="2:15" x14ac:dyDescent="0.3">
      <c r="B39" s="676" t="s">
        <v>430</v>
      </c>
      <c r="C39" s="677" t="s">
        <v>234</v>
      </c>
      <c r="D39" s="428">
        <v>0</v>
      </c>
      <c r="E39" s="678">
        <v>28.86</v>
      </c>
      <c r="F39" s="679">
        <v>29.37</v>
      </c>
      <c r="G39" s="680">
        <v>-2.74</v>
      </c>
      <c r="H39" s="80">
        <v>-2.37</v>
      </c>
      <c r="J39" s="682" t="s">
        <v>416</v>
      </c>
      <c r="K39" s="682" t="s">
        <v>2260</v>
      </c>
      <c r="L39" s="541">
        <v>0</v>
      </c>
      <c r="M39" s="251">
        <v>0.83440000000000003</v>
      </c>
      <c r="N39" s="251">
        <v>0.13320000000000001</v>
      </c>
      <c r="O39" s="575">
        <v>3.2399999999999998E-2</v>
      </c>
    </row>
    <row r="40" spans="2:15" x14ac:dyDescent="0.3">
      <c r="B40" s="676" t="s">
        <v>438</v>
      </c>
      <c r="C40" s="677" t="s">
        <v>237</v>
      </c>
      <c r="D40" s="428">
        <v>0</v>
      </c>
      <c r="E40" s="678">
        <v>29.14</v>
      </c>
      <c r="F40" s="679">
        <v>29.57</v>
      </c>
      <c r="G40" s="680">
        <v>-2.0699999999999998</v>
      </c>
      <c r="H40" s="80">
        <v>-1.73</v>
      </c>
      <c r="J40" s="682" t="s">
        <v>416</v>
      </c>
      <c r="K40" s="682" t="s">
        <v>2261</v>
      </c>
      <c r="L40" s="541">
        <v>7.5899999999999995E-2</v>
      </c>
      <c r="M40" s="251">
        <v>0.64880000000000004</v>
      </c>
      <c r="N40" s="251">
        <v>0.27539999999999998</v>
      </c>
      <c r="O40" s="575">
        <v>0</v>
      </c>
    </row>
  </sheetData>
  <sheetProtection algorithmName="SHA-512" hashValue="UN5+yqo+3rICcxdcq0tMq+veejNFcKtpGZuBC7TgAKpCs4OkDD1D1Tn5NhDcg+35krreIHQjJ0/f2D80tNo6Ng==" saltValue="rPezEV2VQ+2JiaUONI6DNg==" spinCount="100000" sheet="1" objects="1" scenarios="1" selectLockedCells="1"/>
  <dataValidations count="5">
    <dataValidation type="whole" operator="greaterThanOrEqual" allowBlank="1" showInputMessage="1" showErrorMessage="1" errorTitle="CleanCooking-inputs" error="Value must be integer and non-negative." sqref="D5:D1048576" xr:uid="{456FD247-7F62-41E4-86DE-D69DE151A075}">
      <formula1>0</formula1>
    </dataValidation>
    <dataValidation type="decimal" allowBlank="1" showInputMessage="1" showErrorMessage="1" errorTitle="CleanCooking-inputs" error="Longitude values are between [-90,90]." sqref="E5:F1048576" xr:uid="{0BA4B4BA-7C99-474C-BF5D-E3CCAF04ADF4}">
      <formula1>-90</formula1>
      <formula2>90</formula2>
    </dataValidation>
    <dataValidation type="decimal" allowBlank="1" showInputMessage="1" showErrorMessage="1" errorTitle="CleanCooking-inputs" error="Latitude values are between [-180,180]." sqref="G5:H1048576" xr:uid="{978FA6EB-763A-400B-BB10-99E3235DFCA8}">
      <formula1>-180</formula1>
      <formula2>180</formula2>
    </dataValidation>
    <dataValidation type="whole" operator="greaterThanOrEqual" allowBlank="1" showInputMessage="1" showErrorMessage="1" errorTitle="CleanCooking-inputs" error="Number of dependents must be a non-negative integer." sqref="I5:I1048576" xr:uid="{4AEB275F-BAC8-43BE-A031-B17FD940276D}">
      <formula1>0</formula1>
    </dataValidation>
    <dataValidation type="decimal" allowBlank="1" showInputMessage="1" showErrorMessage="1" errorTitle="CleanCooking-inputs" error="Land cover percentages must be between 0% and 100%." sqref="L5:O1048576" xr:uid="{B8D24FC9-22A1-4020-B8CB-A670BCB9011B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A7BF6-0668-46D7-9977-46215DF3B93F}">
  <sheetPr codeName="Sheet22">
    <tabColor theme="8" tint="0.59999389629810485"/>
  </sheetPr>
  <dimension ref="A1:K101"/>
  <sheetViews>
    <sheetView showRowColHeaders="0" zoomScaleNormal="100" workbookViewId="0">
      <selection activeCell="C24" sqref="C24"/>
    </sheetView>
  </sheetViews>
  <sheetFormatPr defaultColWidth="8.88671875" defaultRowHeight="14.4" x14ac:dyDescent="0.3"/>
  <cols>
    <col min="1" max="1" width="6.77734375" style="210" customWidth="1"/>
    <col min="2" max="2" width="23.77734375" style="210" customWidth="1"/>
    <col min="3" max="16384" width="8.88671875" style="210"/>
  </cols>
  <sheetData>
    <row r="1" spans="1:10" s="4" customFormat="1" ht="70.2" customHeight="1" thickBot="1" x14ac:dyDescent="0.35">
      <c r="A1" s="3" t="s">
        <v>2090</v>
      </c>
      <c r="B1" s="10"/>
    </row>
    <row r="2" spans="1:10" s="2" customFormat="1" ht="13.95" customHeight="1" thickTop="1" x14ac:dyDescent="0.3">
      <c r="A2" s="5"/>
      <c r="B2" s="6"/>
    </row>
    <row r="3" spans="1:10" s="2" customFormat="1" ht="13.95" customHeight="1" x14ac:dyDescent="0.3">
      <c r="A3" s="5"/>
      <c r="B3" s="643" t="s">
        <v>380</v>
      </c>
      <c r="C3" s="50"/>
      <c r="D3" s="50"/>
      <c r="E3" s="50"/>
      <c r="F3" s="50"/>
      <c r="G3" s="50"/>
      <c r="H3" s="50"/>
      <c r="I3" s="50"/>
      <c r="J3" s="51"/>
    </row>
    <row r="4" spans="1:10" s="2" customFormat="1" ht="13.95" customHeight="1" x14ac:dyDescent="0.3">
      <c r="A4" s="5"/>
      <c r="B4" s="318" t="s">
        <v>381</v>
      </c>
      <c r="C4" s="9"/>
      <c r="D4" s="9"/>
      <c r="E4" s="9"/>
      <c r="F4" s="9"/>
      <c r="G4" s="9"/>
      <c r="H4" s="9"/>
      <c r="I4" s="9"/>
      <c r="J4" s="52"/>
    </row>
    <row r="5" spans="1:10" s="2" customFormat="1" ht="13.95" customHeight="1" x14ac:dyDescent="0.3">
      <c r="A5" s="5"/>
      <c r="B5" s="318" t="s">
        <v>384</v>
      </c>
      <c r="C5" s="9"/>
      <c r="D5" s="9"/>
      <c r="E5" s="9"/>
      <c r="F5" s="9"/>
      <c r="G5" s="9"/>
      <c r="H5" s="9"/>
      <c r="I5" s="9"/>
      <c r="J5" s="52"/>
    </row>
    <row r="6" spans="1:10" s="2" customFormat="1" ht="13.95" customHeight="1" x14ac:dyDescent="0.3">
      <c r="A6" s="5"/>
      <c r="B6" s="318" t="s">
        <v>2091</v>
      </c>
      <c r="C6" s="9"/>
      <c r="D6" s="9"/>
      <c r="E6" s="9"/>
      <c r="F6" s="9"/>
      <c r="G6" s="9"/>
      <c r="H6" s="9"/>
      <c r="I6" s="9"/>
      <c r="J6" s="52"/>
    </row>
    <row r="7" spans="1:10" s="2" customFormat="1" ht="13.95" customHeight="1" x14ac:dyDescent="0.3">
      <c r="A7" s="5"/>
      <c r="B7" s="53" t="s">
        <v>2092</v>
      </c>
      <c r="C7" s="9"/>
      <c r="D7" s="9"/>
      <c r="E7" s="9"/>
      <c r="F7" s="9"/>
      <c r="G7" s="9"/>
      <c r="H7" s="9"/>
      <c r="I7" s="9"/>
      <c r="J7" s="52"/>
    </row>
    <row r="8" spans="1:10" s="2" customFormat="1" ht="13.95" customHeight="1" x14ac:dyDescent="0.3">
      <c r="A8" s="5"/>
      <c r="B8" s="318" t="s">
        <v>385</v>
      </c>
      <c r="C8" s="9"/>
      <c r="D8" s="9"/>
      <c r="E8" s="9"/>
      <c r="F8" s="9"/>
      <c r="G8" s="9"/>
      <c r="H8" s="9"/>
      <c r="I8" s="9"/>
      <c r="J8" s="52"/>
    </row>
    <row r="9" spans="1:10" s="2" customFormat="1" ht="13.95" customHeight="1" x14ac:dyDescent="0.3">
      <c r="A9" s="5"/>
      <c r="B9" s="176" t="s">
        <v>2093</v>
      </c>
      <c r="C9" s="9"/>
      <c r="D9" s="9"/>
      <c r="E9" s="9"/>
      <c r="F9" s="9"/>
      <c r="G9" s="9"/>
      <c r="H9" s="9"/>
      <c r="I9" s="9"/>
      <c r="J9" s="52"/>
    </row>
    <row r="10" spans="1:10" s="2" customFormat="1" ht="13.95" customHeight="1" x14ac:dyDescent="0.3">
      <c r="A10" s="5"/>
      <c r="B10" s="644" t="s">
        <v>2094</v>
      </c>
      <c r="C10" s="54"/>
      <c r="D10" s="54"/>
      <c r="E10" s="54"/>
      <c r="F10" s="54"/>
      <c r="G10" s="54"/>
      <c r="H10" s="54"/>
      <c r="I10" s="54"/>
      <c r="J10" s="55"/>
    </row>
    <row r="11" spans="1:10" s="858" customFormat="1" ht="13.95" customHeight="1" x14ac:dyDescent="0.3">
      <c r="A11" s="856"/>
      <c r="B11" s="857"/>
    </row>
    <row r="12" spans="1:10" s="240" customFormat="1" ht="15" thickBot="1" x14ac:dyDescent="0.35"/>
    <row r="13" spans="1:10" ht="15" thickTop="1" x14ac:dyDescent="0.3">
      <c r="B13" s="31" t="s">
        <v>328</v>
      </c>
      <c r="C13" s="713">
        <v>4</v>
      </c>
      <c r="G13" s="320" t="s">
        <v>386</v>
      </c>
      <c r="H13" s="312"/>
      <c r="I13" s="312"/>
      <c r="J13" s="321"/>
    </row>
    <row r="14" spans="1:10" x14ac:dyDescent="0.3">
      <c r="B14" s="18" t="s">
        <v>329</v>
      </c>
      <c r="C14" s="714">
        <v>3</v>
      </c>
      <c r="G14" s="322" t="s">
        <v>387</v>
      </c>
      <c r="H14" s="307"/>
      <c r="I14" s="307"/>
      <c r="J14" s="323"/>
    </row>
    <row r="15" spans="1:10" ht="15" thickBot="1" x14ac:dyDescent="0.35">
      <c r="B15" s="18" t="s">
        <v>335</v>
      </c>
      <c r="C15" s="714">
        <v>2</v>
      </c>
      <c r="G15" s="324" t="s">
        <v>388</v>
      </c>
      <c r="H15" s="325"/>
      <c r="I15" s="325"/>
      <c r="J15" s="326"/>
    </row>
    <row r="16" spans="1:10" ht="15" thickTop="1" x14ac:dyDescent="0.3">
      <c r="B16" s="31" t="s">
        <v>320</v>
      </c>
      <c r="C16" s="713">
        <v>3</v>
      </c>
    </row>
    <row r="17" spans="1:11" ht="15" thickBot="1" x14ac:dyDescent="0.35">
      <c r="B17" s="18" t="s">
        <v>321</v>
      </c>
      <c r="C17" s="316">
        <v>2025</v>
      </c>
    </row>
    <row r="18" spans="1:11" ht="15.6" thickTop="1" thickBot="1" x14ac:dyDescent="0.35">
      <c r="B18" s="241" t="s">
        <v>382</v>
      </c>
      <c r="C18" s="242">
        <v>5</v>
      </c>
      <c r="D18" s="233">
        <v>3</v>
      </c>
      <c r="E18" s="233">
        <v>5</v>
      </c>
      <c r="F18" s="266"/>
    </row>
    <row r="19" spans="1:11" ht="15.6" thickTop="1" thickBot="1" x14ac:dyDescent="0.35">
      <c r="B19" s="317" t="s">
        <v>383</v>
      </c>
      <c r="C19" s="315">
        <f>C17+C18</f>
        <v>2030</v>
      </c>
      <c r="D19" s="314">
        <f>C19+D18</f>
        <v>2033</v>
      </c>
      <c r="E19" s="314">
        <f>D19+E18</f>
        <v>2038</v>
      </c>
      <c r="F19" s="266"/>
    </row>
    <row r="20" spans="1:11" s="239" customFormat="1" ht="15" thickTop="1" x14ac:dyDescent="0.3">
      <c r="F20" s="210"/>
      <c r="G20" s="210"/>
      <c r="H20" s="210"/>
      <c r="I20" s="210"/>
      <c r="J20" s="210"/>
      <c r="K20" s="210"/>
    </row>
    <row r="21" spans="1:11" s="240" customFormat="1" ht="15" thickBot="1" x14ac:dyDescent="0.35"/>
    <row r="22" spans="1:11" ht="15.6" thickTop="1" thickBot="1" x14ac:dyDescent="0.35">
      <c r="B22" s="234" t="s">
        <v>345</v>
      </c>
      <c r="E22" s="774"/>
      <c r="F22" s="774"/>
    </row>
    <row r="23" spans="1:11" ht="15" thickTop="1" x14ac:dyDescent="0.3">
      <c r="B23" s="213" t="s">
        <v>324</v>
      </c>
      <c r="C23" s="214">
        <v>10</v>
      </c>
      <c r="D23" s="286"/>
      <c r="E23" s="332">
        <v>11</v>
      </c>
      <c r="F23" s="286"/>
      <c r="G23" s="332">
        <v>12</v>
      </c>
      <c r="H23" s="286"/>
      <c r="I23" s="332">
        <v>13</v>
      </c>
      <c r="J23" s="280"/>
      <c r="K23" s="266"/>
    </row>
    <row r="24" spans="1:11" ht="15" thickBot="1" x14ac:dyDescent="0.35">
      <c r="B24" s="212" t="s">
        <v>212</v>
      </c>
      <c r="C24" s="245" t="s">
        <v>325</v>
      </c>
      <c r="D24" s="285"/>
      <c r="E24" s="247" t="s">
        <v>330</v>
      </c>
      <c r="F24" s="285"/>
      <c r="G24" s="247" t="s">
        <v>331</v>
      </c>
      <c r="H24" s="285"/>
      <c r="I24" s="247" t="s">
        <v>332</v>
      </c>
      <c r="J24" s="281"/>
      <c r="K24" s="266"/>
    </row>
    <row r="25" spans="1:11" ht="15.6" thickTop="1" thickBot="1" x14ac:dyDescent="0.35">
      <c r="B25" s="284" t="s">
        <v>347</v>
      </c>
      <c r="C25" s="281"/>
      <c r="D25" s="285"/>
      <c r="E25" s="300"/>
      <c r="F25" s="285"/>
      <c r="G25" s="300"/>
      <c r="H25" s="285"/>
      <c r="I25" s="300"/>
      <c r="J25" s="281"/>
      <c r="K25" s="266"/>
    </row>
    <row r="26" spans="1:11" ht="15" thickTop="1" x14ac:dyDescent="0.3">
      <c r="A26" s="259"/>
      <c r="B26" s="32" t="str">
        <f>Internal!M2</f>
        <v>Electricity</v>
      </c>
      <c r="C26" s="235">
        <v>0.45</v>
      </c>
      <c r="D26" s="285"/>
      <c r="E26" s="237">
        <v>0.5</v>
      </c>
      <c r="F26" s="285"/>
      <c r="G26" s="237">
        <v>0.5</v>
      </c>
      <c r="H26" s="285"/>
      <c r="I26" s="237">
        <v>0.56999999999999995</v>
      </c>
      <c r="J26" s="281"/>
      <c r="K26" s="266"/>
    </row>
    <row r="27" spans="1:11" ht="15" thickBot="1" x14ac:dyDescent="0.35">
      <c r="A27" s="259"/>
      <c r="B27" s="34" t="str">
        <f>Internal!M3</f>
        <v>LPG</v>
      </c>
      <c r="C27" s="236">
        <v>0.4</v>
      </c>
      <c r="D27" s="285"/>
      <c r="E27" s="238">
        <v>0.4</v>
      </c>
      <c r="F27" s="285"/>
      <c r="G27" s="238">
        <v>0.43</v>
      </c>
      <c r="H27" s="285"/>
      <c r="I27" s="238">
        <v>0.6</v>
      </c>
      <c r="J27" s="281"/>
      <c r="K27" s="266"/>
    </row>
    <row r="28" spans="1:11" ht="15.6" thickTop="1" thickBot="1" x14ac:dyDescent="0.35">
      <c r="B28" s="271" t="s">
        <v>4</v>
      </c>
      <c r="C28" s="281"/>
      <c r="D28" s="275"/>
      <c r="E28" s="276"/>
      <c r="F28" s="275"/>
      <c r="G28" s="276"/>
      <c r="H28" s="275"/>
      <c r="I28" s="276"/>
      <c r="J28" s="277"/>
      <c r="K28" s="266"/>
    </row>
    <row r="29" spans="1:11" ht="15.6" thickTop="1" thickBot="1" x14ac:dyDescent="0.35">
      <c r="B29" s="272" t="s">
        <v>348</v>
      </c>
      <c r="C29" s="221" t="s">
        <v>326</v>
      </c>
      <c r="D29" s="223" t="s">
        <v>114</v>
      </c>
      <c r="E29" s="221" t="s">
        <v>326</v>
      </c>
      <c r="F29" s="223" t="s">
        <v>114</v>
      </c>
      <c r="G29" s="221" t="s">
        <v>326</v>
      </c>
      <c r="H29" s="223" t="s">
        <v>114</v>
      </c>
      <c r="I29" s="221" t="s">
        <v>326</v>
      </c>
      <c r="J29" s="222" t="s">
        <v>114</v>
      </c>
      <c r="K29" s="266"/>
    </row>
    <row r="30" spans="1:11" ht="15" thickTop="1" x14ac:dyDescent="0.3">
      <c r="A30" s="259">
        <f>Internal!L2</f>
        <v>1</v>
      </c>
      <c r="B30" s="32" t="str">
        <f>Internal!M2</f>
        <v>Electricity</v>
      </c>
      <c r="C30" s="228">
        <v>0.7</v>
      </c>
      <c r="D30" s="229">
        <v>0.7</v>
      </c>
      <c r="E30" s="252">
        <v>0.7</v>
      </c>
      <c r="F30" s="229">
        <v>0.7</v>
      </c>
      <c r="G30" s="252">
        <v>0.7</v>
      </c>
      <c r="H30" s="229">
        <v>0.7</v>
      </c>
      <c r="I30" s="252">
        <v>0.7</v>
      </c>
      <c r="J30" s="227">
        <v>0.7</v>
      </c>
      <c r="K30" s="266"/>
    </row>
    <row r="31" spans="1:11" x14ac:dyDescent="0.3">
      <c r="A31" s="259">
        <f>Internal!L3</f>
        <v>2</v>
      </c>
      <c r="B31" s="33" t="str">
        <f>Internal!M3</f>
        <v>LPG</v>
      </c>
      <c r="C31" s="230">
        <v>0.8</v>
      </c>
      <c r="D31" s="226">
        <v>0.8</v>
      </c>
      <c r="E31" s="253">
        <v>0.8</v>
      </c>
      <c r="F31" s="226">
        <v>0.8</v>
      </c>
      <c r="G31" s="253">
        <v>0.8</v>
      </c>
      <c r="H31" s="226">
        <v>0.8</v>
      </c>
      <c r="I31" s="253">
        <v>0.8</v>
      </c>
      <c r="J31" s="251">
        <v>0.8</v>
      </c>
      <c r="K31" s="266"/>
    </row>
    <row r="32" spans="1:11" x14ac:dyDescent="0.3">
      <c r="A32" s="259">
        <f>Internal!L4</f>
        <v>3</v>
      </c>
      <c r="B32" s="211" t="str">
        <f>Internal!M4</f>
        <v>Biogas</v>
      </c>
      <c r="C32" s="225">
        <v>0.7</v>
      </c>
      <c r="D32" s="226">
        <v>0.8</v>
      </c>
      <c r="E32" s="253">
        <v>0.7</v>
      </c>
      <c r="F32" s="226">
        <v>0.8</v>
      </c>
      <c r="G32" s="253">
        <v>0.7</v>
      </c>
      <c r="H32" s="226">
        <v>0.8</v>
      </c>
      <c r="I32" s="253">
        <v>0.7</v>
      </c>
      <c r="J32" s="251">
        <v>0.8</v>
      </c>
      <c r="K32" s="266"/>
    </row>
    <row r="33" spans="1:11" x14ac:dyDescent="0.3">
      <c r="A33" s="259">
        <f>Internal!L5</f>
        <v>4</v>
      </c>
      <c r="B33" s="211" t="str">
        <f>Internal!M5</f>
        <v>Charcoal</v>
      </c>
      <c r="C33" s="225">
        <v>0.8</v>
      </c>
      <c r="D33" s="226">
        <v>1</v>
      </c>
      <c r="E33" s="253">
        <v>0.8</v>
      </c>
      <c r="F33" s="226">
        <v>1</v>
      </c>
      <c r="G33" s="253">
        <v>0.8</v>
      </c>
      <c r="H33" s="226">
        <v>1</v>
      </c>
      <c r="I33" s="253">
        <v>0.8</v>
      </c>
      <c r="J33" s="251">
        <v>1</v>
      </c>
      <c r="K33" s="266"/>
    </row>
    <row r="34" spans="1:11" x14ac:dyDescent="0.3">
      <c r="A34" s="259">
        <f>Internal!L6</f>
        <v>5</v>
      </c>
      <c r="B34" s="211" t="str">
        <f>Internal!M6</f>
        <v>Com-Firewood</v>
      </c>
      <c r="C34" s="225">
        <v>0.8</v>
      </c>
      <c r="D34" s="226">
        <v>0.9</v>
      </c>
      <c r="E34" s="253">
        <v>0.8</v>
      </c>
      <c r="F34" s="226">
        <v>0.9</v>
      </c>
      <c r="G34" s="253">
        <v>0.8</v>
      </c>
      <c r="H34" s="226">
        <v>0.9</v>
      </c>
      <c r="I34" s="253">
        <v>0.8</v>
      </c>
      <c r="J34" s="251">
        <v>0.9</v>
      </c>
      <c r="K34" s="266"/>
    </row>
    <row r="35" spans="1:11" x14ac:dyDescent="0.3">
      <c r="A35" s="259">
        <f>Internal!L7</f>
        <v>6</v>
      </c>
      <c r="B35" s="211" t="str">
        <f>Internal!M7</f>
        <v>Free-Biomass</v>
      </c>
      <c r="C35" s="225">
        <v>0.4</v>
      </c>
      <c r="D35" s="226">
        <v>0.8</v>
      </c>
      <c r="E35" s="253">
        <v>0.4</v>
      </c>
      <c r="F35" s="226">
        <v>0.8</v>
      </c>
      <c r="G35" s="253">
        <v>0.4</v>
      </c>
      <c r="H35" s="226">
        <v>0.8</v>
      </c>
      <c r="I35" s="253">
        <v>0.4</v>
      </c>
      <c r="J35" s="251">
        <v>0.8</v>
      </c>
      <c r="K35" s="266"/>
    </row>
    <row r="36" spans="1:11" x14ac:dyDescent="0.3">
      <c r="A36" s="259">
        <f>Internal!L8</f>
        <v>7</v>
      </c>
      <c r="B36" s="211" t="str">
        <f>Internal!M8</f>
        <v>Pellets</v>
      </c>
      <c r="C36" s="225">
        <v>0.7</v>
      </c>
      <c r="D36" s="226">
        <v>0.5</v>
      </c>
      <c r="E36" s="253">
        <v>0.7</v>
      </c>
      <c r="F36" s="226">
        <v>0.5</v>
      </c>
      <c r="G36" s="253">
        <v>0.7</v>
      </c>
      <c r="H36" s="226">
        <v>0.5</v>
      </c>
      <c r="I36" s="253">
        <v>0.7</v>
      </c>
      <c r="J36" s="251">
        <v>0.5</v>
      </c>
      <c r="K36" s="266"/>
    </row>
    <row r="37" spans="1:11" x14ac:dyDescent="0.3">
      <c r="A37" s="259">
        <f>Internal!L9</f>
        <v>8</v>
      </c>
      <c r="B37" s="211" t="str">
        <f>Internal!M9</f>
        <v>Free-Firewood</v>
      </c>
      <c r="C37" s="225">
        <v>0.6</v>
      </c>
      <c r="D37" s="226">
        <v>0.8</v>
      </c>
      <c r="E37" s="253">
        <v>0.6</v>
      </c>
      <c r="F37" s="226">
        <v>0.8</v>
      </c>
      <c r="G37" s="253">
        <v>0.6</v>
      </c>
      <c r="H37" s="226">
        <v>0.8</v>
      </c>
      <c r="I37" s="253">
        <v>0.6</v>
      </c>
      <c r="J37" s="251">
        <v>0.8</v>
      </c>
      <c r="K37" s="266"/>
    </row>
    <row r="38" spans="1:11" x14ac:dyDescent="0.3">
      <c r="A38" s="259">
        <f>Internal!L10</f>
        <v>9</v>
      </c>
      <c r="B38" s="211" t="str">
        <f>Internal!M10</f>
        <v>Ethanol</v>
      </c>
      <c r="C38" s="225">
        <v>0.6</v>
      </c>
      <c r="D38" s="226">
        <v>0.8</v>
      </c>
      <c r="E38" s="253">
        <v>0.6</v>
      </c>
      <c r="F38" s="226">
        <v>0.8</v>
      </c>
      <c r="G38" s="253">
        <v>0.6</v>
      </c>
      <c r="H38" s="226">
        <v>0.8</v>
      </c>
      <c r="I38" s="253">
        <v>0.6</v>
      </c>
      <c r="J38" s="251">
        <v>0.8</v>
      </c>
      <c r="K38" s="266"/>
    </row>
    <row r="39" spans="1:11" ht="0.75" customHeight="1" thickBot="1" x14ac:dyDescent="0.35">
      <c r="A39" s="259"/>
      <c r="B39" s="38"/>
      <c r="C39" s="254"/>
      <c r="D39" s="255"/>
      <c r="E39" s="256"/>
      <c r="F39" s="257"/>
      <c r="G39" s="258"/>
      <c r="H39" s="255"/>
      <c r="I39" s="258"/>
      <c r="J39" s="331"/>
      <c r="K39" s="266"/>
    </row>
    <row r="40" spans="1:11" ht="15.6" thickTop="1" thickBot="1" x14ac:dyDescent="0.35">
      <c r="B40" s="271" t="s">
        <v>5</v>
      </c>
      <c r="C40" s="282"/>
      <c r="D40" s="283"/>
      <c r="E40" s="274"/>
      <c r="F40" s="283"/>
      <c r="G40" s="274"/>
      <c r="H40" s="283"/>
      <c r="I40" s="274"/>
      <c r="J40" s="282"/>
      <c r="K40" s="266"/>
    </row>
    <row r="41" spans="1:11" ht="15.6" thickTop="1" thickBot="1" x14ac:dyDescent="0.35">
      <c r="B41" s="272" t="s">
        <v>348</v>
      </c>
      <c r="C41" s="221" t="s">
        <v>326</v>
      </c>
      <c r="D41" s="223" t="s">
        <v>114</v>
      </c>
      <c r="E41" s="221" t="s">
        <v>326</v>
      </c>
      <c r="F41" s="223" t="s">
        <v>114</v>
      </c>
      <c r="G41" s="221" t="s">
        <v>326</v>
      </c>
      <c r="H41" s="223" t="s">
        <v>114</v>
      </c>
      <c r="I41" s="221" t="s">
        <v>326</v>
      </c>
      <c r="J41" s="222" t="s">
        <v>114</v>
      </c>
      <c r="K41" s="266"/>
    </row>
    <row r="42" spans="1:11" x14ac:dyDescent="0.3">
      <c r="A42" s="259">
        <f>Internal!P2</f>
        <v>1</v>
      </c>
      <c r="B42" s="231" t="str">
        <f>Internal!Q2</f>
        <v>Electric_0</v>
      </c>
      <c r="C42" s="228">
        <v>0.7</v>
      </c>
      <c r="D42" s="229">
        <v>0.8</v>
      </c>
      <c r="E42" s="252">
        <v>0.7</v>
      </c>
      <c r="F42" s="229">
        <v>0.8</v>
      </c>
      <c r="G42" s="252">
        <v>0.7</v>
      </c>
      <c r="H42" s="229">
        <v>0.8</v>
      </c>
      <c r="I42" s="252">
        <v>0.7</v>
      </c>
      <c r="J42" s="227">
        <v>0.8</v>
      </c>
      <c r="K42" s="266"/>
    </row>
    <row r="43" spans="1:11" x14ac:dyDescent="0.3">
      <c r="A43" s="259">
        <f>Internal!P3</f>
        <v>2</v>
      </c>
      <c r="B43" s="33" t="str">
        <f>Internal!Q3</f>
        <v>Electric_1</v>
      </c>
      <c r="C43" s="230">
        <v>0.8</v>
      </c>
      <c r="D43" s="226">
        <v>1</v>
      </c>
      <c r="E43" s="253">
        <v>0.8</v>
      </c>
      <c r="F43" s="226">
        <v>1</v>
      </c>
      <c r="G43" s="253">
        <v>0.8</v>
      </c>
      <c r="H43" s="226">
        <v>1</v>
      </c>
      <c r="I43" s="253">
        <v>0.8</v>
      </c>
      <c r="J43" s="251">
        <v>1</v>
      </c>
      <c r="K43" s="266"/>
    </row>
    <row r="44" spans="1:11" x14ac:dyDescent="0.3">
      <c r="A44" s="259">
        <f>Internal!P4</f>
        <v>3</v>
      </c>
      <c r="B44" s="211" t="str">
        <f>Internal!Q4</f>
        <v>Electric_2</v>
      </c>
      <c r="C44" s="225">
        <v>0.8</v>
      </c>
      <c r="D44" s="226">
        <v>0.9</v>
      </c>
      <c r="E44" s="253">
        <v>0.8</v>
      </c>
      <c r="F44" s="226">
        <v>0.9</v>
      </c>
      <c r="G44" s="253">
        <v>0.8</v>
      </c>
      <c r="H44" s="226">
        <v>0.9</v>
      </c>
      <c r="I44" s="253">
        <v>0.8</v>
      </c>
      <c r="J44" s="251">
        <v>0.9</v>
      </c>
      <c r="K44" s="266"/>
    </row>
    <row r="45" spans="1:11" x14ac:dyDescent="0.3">
      <c r="A45" s="259">
        <f>Internal!P5</f>
        <v>4</v>
      </c>
      <c r="B45" s="211" t="str">
        <f>Internal!Q5</f>
        <v>LPG</v>
      </c>
      <c r="C45" s="225">
        <v>0.4</v>
      </c>
      <c r="D45" s="226">
        <v>0.8</v>
      </c>
      <c r="E45" s="253">
        <v>0.4</v>
      </c>
      <c r="F45" s="226">
        <v>0.8</v>
      </c>
      <c r="G45" s="253">
        <v>0.4</v>
      </c>
      <c r="H45" s="226">
        <v>0.8</v>
      </c>
      <c r="I45" s="253">
        <v>0.4</v>
      </c>
      <c r="J45" s="251">
        <v>0.8</v>
      </c>
      <c r="K45" s="266"/>
    </row>
    <row r="46" spans="1:11" x14ac:dyDescent="0.3">
      <c r="A46" s="259">
        <f>Internal!P6</f>
        <v>5</v>
      </c>
      <c r="B46" s="211" t="str">
        <f>Internal!Q6</f>
        <v>Biogas</v>
      </c>
      <c r="C46" s="225">
        <v>0.7</v>
      </c>
      <c r="D46" s="226">
        <v>0.5</v>
      </c>
      <c r="E46" s="253">
        <v>0.7</v>
      </c>
      <c r="F46" s="226">
        <v>0.5</v>
      </c>
      <c r="G46" s="253">
        <v>0.7</v>
      </c>
      <c r="H46" s="226">
        <v>0.5</v>
      </c>
      <c r="I46" s="253">
        <v>0.7</v>
      </c>
      <c r="J46" s="251">
        <v>0.5</v>
      </c>
      <c r="K46" s="266"/>
    </row>
    <row r="47" spans="1:11" x14ac:dyDescent="0.3">
      <c r="A47" s="259">
        <f>Internal!P7</f>
        <v>6</v>
      </c>
      <c r="B47" s="211" t="str">
        <f>Internal!Q7</f>
        <v>Charcoal_0</v>
      </c>
      <c r="C47" s="225">
        <v>0.6</v>
      </c>
      <c r="D47" s="226">
        <v>0.8</v>
      </c>
      <c r="E47" s="253">
        <v>0.6</v>
      </c>
      <c r="F47" s="226">
        <v>0.8</v>
      </c>
      <c r="G47" s="253">
        <v>0.6</v>
      </c>
      <c r="H47" s="226">
        <v>0.8</v>
      </c>
      <c r="I47" s="253">
        <v>0.6</v>
      </c>
      <c r="J47" s="251">
        <v>0.8</v>
      </c>
      <c r="K47" s="266"/>
    </row>
    <row r="48" spans="1:11" x14ac:dyDescent="0.3">
      <c r="A48" s="259">
        <f>Internal!P8</f>
        <v>7</v>
      </c>
      <c r="B48" s="211" t="str">
        <f>Internal!Q8</f>
        <v>Charcoal_1</v>
      </c>
      <c r="C48" s="225">
        <v>0.6</v>
      </c>
      <c r="D48" s="226">
        <v>0.8</v>
      </c>
      <c r="E48" s="253">
        <v>0.6</v>
      </c>
      <c r="F48" s="226">
        <v>0.8</v>
      </c>
      <c r="G48" s="253">
        <v>0.6</v>
      </c>
      <c r="H48" s="226">
        <v>0.8</v>
      </c>
      <c r="I48" s="253">
        <v>0.6</v>
      </c>
      <c r="J48" s="251">
        <v>0.8</v>
      </c>
      <c r="K48" s="266"/>
    </row>
    <row r="49" spans="1:11" x14ac:dyDescent="0.3">
      <c r="A49" s="259">
        <f>Internal!P9</f>
        <v>8</v>
      </c>
      <c r="B49" s="211" t="str">
        <f>Internal!Q9</f>
        <v>Charcoal_2</v>
      </c>
      <c r="C49" s="225">
        <v>0.6</v>
      </c>
      <c r="D49" s="226">
        <v>0.8</v>
      </c>
      <c r="E49" s="253">
        <v>0.6</v>
      </c>
      <c r="F49" s="226">
        <v>0.8</v>
      </c>
      <c r="G49" s="253">
        <v>0.6</v>
      </c>
      <c r="H49" s="226">
        <v>0.8</v>
      </c>
      <c r="I49" s="253">
        <v>0.6</v>
      </c>
      <c r="J49" s="251">
        <v>0.8</v>
      </c>
      <c r="K49" s="266"/>
    </row>
    <row r="50" spans="1:11" x14ac:dyDescent="0.3">
      <c r="A50" s="259">
        <f>Internal!P10</f>
        <v>9</v>
      </c>
      <c r="B50" s="211" t="str">
        <f>Internal!Q10</f>
        <v>Firewood-Bio_0</v>
      </c>
      <c r="C50" s="225">
        <v>0.6</v>
      </c>
      <c r="D50" s="226">
        <v>0.8</v>
      </c>
      <c r="E50" s="253">
        <v>0.6</v>
      </c>
      <c r="F50" s="226">
        <v>0.8</v>
      </c>
      <c r="G50" s="253">
        <v>0.6</v>
      </c>
      <c r="H50" s="226">
        <v>0.8</v>
      </c>
      <c r="I50" s="253">
        <v>0.6</v>
      </c>
      <c r="J50" s="251">
        <v>0.8</v>
      </c>
      <c r="K50" s="266"/>
    </row>
    <row r="51" spans="1:11" x14ac:dyDescent="0.3">
      <c r="A51" s="259">
        <f>Internal!P11</f>
        <v>10</v>
      </c>
      <c r="B51" s="211" t="str">
        <f>Internal!Q11</f>
        <v>Firewood-Bio_1</v>
      </c>
      <c r="C51" s="225">
        <v>0.6</v>
      </c>
      <c r="D51" s="226">
        <v>0.8</v>
      </c>
      <c r="E51" s="253">
        <v>0.6</v>
      </c>
      <c r="F51" s="226">
        <v>0.8</v>
      </c>
      <c r="G51" s="253">
        <v>0.6</v>
      </c>
      <c r="H51" s="226">
        <v>0.8</v>
      </c>
      <c r="I51" s="253">
        <v>0.6</v>
      </c>
      <c r="J51" s="251">
        <v>0.8</v>
      </c>
      <c r="K51" s="266"/>
    </row>
    <row r="52" spans="1:11" x14ac:dyDescent="0.3">
      <c r="A52" s="259">
        <f>Internal!P12</f>
        <v>11</v>
      </c>
      <c r="B52" s="211" t="str">
        <f>Internal!Q12</f>
        <v>Firewood-Bio_2</v>
      </c>
      <c r="C52" s="225">
        <v>0.6</v>
      </c>
      <c r="D52" s="226">
        <v>0.8</v>
      </c>
      <c r="E52" s="253">
        <v>0.6</v>
      </c>
      <c r="F52" s="226">
        <v>0.8</v>
      </c>
      <c r="G52" s="253">
        <v>0.6</v>
      </c>
      <c r="H52" s="226">
        <v>0.8</v>
      </c>
      <c r="I52" s="253">
        <v>0.6</v>
      </c>
      <c r="J52" s="251">
        <v>0.8</v>
      </c>
      <c r="K52" s="266"/>
    </row>
    <row r="53" spans="1:11" x14ac:dyDescent="0.3">
      <c r="A53" s="259">
        <f>Internal!P13</f>
        <v>12</v>
      </c>
      <c r="B53" s="211" t="str">
        <f>Internal!Q13</f>
        <v>Pellets</v>
      </c>
      <c r="C53" s="225">
        <v>0.6</v>
      </c>
      <c r="D53" s="226">
        <v>0.8</v>
      </c>
      <c r="E53" s="253">
        <v>0.6</v>
      </c>
      <c r="F53" s="226">
        <v>0.8</v>
      </c>
      <c r="G53" s="253">
        <v>0.6</v>
      </c>
      <c r="H53" s="226">
        <v>0.8</v>
      </c>
      <c r="I53" s="253">
        <v>0.6</v>
      </c>
      <c r="J53" s="251">
        <v>0.8</v>
      </c>
      <c r="K53" s="266"/>
    </row>
    <row r="54" spans="1:11" x14ac:dyDescent="0.3">
      <c r="A54" s="259">
        <f>Internal!P14</f>
        <v>13</v>
      </c>
      <c r="B54" s="211" t="str">
        <f>Internal!Q14</f>
        <v>Ethanol</v>
      </c>
      <c r="C54" s="225">
        <v>0.6</v>
      </c>
      <c r="D54" s="226">
        <v>0.8</v>
      </c>
      <c r="E54" s="253">
        <v>0.6</v>
      </c>
      <c r="F54" s="226">
        <v>0.8</v>
      </c>
      <c r="G54" s="253">
        <v>0.6</v>
      </c>
      <c r="H54" s="226">
        <v>0.8</v>
      </c>
      <c r="I54" s="253">
        <v>0.6</v>
      </c>
      <c r="J54" s="251">
        <v>0.8</v>
      </c>
      <c r="K54" s="266"/>
    </row>
    <row r="55" spans="1:11" ht="0.75" customHeight="1" thickBot="1" x14ac:dyDescent="0.35">
      <c r="A55" s="259">
        <f>Internal!P15</f>
        <v>0</v>
      </c>
      <c r="B55" s="38"/>
      <c r="C55" s="254"/>
      <c r="D55" s="255"/>
      <c r="E55" s="256"/>
      <c r="F55" s="257"/>
      <c r="G55" s="258"/>
      <c r="H55" s="255"/>
      <c r="I55" s="258"/>
      <c r="J55" s="331"/>
      <c r="K55" s="266"/>
    </row>
    <row r="56" spans="1:11" s="239" customFormat="1" ht="15" thickTop="1" x14ac:dyDescent="0.3"/>
    <row r="57" spans="1:11" s="240" customFormat="1" ht="15" thickBot="1" x14ac:dyDescent="0.35"/>
    <row r="58" spans="1:11" ht="15.6" thickTop="1" thickBot="1" x14ac:dyDescent="0.35">
      <c r="B58" s="234" t="s">
        <v>344</v>
      </c>
    </row>
    <row r="59" spans="1:11" ht="15" thickTop="1" x14ac:dyDescent="0.3">
      <c r="B59" s="213" t="s">
        <v>324</v>
      </c>
      <c r="C59" s="339">
        <v>10</v>
      </c>
      <c r="D59" s="340">
        <v>11</v>
      </c>
      <c r="E59" s="341">
        <v>12</v>
      </c>
      <c r="F59" s="266"/>
    </row>
    <row r="60" spans="1:11" ht="15" thickBot="1" x14ac:dyDescent="0.35">
      <c r="B60" s="232" t="s">
        <v>212</v>
      </c>
      <c r="C60" s="287" t="s">
        <v>327</v>
      </c>
      <c r="D60" s="288" t="s">
        <v>333</v>
      </c>
      <c r="E60" s="333" t="s">
        <v>334</v>
      </c>
      <c r="F60" s="266"/>
    </row>
    <row r="61" spans="1:11" ht="15" thickTop="1" x14ac:dyDescent="0.3">
      <c r="B61" s="271" t="s">
        <v>4</v>
      </c>
      <c r="C61" s="289"/>
      <c r="D61" s="290"/>
      <c r="E61" s="334"/>
      <c r="F61" s="266"/>
    </row>
    <row r="62" spans="1:11" ht="15" thickBot="1" x14ac:dyDescent="0.35">
      <c r="B62" s="272" t="s">
        <v>349</v>
      </c>
      <c r="C62" s="291"/>
      <c r="D62" s="292"/>
      <c r="E62" s="335"/>
      <c r="F62" s="266"/>
    </row>
    <row r="63" spans="1:11" x14ac:dyDescent="0.3">
      <c r="A63" s="259">
        <f>Internal!L2</f>
        <v>1</v>
      </c>
      <c r="B63" s="18" t="str">
        <f>Internal!M2</f>
        <v>Electricity</v>
      </c>
      <c r="C63" s="293">
        <v>1</v>
      </c>
      <c r="D63" s="294">
        <v>1</v>
      </c>
      <c r="E63" s="336">
        <v>1</v>
      </c>
      <c r="F63" s="266"/>
    </row>
    <row r="64" spans="1:11" x14ac:dyDescent="0.3">
      <c r="A64" s="259">
        <f>Internal!L3</f>
        <v>2</v>
      </c>
      <c r="B64" s="18" t="str">
        <f>Internal!M3</f>
        <v>LPG</v>
      </c>
      <c r="C64" s="295">
        <v>1.2</v>
      </c>
      <c r="D64" s="296">
        <v>1.2</v>
      </c>
      <c r="E64" s="337">
        <v>1.2</v>
      </c>
      <c r="F64" s="266"/>
    </row>
    <row r="65" spans="1:6" x14ac:dyDescent="0.3">
      <c r="A65" s="259">
        <f>Internal!L4</f>
        <v>3</v>
      </c>
      <c r="B65" s="18" t="str">
        <f>Internal!M4</f>
        <v>Biogas</v>
      </c>
      <c r="C65" s="295">
        <v>1.2</v>
      </c>
      <c r="D65" s="296">
        <v>1.2</v>
      </c>
      <c r="E65" s="337">
        <v>1.2</v>
      </c>
      <c r="F65" s="266"/>
    </row>
    <row r="66" spans="1:6" x14ac:dyDescent="0.3">
      <c r="A66" s="259">
        <f>Internal!L5</f>
        <v>4</v>
      </c>
      <c r="B66" s="18" t="str">
        <f>Internal!M5</f>
        <v>Charcoal</v>
      </c>
      <c r="C66" s="295">
        <v>1.2</v>
      </c>
      <c r="D66" s="296">
        <v>1.2</v>
      </c>
      <c r="E66" s="337">
        <v>1.2</v>
      </c>
      <c r="F66" s="266"/>
    </row>
    <row r="67" spans="1:6" x14ac:dyDescent="0.3">
      <c r="A67" s="259">
        <f>Internal!L6</f>
        <v>5</v>
      </c>
      <c r="B67" s="18" t="str">
        <f>Internal!M6</f>
        <v>Com-Firewood</v>
      </c>
      <c r="C67" s="295">
        <v>1.2</v>
      </c>
      <c r="D67" s="296">
        <v>1.2</v>
      </c>
      <c r="E67" s="337">
        <v>1.2</v>
      </c>
      <c r="F67" s="266"/>
    </row>
    <row r="68" spans="1:6" x14ac:dyDescent="0.3">
      <c r="A68" s="259">
        <f>Internal!L7</f>
        <v>6</v>
      </c>
      <c r="B68" s="18" t="str">
        <f>Internal!M7</f>
        <v>Free-Biomass</v>
      </c>
      <c r="C68" s="295">
        <v>1.2</v>
      </c>
      <c r="D68" s="296">
        <v>1.2</v>
      </c>
      <c r="E68" s="337">
        <v>1.2</v>
      </c>
      <c r="F68" s="266"/>
    </row>
    <row r="69" spans="1:6" x14ac:dyDescent="0.3">
      <c r="A69" s="259">
        <f>Internal!L8</f>
        <v>7</v>
      </c>
      <c r="B69" s="18" t="str">
        <f>Internal!M8</f>
        <v>Pellets</v>
      </c>
      <c r="C69" s="295">
        <v>1.2</v>
      </c>
      <c r="D69" s="296">
        <v>1.2</v>
      </c>
      <c r="E69" s="337">
        <v>1.2</v>
      </c>
      <c r="F69" s="266"/>
    </row>
    <row r="70" spans="1:6" x14ac:dyDescent="0.3">
      <c r="A70" s="259">
        <f>Internal!L9</f>
        <v>8</v>
      </c>
      <c r="B70" s="18" t="str">
        <f>Internal!M9</f>
        <v>Free-Firewood</v>
      </c>
      <c r="C70" s="295">
        <v>1</v>
      </c>
      <c r="D70" s="296">
        <v>1</v>
      </c>
      <c r="E70" s="337">
        <v>1</v>
      </c>
      <c r="F70" s="266"/>
    </row>
    <row r="71" spans="1:6" x14ac:dyDescent="0.3">
      <c r="A71" s="259">
        <f>Internal!L10</f>
        <v>9</v>
      </c>
      <c r="B71" s="18" t="str">
        <f>Internal!M10</f>
        <v>Ethanol</v>
      </c>
      <c r="C71" s="295">
        <v>1</v>
      </c>
      <c r="D71" s="296">
        <v>1</v>
      </c>
      <c r="E71" s="337">
        <v>1</v>
      </c>
      <c r="F71" s="266"/>
    </row>
    <row r="72" spans="1:6" ht="0.75" customHeight="1" thickBot="1" x14ac:dyDescent="0.35">
      <c r="B72" s="269"/>
      <c r="C72" s="297"/>
      <c r="D72" s="298"/>
      <c r="E72" s="338"/>
      <c r="F72" s="266"/>
    </row>
    <row r="73" spans="1:6" ht="15" thickTop="1" x14ac:dyDescent="0.3">
      <c r="B73" s="271" t="s">
        <v>5</v>
      </c>
      <c r="C73" s="289"/>
      <c r="D73" s="290"/>
      <c r="E73" s="334"/>
      <c r="F73" s="266"/>
    </row>
    <row r="74" spans="1:6" ht="15" thickBot="1" x14ac:dyDescent="0.35">
      <c r="B74" s="272" t="s">
        <v>349</v>
      </c>
      <c r="C74" s="291"/>
      <c r="D74" s="292"/>
      <c r="E74" s="335"/>
      <c r="F74" s="266"/>
    </row>
    <row r="75" spans="1:6" x14ac:dyDescent="0.3">
      <c r="A75" s="259">
        <f>Internal!P2</f>
        <v>1</v>
      </c>
      <c r="B75" s="33" t="str">
        <f>Internal!Q2</f>
        <v>Electric_0</v>
      </c>
      <c r="C75" s="293">
        <v>1</v>
      </c>
      <c r="D75" s="294">
        <v>1</v>
      </c>
      <c r="E75" s="336">
        <v>1</v>
      </c>
      <c r="F75" s="266"/>
    </row>
    <row r="76" spans="1:6" x14ac:dyDescent="0.3">
      <c r="A76" s="259">
        <f>Internal!P3</f>
        <v>2</v>
      </c>
      <c r="B76" s="33" t="str">
        <f>Internal!Q3</f>
        <v>Electric_1</v>
      </c>
      <c r="C76" s="295">
        <v>0.5</v>
      </c>
      <c r="D76" s="296">
        <v>0.6</v>
      </c>
      <c r="E76" s="337">
        <v>1.2</v>
      </c>
      <c r="F76" s="266"/>
    </row>
    <row r="77" spans="1:6" x14ac:dyDescent="0.3">
      <c r="A77" s="259">
        <f>Internal!P4</f>
        <v>3</v>
      </c>
      <c r="B77" s="211" t="str">
        <f>Internal!Q4</f>
        <v>Electric_2</v>
      </c>
      <c r="C77" s="299">
        <v>0.5</v>
      </c>
      <c r="D77" s="296">
        <v>0.6</v>
      </c>
      <c r="E77" s="337">
        <v>1.1000000000000001</v>
      </c>
      <c r="F77" s="266"/>
    </row>
    <row r="78" spans="1:6" x14ac:dyDescent="0.3">
      <c r="A78" s="259">
        <f>Internal!P5</f>
        <v>4</v>
      </c>
      <c r="B78" s="211" t="str">
        <f>Internal!Q5</f>
        <v>LPG</v>
      </c>
      <c r="C78" s="299">
        <v>0.5</v>
      </c>
      <c r="D78" s="296">
        <v>0.6</v>
      </c>
      <c r="E78" s="337">
        <v>1.1000000000000001</v>
      </c>
      <c r="F78" s="266"/>
    </row>
    <row r="79" spans="1:6" x14ac:dyDescent="0.3">
      <c r="A79" s="259">
        <f>Internal!P6</f>
        <v>5</v>
      </c>
      <c r="B79" s="211" t="str">
        <f>Internal!Q6</f>
        <v>Biogas</v>
      </c>
      <c r="C79" s="299">
        <v>0.5</v>
      </c>
      <c r="D79" s="296">
        <v>0.8</v>
      </c>
      <c r="E79" s="337">
        <v>1.1000000000000001</v>
      </c>
      <c r="F79" s="266"/>
    </row>
    <row r="80" spans="1:6" x14ac:dyDescent="0.3">
      <c r="A80" s="259">
        <f>Internal!P7</f>
        <v>6</v>
      </c>
      <c r="B80" s="211" t="str">
        <f>Internal!Q7</f>
        <v>Charcoal_0</v>
      </c>
      <c r="C80" s="299">
        <v>1</v>
      </c>
      <c r="D80" s="296">
        <v>1</v>
      </c>
      <c r="E80" s="337">
        <v>1.1000000000000001</v>
      </c>
      <c r="F80" s="266"/>
    </row>
    <row r="81" spans="1:7" x14ac:dyDescent="0.3">
      <c r="A81" s="259">
        <f>Internal!P8</f>
        <v>7</v>
      </c>
      <c r="B81" s="211" t="str">
        <f>Internal!Q8</f>
        <v>Charcoal_1</v>
      </c>
      <c r="C81" s="299">
        <v>1</v>
      </c>
      <c r="D81" s="296">
        <v>1</v>
      </c>
      <c r="E81" s="337">
        <v>1.2</v>
      </c>
      <c r="F81" s="266"/>
    </row>
    <row r="82" spans="1:7" x14ac:dyDescent="0.3">
      <c r="A82" s="259">
        <f>Internal!P9</f>
        <v>8</v>
      </c>
      <c r="B82" s="211" t="str">
        <f>Internal!Q9</f>
        <v>Charcoal_2</v>
      </c>
      <c r="C82" s="299">
        <v>0.5</v>
      </c>
      <c r="D82" s="296">
        <v>0.8</v>
      </c>
      <c r="E82" s="337">
        <v>1.3</v>
      </c>
      <c r="F82" s="266"/>
    </row>
    <row r="83" spans="1:7" x14ac:dyDescent="0.3">
      <c r="A83" s="259">
        <f>Internal!P10</f>
        <v>9</v>
      </c>
      <c r="B83" s="211" t="str">
        <f>Internal!Q10</f>
        <v>Firewood-Bio_0</v>
      </c>
      <c r="C83" s="299">
        <v>1</v>
      </c>
      <c r="D83" s="296">
        <v>1</v>
      </c>
      <c r="E83" s="337">
        <v>1.4</v>
      </c>
      <c r="F83" s="266"/>
    </row>
    <row r="84" spans="1:7" x14ac:dyDescent="0.3">
      <c r="A84" s="259">
        <f>Internal!P11</f>
        <v>10</v>
      </c>
      <c r="B84" s="211" t="str">
        <f>Internal!Q11</f>
        <v>Firewood-Bio_1</v>
      </c>
      <c r="C84" s="299">
        <v>1</v>
      </c>
      <c r="D84" s="296">
        <v>1</v>
      </c>
      <c r="E84" s="337">
        <v>1.5</v>
      </c>
      <c r="F84" s="266"/>
    </row>
    <row r="85" spans="1:7" x14ac:dyDescent="0.3">
      <c r="A85" s="259">
        <f>Internal!P12</f>
        <v>11</v>
      </c>
      <c r="B85" s="211" t="str">
        <f>Internal!Q12</f>
        <v>Firewood-Bio_2</v>
      </c>
      <c r="C85" s="299">
        <v>0.5</v>
      </c>
      <c r="D85" s="296">
        <v>0.8</v>
      </c>
      <c r="E85" s="337">
        <v>1.6</v>
      </c>
      <c r="F85" s="266"/>
    </row>
    <row r="86" spans="1:7" x14ac:dyDescent="0.3">
      <c r="A86" s="259">
        <f>Internal!P13</f>
        <v>12</v>
      </c>
      <c r="B86" s="211" t="str">
        <f>Internal!Q13</f>
        <v>Pellets</v>
      </c>
      <c r="C86" s="299">
        <v>0.5</v>
      </c>
      <c r="D86" s="296">
        <v>0.8</v>
      </c>
      <c r="E86" s="337">
        <v>1.7</v>
      </c>
      <c r="F86" s="266"/>
    </row>
    <row r="87" spans="1:7" x14ac:dyDescent="0.3">
      <c r="A87" s="259">
        <f>Internal!P14</f>
        <v>13</v>
      </c>
      <c r="B87" s="211" t="str">
        <f>Internal!Q14</f>
        <v>Ethanol</v>
      </c>
      <c r="C87" s="295">
        <v>0.5</v>
      </c>
      <c r="D87" s="296">
        <v>0.8</v>
      </c>
      <c r="E87" s="337">
        <v>1</v>
      </c>
      <c r="F87" s="266"/>
    </row>
    <row r="88" spans="1:7" ht="0.75" customHeight="1" thickBot="1" x14ac:dyDescent="0.35">
      <c r="B88" s="38"/>
      <c r="C88" s="262"/>
      <c r="D88" s="261"/>
      <c r="E88" s="268"/>
      <c r="F88" s="266"/>
    </row>
    <row r="89" spans="1:7" s="239" customFormat="1" ht="15" thickTop="1" x14ac:dyDescent="0.3"/>
    <row r="90" spans="1:7" s="240" customFormat="1" ht="15" thickBot="1" x14ac:dyDescent="0.35"/>
    <row r="91" spans="1:7" ht="15.6" thickTop="1" thickBot="1" x14ac:dyDescent="0.35">
      <c r="B91" s="234" t="s">
        <v>346</v>
      </c>
      <c r="E91" s="775"/>
      <c r="F91" s="775"/>
    </row>
    <row r="92" spans="1:7" ht="15" thickTop="1" x14ac:dyDescent="0.3">
      <c r="B92" s="213" t="s">
        <v>324</v>
      </c>
      <c r="C92" s="342">
        <v>1</v>
      </c>
      <c r="D92" s="278"/>
      <c r="E92" s="776">
        <v>2</v>
      </c>
      <c r="F92" s="777"/>
      <c r="G92" s="266"/>
    </row>
    <row r="93" spans="1:7" ht="15" thickBot="1" x14ac:dyDescent="0.35">
      <c r="B93" s="232" t="s">
        <v>212</v>
      </c>
      <c r="C93" s="243" t="s">
        <v>336</v>
      </c>
      <c r="D93" s="279"/>
      <c r="E93" s="247" t="s">
        <v>337</v>
      </c>
      <c r="F93" s="300"/>
      <c r="G93" s="266"/>
    </row>
    <row r="94" spans="1:7" ht="15.6" thickTop="1" thickBot="1" x14ac:dyDescent="0.35">
      <c r="B94" s="273"/>
      <c r="C94" s="274"/>
      <c r="D94" s="275"/>
      <c r="E94" s="276"/>
      <c r="F94" s="277"/>
      <c r="G94" s="266"/>
    </row>
    <row r="95" spans="1:7" ht="15.6" thickTop="1" thickBot="1" x14ac:dyDescent="0.35">
      <c r="B95" s="31" t="s">
        <v>338</v>
      </c>
      <c r="C95" s="250" t="s">
        <v>343</v>
      </c>
      <c r="D95" s="223" t="s">
        <v>119</v>
      </c>
      <c r="E95" s="221" t="s">
        <v>343</v>
      </c>
      <c r="F95" s="222" t="s">
        <v>119</v>
      </c>
      <c r="G95" s="266"/>
    </row>
    <row r="96" spans="1:7" x14ac:dyDescent="0.3">
      <c r="B96" s="18">
        <f>$C$17</f>
        <v>2025</v>
      </c>
      <c r="C96" s="634">
        <f>$C$23</f>
        <v>10</v>
      </c>
      <c r="D96" s="635">
        <f>$C$59</f>
        <v>10</v>
      </c>
      <c r="E96" s="636">
        <f>$C$23</f>
        <v>10</v>
      </c>
      <c r="F96" s="637">
        <f>$C$59</f>
        <v>10</v>
      </c>
      <c r="G96" s="266"/>
    </row>
    <row r="97" spans="2:7" x14ac:dyDescent="0.3">
      <c r="B97" s="18" cm="1">
        <f t="array" aca="1" ref="B97:B99" ca="1">TRANSPOSE(OFFSET($B$19,0,1,1,Internal!$B$12))</f>
        <v>2030</v>
      </c>
      <c r="C97" s="248">
        <v>11</v>
      </c>
      <c r="D97" s="249">
        <v>11</v>
      </c>
      <c r="E97" s="267">
        <v>11</v>
      </c>
      <c r="F97" s="260">
        <v>11</v>
      </c>
      <c r="G97" s="266"/>
    </row>
    <row r="98" spans="2:7" x14ac:dyDescent="0.3">
      <c r="B98" s="18">
        <f ca="1"/>
        <v>2033</v>
      </c>
      <c r="C98" s="248">
        <v>12</v>
      </c>
      <c r="D98" s="249">
        <v>12</v>
      </c>
      <c r="E98" s="267">
        <v>11</v>
      </c>
      <c r="F98" s="260">
        <v>12</v>
      </c>
      <c r="G98" s="266"/>
    </row>
    <row r="99" spans="2:7" x14ac:dyDescent="0.3">
      <c r="B99" s="18">
        <f ca="1"/>
        <v>2038</v>
      </c>
      <c r="C99" s="248">
        <v>13</v>
      </c>
      <c r="D99" s="249">
        <v>12</v>
      </c>
      <c r="E99" s="267">
        <v>12</v>
      </c>
      <c r="F99" s="260">
        <v>11</v>
      </c>
      <c r="G99" s="266"/>
    </row>
    <row r="100" spans="2:7" ht="0.75" customHeight="1" thickBot="1" x14ac:dyDescent="0.35">
      <c r="B100" s="38"/>
      <c r="C100" s="263"/>
      <c r="D100" s="264"/>
      <c r="E100" s="265"/>
      <c r="F100" s="270"/>
      <c r="G100" s="266"/>
    </row>
    <row r="101" spans="2:7" ht="15" thickTop="1" x14ac:dyDescent="0.3"/>
  </sheetData>
  <sheetProtection algorithmName="SHA-512" hashValue="JWOMRRCYoeWSMouw4bP7Kk0Y34WDpzjfsql3ME921Iqr6mbMaGl6enohV1tey6PJhZ2+7lJazhH2b6e5RcoL7Q==" saltValue="bK0bLlER1d+ha6e9T9U1og==" spinCount="100000" sheet="1" objects="1" scenarios="1" selectLockedCells="1"/>
  <conditionalFormatting sqref="C24 C92:C93 E92:E93 C16:C17 C70:E72 C18:E18 C97:F100 C32:J39 C44:J55 C77:E88">
    <cfRule type="containsBlanks" dxfId="71" priority="218">
      <formula>LEN(TRIM(C16))=0</formula>
    </cfRule>
  </conditionalFormatting>
  <conditionalFormatting sqref="C23">
    <cfRule type="containsBlanks" dxfId="70" priority="210">
      <formula>LEN(TRIM(C23))=0</formula>
    </cfRule>
  </conditionalFormatting>
  <conditionalFormatting sqref="C30:J30">
    <cfRule type="containsBlanks" dxfId="69" priority="208">
      <formula>LEN(TRIM(C30))=0</formula>
    </cfRule>
  </conditionalFormatting>
  <conditionalFormatting sqref="C31:J31">
    <cfRule type="containsBlanks" dxfId="68" priority="207">
      <formula>LEN(TRIM(C31))=0</formula>
    </cfRule>
  </conditionalFormatting>
  <conditionalFormatting sqref="C42:J42">
    <cfRule type="containsBlanks" dxfId="67" priority="204">
      <formula>LEN(TRIM(C42))=0</formula>
    </cfRule>
  </conditionalFormatting>
  <conditionalFormatting sqref="C43:J43">
    <cfRule type="containsBlanks" dxfId="66" priority="203">
      <formula>LEN(TRIM(C43))=0</formula>
    </cfRule>
  </conditionalFormatting>
  <conditionalFormatting sqref="C59:E59">
    <cfRule type="containsBlanks" dxfId="65" priority="201">
      <formula>LEN(TRIM(C59))=0</formula>
    </cfRule>
  </conditionalFormatting>
  <conditionalFormatting sqref="C60:E60">
    <cfRule type="containsBlanks" dxfId="64" priority="200">
      <formula>LEN(TRIM(C60))=0</formula>
    </cfRule>
  </conditionalFormatting>
  <conditionalFormatting sqref="C63:E63">
    <cfRule type="containsBlanks" dxfId="63" priority="198">
      <formula>LEN(TRIM(C63))=0</formula>
    </cfRule>
  </conditionalFormatting>
  <conditionalFormatting sqref="C64:E69">
    <cfRule type="containsBlanks" dxfId="62" priority="197">
      <formula>LEN(TRIM(C64))=0</formula>
    </cfRule>
  </conditionalFormatting>
  <conditionalFormatting sqref="C75:E75">
    <cfRule type="containsBlanks" dxfId="61" priority="195">
      <formula>LEN(TRIM(C75))=0</formula>
    </cfRule>
  </conditionalFormatting>
  <conditionalFormatting sqref="C76:E76">
    <cfRule type="containsBlanks" dxfId="60" priority="194">
      <formula>LEN(TRIM(C76))=0</formula>
    </cfRule>
  </conditionalFormatting>
  <conditionalFormatting sqref="C13:C15">
    <cfRule type="containsBlanks" dxfId="59" priority="193">
      <formula>LEN(TRIM(C13))=0</formula>
    </cfRule>
  </conditionalFormatting>
  <conditionalFormatting sqref="C26">
    <cfRule type="containsBlanks" dxfId="58" priority="192">
      <formula>LEN(TRIM(C26))=0</formula>
    </cfRule>
  </conditionalFormatting>
  <conditionalFormatting sqref="C27">
    <cfRule type="containsBlanks" dxfId="57" priority="191">
      <formula>LEN(TRIM(C27))=0</formula>
    </cfRule>
  </conditionalFormatting>
  <conditionalFormatting sqref="E24">
    <cfRule type="containsBlanks" dxfId="56" priority="190">
      <formula>LEN(TRIM(E24))=0</formula>
    </cfRule>
  </conditionalFormatting>
  <conditionalFormatting sqref="E23">
    <cfRule type="containsBlanks" dxfId="55" priority="188">
      <formula>LEN(TRIM(E23))=0</formula>
    </cfRule>
  </conditionalFormatting>
  <conditionalFormatting sqref="E26">
    <cfRule type="containsBlanks" dxfId="54" priority="184">
      <formula>LEN(TRIM(E26))=0</formula>
    </cfRule>
  </conditionalFormatting>
  <conditionalFormatting sqref="E27">
    <cfRule type="containsBlanks" dxfId="53" priority="183">
      <formula>LEN(TRIM(E27))=0</formula>
    </cfRule>
  </conditionalFormatting>
  <conditionalFormatting sqref="G24">
    <cfRule type="containsBlanks" dxfId="52" priority="182">
      <formula>LEN(TRIM(G24))=0</formula>
    </cfRule>
  </conditionalFormatting>
  <conditionalFormatting sqref="G23">
    <cfRule type="containsBlanks" dxfId="51" priority="180">
      <formula>LEN(TRIM(G23))=0</formula>
    </cfRule>
  </conditionalFormatting>
  <conditionalFormatting sqref="G26">
    <cfRule type="containsBlanks" dxfId="50" priority="176">
      <formula>LEN(TRIM(G26))=0</formula>
    </cfRule>
  </conditionalFormatting>
  <conditionalFormatting sqref="G27">
    <cfRule type="containsBlanks" dxfId="49" priority="175">
      <formula>LEN(TRIM(G27))=0</formula>
    </cfRule>
  </conditionalFormatting>
  <conditionalFormatting sqref="I24">
    <cfRule type="containsBlanks" dxfId="48" priority="99">
      <formula>LEN(TRIM(I24))=0</formula>
    </cfRule>
  </conditionalFormatting>
  <conditionalFormatting sqref="I23">
    <cfRule type="containsBlanks" dxfId="47" priority="98">
      <formula>LEN(TRIM(I23))=0</formula>
    </cfRule>
  </conditionalFormatting>
  <conditionalFormatting sqref="I26">
    <cfRule type="containsBlanks" dxfId="46" priority="97">
      <formula>LEN(TRIM(I26))=0</formula>
    </cfRule>
  </conditionalFormatting>
  <conditionalFormatting sqref="I27">
    <cfRule type="containsBlanks" dxfId="45" priority="96">
      <formula>LEN(TRIM(I27))=0</formula>
    </cfRule>
  </conditionalFormatting>
  <dataValidations count="5">
    <dataValidation type="whole" operator="greaterThan" allowBlank="1" showInputMessage="1" showErrorMessage="1" errorTitle="CleanCooking-inputs" error="Value always greater than one (&gt;1)." sqref="C13:C16 C18:E19" xr:uid="{93FE366B-10F8-4ECE-A058-ECB4E65980AC}">
      <formula1>1</formula1>
    </dataValidation>
    <dataValidation type="whole" operator="greaterThan" allowBlank="1" showInputMessage="1" showErrorMessage="1" errorTitle="CleanCooking-inputs" error="Value must be natural." sqref="C17" xr:uid="{906FD8C1-3A93-402B-AE7F-0B309121B73C}">
      <formula1>0</formula1>
    </dataValidation>
    <dataValidation type="whole" operator="greaterThan" allowBlank="1" showInputMessage="1" showErrorMessage="1" errorTitle="CleanCooking-inputs" error="Value must be integer and greater than zero (&gt;0)." sqref="C23 E23 G23 E92 I23 C92 C59:E59" xr:uid="{4026DFB3-9D8F-453D-9B52-CFFD7D08496B}">
      <formula1>0</formula1>
    </dataValidation>
    <dataValidation type="decimal" allowBlank="1" showInputMessage="1" showErrorMessage="1" errorTitle="CleanCooking-inputs" error="Value must be between 0% and 100%." sqref="C26:C27 E26:E27 G26:G27 I26:I27 C42:J54 C30:J38" xr:uid="{73D8F88B-7F9E-4C87-B491-65561D1DDA6D}">
      <formula1>0</formula1>
      <formula2>1</formula2>
    </dataValidation>
    <dataValidation type="decimal" operator="greaterThanOrEqual" allowBlank="1" showInputMessage="1" showErrorMessage="1" errorTitle="CleanCooking-inputs" error="Value must be greater than or equal to zero." sqref="C75:E87 C63:E71" xr:uid="{F00C7A76-568D-4938-8D69-3B8E14C4ECD7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Sheet22.CBt_UpdatePlans_Click">
                <anchor moveWithCells="1" sizeWithCells="1">
                  <from>
                    <xdr:col>3</xdr:col>
                    <xdr:colOff>312420</xdr:colOff>
                    <xdr:row>12</xdr:row>
                    <xdr:rowOff>45720</xdr:rowOff>
                  </from>
                  <to>
                    <xdr:col>5</xdr:col>
                    <xdr:colOff>365760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954635-65FF-4888-94FE-F7CF1DC2F745}">
          <x14:formula1>
            <xm:f>OFFSET($B$23,0,1,1,2*(Internal!$B$13+1))</xm:f>
          </x14:formula1>
          <xm:sqref>E97:E100 C97:C100</xm:sqref>
        </x14:dataValidation>
        <x14:dataValidation type="list" allowBlank="1" showInputMessage="1" showErrorMessage="1" errorTitle="CleanCooking-input" error="Pick a value from the list." xr:uid="{4962CCCA-7691-496A-962F-7A5802E81B3E}">
          <x14:formula1>
            <xm:f>OFFSET($B$59,0,1,1,Internal!$B$14+1)</xm:f>
          </x14:formula1>
          <xm:sqref>F97:F100 D97:D100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1ABDC-8562-43FD-A4C2-BF54E210AD63}">
  <sheetPr codeName="Sheet23">
    <tabColor theme="8" tint="0.59999389629810485"/>
  </sheetPr>
  <dimension ref="A1:J70"/>
  <sheetViews>
    <sheetView showRowColHeaders="0" workbookViewId="0">
      <selection activeCell="C16" sqref="C16"/>
    </sheetView>
  </sheetViews>
  <sheetFormatPr defaultColWidth="10.77734375" defaultRowHeight="14.4" x14ac:dyDescent="0.3"/>
  <cols>
    <col min="1" max="1" width="3.77734375" style="210" customWidth="1"/>
    <col min="2" max="2" width="23.77734375" style="210" customWidth="1"/>
    <col min="3" max="16384" width="10.77734375" style="210"/>
  </cols>
  <sheetData>
    <row r="1" spans="1:10" s="4" customFormat="1" ht="70.2" customHeight="1" thickBot="1" x14ac:dyDescent="0.35">
      <c r="A1" s="3" t="s">
        <v>350</v>
      </c>
      <c r="B1" s="10"/>
    </row>
    <row r="2" spans="1:10" s="2" customFormat="1" ht="15" thickTop="1" x14ac:dyDescent="0.3">
      <c r="A2" s="5"/>
      <c r="B2" s="6"/>
    </row>
    <row r="3" spans="1:10" s="2" customFormat="1" x14ac:dyDescent="0.3">
      <c r="A3" s="5"/>
      <c r="B3" s="643" t="s">
        <v>2098</v>
      </c>
      <c r="C3" s="50"/>
      <c r="D3" s="50"/>
      <c r="E3" s="50"/>
      <c r="F3" s="50"/>
      <c r="G3" s="50"/>
      <c r="H3" s="51"/>
    </row>
    <row r="4" spans="1:10" s="2" customFormat="1" x14ac:dyDescent="0.3">
      <c r="A4" s="5"/>
      <c r="B4" s="176" t="s">
        <v>2158</v>
      </c>
      <c r="C4" s="9"/>
      <c r="D4" s="9"/>
      <c r="E4" s="9"/>
      <c r="F4" s="9"/>
      <c r="G4" s="9"/>
      <c r="H4" s="52"/>
    </row>
    <row r="5" spans="1:10" s="2" customFormat="1" x14ac:dyDescent="0.3">
      <c r="A5" s="5"/>
      <c r="B5" s="318" t="s">
        <v>2202</v>
      </c>
      <c r="C5" s="9"/>
      <c r="D5" s="9"/>
      <c r="E5" s="9"/>
      <c r="F5" s="9"/>
      <c r="G5" s="9"/>
      <c r="H5" s="52"/>
    </row>
    <row r="6" spans="1:10" s="2" customFormat="1" x14ac:dyDescent="0.3">
      <c r="A6" s="5"/>
      <c r="B6" s="318" t="s">
        <v>2201</v>
      </c>
      <c r="C6" s="9"/>
      <c r="D6" s="9"/>
      <c r="E6" s="9"/>
      <c r="F6" s="9"/>
      <c r="G6" s="9"/>
      <c r="H6" s="52"/>
    </row>
    <row r="7" spans="1:10" s="2" customFormat="1" x14ac:dyDescent="0.3">
      <c r="A7" s="5"/>
      <c r="B7" s="318" t="s">
        <v>1199</v>
      </c>
      <c r="C7" s="9"/>
      <c r="D7" s="9"/>
      <c r="E7" s="9"/>
      <c r="F7" s="9"/>
      <c r="G7" s="9"/>
      <c r="H7" s="52"/>
    </row>
    <row r="8" spans="1:10" s="2" customFormat="1" x14ac:dyDescent="0.3">
      <c r="A8" s="5"/>
      <c r="B8" s="318" t="s">
        <v>2097</v>
      </c>
      <c r="C8" s="9"/>
      <c r="D8" s="9"/>
      <c r="E8" s="9"/>
      <c r="F8" s="9"/>
      <c r="G8" s="9"/>
      <c r="H8" s="52"/>
    </row>
    <row r="9" spans="1:10" s="2" customFormat="1" x14ac:dyDescent="0.3">
      <c r="A9" s="5"/>
      <c r="B9" s="318" t="s">
        <v>2096</v>
      </c>
      <c r="C9" s="9"/>
      <c r="D9" s="9"/>
      <c r="E9" s="9"/>
      <c r="F9" s="9"/>
      <c r="G9" s="9"/>
      <c r="H9" s="52"/>
    </row>
    <row r="10" spans="1:10" s="2" customFormat="1" x14ac:dyDescent="0.3">
      <c r="A10" s="5"/>
      <c r="B10" s="319" t="s">
        <v>392</v>
      </c>
      <c r="C10" s="54"/>
      <c r="D10" s="54"/>
      <c r="E10" s="54"/>
      <c r="F10" s="54"/>
      <c r="G10" s="54"/>
      <c r="H10" s="55"/>
    </row>
    <row r="11" spans="1:10" s="858" customFormat="1" x14ac:dyDescent="0.3">
      <c r="A11" s="856"/>
      <c r="B11" s="857"/>
    </row>
    <row r="12" spans="1:10" s="240" customFormat="1" ht="15" thickBot="1" x14ac:dyDescent="0.35"/>
    <row r="13" spans="1:10" ht="15.6" thickTop="1" thickBot="1" x14ac:dyDescent="0.35">
      <c r="B13" s="217" t="s">
        <v>352</v>
      </c>
      <c r="C13" s="715">
        <v>2</v>
      </c>
      <c r="G13" s="320" t="s">
        <v>389</v>
      </c>
      <c r="H13" s="312"/>
      <c r="I13" s="312"/>
      <c r="J13" s="321"/>
    </row>
    <row r="14" spans="1:10" ht="15" thickTop="1" x14ac:dyDescent="0.3">
      <c r="G14" s="324" t="s">
        <v>390</v>
      </c>
      <c r="H14" s="325"/>
      <c r="I14" s="325"/>
      <c r="J14" s="326"/>
    </row>
    <row r="15" spans="1:10" ht="15" thickBot="1" x14ac:dyDescent="0.35"/>
    <row r="16" spans="1:10" ht="15" thickTop="1" x14ac:dyDescent="0.3">
      <c r="B16" s="213" t="s">
        <v>324</v>
      </c>
      <c r="C16" s="244" t="s">
        <v>353</v>
      </c>
      <c r="D16" s="280"/>
      <c r="E16" s="286"/>
      <c r="F16" s="246" t="s">
        <v>354</v>
      </c>
      <c r="G16" s="280"/>
      <c r="H16" s="280"/>
      <c r="I16" s="266"/>
    </row>
    <row r="17" spans="1:9" ht="15" thickBot="1" x14ac:dyDescent="0.35">
      <c r="B17" s="212" t="s">
        <v>212</v>
      </c>
      <c r="C17" s="245" t="s">
        <v>355</v>
      </c>
      <c r="D17" s="281"/>
      <c r="E17" s="285"/>
      <c r="F17" s="247" t="s">
        <v>356</v>
      </c>
      <c r="G17" s="281"/>
      <c r="H17" s="281"/>
      <c r="I17" s="266"/>
    </row>
    <row r="18" spans="1:9" ht="15.6" thickTop="1" thickBot="1" x14ac:dyDescent="0.35">
      <c r="B18" s="273"/>
      <c r="C18" s="274"/>
      <c r="D18" s="277"/>
      <c r="E18" s="285"/>
      <c r="F18" s="300"/>
      <c r="G18" s="281"/>
      <c r="H18" s="281"/>
      <c r="I18" s="266"/>
    </row>
    <row r="19" spans="1:9" ht="15.6" thickTop="1" thickBot="1" x14ac:dyDescent="0.35">
      <c r="B19" s="284" t="s">
        <v>357</v>
      </c>
      <c r="C19" s="221" t="s">
        <v>326</v>
      </c>
      <c r="D19" s="223" t="s">
        <v>114</v>
      </c>
      <c r="E19" s="285"/>
      <c r="F19" s="221" t="s">
        <v>326</v>
      </c>
      <c r="G19" s="223" t="s">
        <v>114</v>
      </c>
      <c r="H19" s="281"/>
      <c r="I19" s="266"/>
    </row>
    <row r="20" spans="1:9" ht="15" thickTop="1" x14ac:dyDescent="0.3">
      <c r="A20" s="259"/>
      <c r="B20" s="32" t="s">
        <v>52</v>
      </c>
      <c r="C20" s="612">
        <v>1.2E-2</v>
      </c>
      <c r="D20" s="613">
        <v>1.7999999999999999E-2</v>
      </c>
      <c r="E20" s="285"/>
      <c r="F20" s="614">
        <v>2.4E-2</v>
      </c>
      <c r="G20" s="613">
        <v>3.5999999999999997E-2</v>
      </c>
      <c r="H20" s="281"/>
      <c r="I20" s="266"/>
    </row>
    <row r="21" spans="1:9" x14ac:dyDescent="0.3">
      <c r="A21" s="259"/>
      <c r="B21" s="33" t="s">
        <v>360</v>
      </c>
      <c r="C21" s="615">
        <v>-0.01</v>
      </c>
      <c r="D21" s="616">
        <v>-1.7999999999999999E-2</v>
      </c>
      <c r="E21" s="285"/>
      <c r="F21" s="617">
        <v>0.01</v>
      </c>
      <c r="G21" s="616">
        <v>1.7999999999999999E-2</v>
      </c>
      <c r="H21" s="281"/>
      <c r="I21" s="266"/>
    </row>
    <row r="22" spans="1:9" ht="15" thickBot="1" x14ac:dyDescent="0.35">
      <c r="A22" s="259"/>
      <c r="B22" s="34" t="s">
        <v>361</v>
      </c>
      <c r="C22" s="618">
        <v>1.2E-2</v>
      </c>
      <c r="D22" s="619">
        <v>1.7999999999999999E-2</v>
      </c>
      <c r="E22" s="285"/>
      <c r="F22" s="620">
        <v>2.4E-2</v>
      </c>
      <c r="G22" s="619">
        <v>3.5999999999999997E-2</v>
      </c>
      <c r="H22" s="281"/>
      <c r="I22" s="266"/>
    </row>
    <row r="23" spans="1:9" ht="15.6" thickTop="1" thickBot="1" x14ac:dyDescent="0.35">
      <c r="A23" s="259"/>
      <c r="B23" s="273"/>
      <c r="C23" s="274"/>
      <c r="D23" s="281"/>
      <c r="E23" s="285"/>
      <c r="F23" s="300"/>
      <c r="G23" s="281"/>
      <c r="H23" s="281"/>
      <c r="I23" s="266"/>
    </row>
    <row r="24" spans="1:9" ht="15.6" thickTop="1" thickBot="1" x14ac:dyDescent="0.35">
      <c r="B24" s="272" t="s">
        <v>359</v>
      </c>
      <c r="C24" s="221" t="s">
        <v>326</v>
      </c>
      <c r="D24" s="223" t="s">
        <v>114</v>
      </c>
      <c r="E24" s="285"/>
      <c r="F24" s="221" t="s">
        <v>326</v>
      </c>
      <c r="G24" s="223" t="s">
        <v>114</v>
      </c>
      <c r="H24" s="281"/>
      <c r="I24" s="266"/>
    </row>
    <row r="25" spans="1:9" ht="15.6" thickTop="1" thickBot="1" x14ac:dyDescent="0.35">
      <c r="B25" s="32" t="s">
        <v>52</v>
      </c>
      <c r="C25" s="612">
        <v>-0.03</v>
      </c>
      <c r="D25" s="795">
        <v>-0.03</v>
      </c>
      <c r="E25" s="285"/>
      <c r="F25" s="329">
        <v>0.03</v>
      </c>
      <c r="G25" s="328">
        <v>0.03</v>
      </c>
      <c r="H25" s="281"/>
      <c r="I25" s="266"/>
    </row>
    <row r="26" spans="1:9" ht="15.6" thickTop="1" thickBot="1" x14ac:dyDescent="0.35">
      <c r="B26" s="303"/>
      <c r="C26" s="301"/>
      <c r="D26" s="281"/>
      <c r="E26" s="285"/>
      <c r="F26" s="300"/>
      <c r="G26" s="281"/>
      <c r="H26" s="281"/>
      <c r="I26" s="266"/>
    </row>
    <row r="27" spans="1:9" ht="15.6" thickTop="1" thickBot="1" x14ac:dyDescent="0.35">
      <c r="B27" s="276"/>
      <c r="C27" s="221" t="s">
        <v>326</v>
      </c>
      <c r="D27" s="223" t="s">
        <v>114</v>
      </c>
      <c r="E27" s="285"/>
      <c r="F27" s="221" t="s">
        <v>326</v>
      </c>
      <c r="G27" s="223" t="s">
        <v>114</v>
      </c>
      <c r="H27" s="281"/>
      <c r="I27" s="266"/>
    </row>
    <row r="28" spans="1:9" ht="15" thickTop="1" x14ac:dyDescent="0.3">
      <c r="B28" s="32" t="s">
        <v>363</v>
      </c>
      <c r="C28" s="621">
        <v>7.0000000000000001E-3</v>
      </c>
      <c r="D28" s="622">
        <v>0.01</v>
      </c>
      <c r="E28" s="285"/>
      <c r="F28" s="623">
        <v>1.2999999999999999E-2</v>
      </c>
      <c r="G28" s="622">
        <v>1.6E-2</v>
      </c>
      <c r="H28" s="281"/>
      <c r="I28" s="266"/>
    </row>
    <row r="29" spans="1:9" x14ac:dyDescent="0.3">
      <c r="B29" s="33" t="s">
        <v>362</v>
      </c>
      <c r="C29" s="624">
        <v>8.0000000000000002E-3</v>
      </c>
      <c r="D29" s="625">
        <v>8.3000000000000004E-2</v>
      </c>
      <c r="E29" s="285"/>
      <c r="F29" s="626">
        <v>0.158</v>
      </c>
      <c r="G29" s="625">
        <v>0.23300000000000001</v>
      </c>
      <c r="H29" s="281"/>
      <c r="I29" s="266"/>
    </row>
    <row r="30" spans="1:9" ht="15" thickBot="1" x14ac:dyDescent="0.35">
      <c r="B30" s="34" t="s">
        <v>2156</v>
      </c>
      <c r="C30" s="627">
        <v>0.01</v>
      </c>
      <c r="D30" s="628">
        <v>1.4999999999999999E-2</v>
      </c>
      <c r="E30" s="285"/>
      <c r="F30" s="629">
        <v>0.02</v>
      </c>
      <c r="G30" s="628">
        <v>2.5000000000000001E-2</v>
      </c>
      <c r="H30" s="281"/>
      <c r="I30" s="266"/>
    </row>
    <row r="31" spans="1:9" ht="15.6" thickTop="1" thickBot="1" x14ac:dyDescent="0.35">
      <c r="B31" s="273"/>
      <c r="C31" s="274"/>
      <c r="D31" s="281"/>
      <c r="E31" s="285"/>
      <c r="F31" s="300"/>
      <c r="G31" s="281"/>
      <c r="H31" s="281"/>
      <c r="I31" s="266"/>
    </row>
    <row r="32" spans="1:9" ht="15.6" thickTop="1" thickBot="1" x14ac:dyDescent="0.35">
      <c r="B32" s="284" t="s">
        <v>364</v>
      </c>
      <c r="C32" s="221" t="s">
        <v>326</v>
      </c>
      <c r="D32" s="223" t="s">
        <v>114</v>
      </c>
      <c r="E32" s="285"/>
      <c r="F32" s="221" t="s">
        <v>326</v>
      </c>
      <c r="G32" s="223" t="s">
        <v>114</v>
      </c>
      <c r="H32" s="281"/>
      <c r="I32" s="266"/>
    </row>
    <row r="33" spans="1:9" ht="15" thickTop="1" x14ac:dyDescent="0.3">
      <c r="B33" s="302" t="s">
        <v>113</v>
      </c>
      <c r="C33" s="796">
        <v>0.01</v>
      </c>
      <c r="D33" s="797">
        <v>0.01</v>
      </c>
      <c r="E33" s="285"/>
      <c r="F33" s="798">
        <v>0.01</v>
      </c>
      <c r="G33" s="797">
        <v>0.01</v>
      </c>
      <c r="H33" s="281"/>
      <c r="I33" s="266"/>
    </row>
    <row r="34" spans="1:9" x14ac:dyDescent="0.3">
      <c r="B34" s="33" t="s">
        <v>79</v>
      </c>
      <c r="C34" s="615">
        <v>5.0000000000000001E-3</v>
      </c>
      <c r="D34" s="616">
        <v>5.0000000000000001E-3</v>
      </c>
      <c r="E34" s="285"/>
      <c r="F34" s="617">
        <v>5.0000000000000001E-3</v>
      </c>
      <c r="G34" s="616">
        <v>5.0000000000000001E-3</v>
      </c>
      <c r="H34" s="281"/>
      <c r="I34" s="266"/>
    </row>
    <row r="35" spans="1:9" x14ac:dyDescent="0.3">
      <c r="B35" s="33" t="s">
        <v>365</v>
      </c>
      <c r="C35" s="615">
        <v>0.01</v>
      </c>
      <c r="D35" s="616">
        <v>0.01</v>
      </c>
      <c r="E35" s="285"/>
      <c r="F35" s="617">
        <v>0.01</v>
      </c>
      <c r="G35" s="616">
        <v>0.01</v>
      </c>
      <c r="H35" s="281"/>
      <c r="I35" s="266"/>
    </row>
    <row r="36" spans="1:9" x14ac:dyDescent="0.3">
      <c r="B36" s="33" t="s">
        <v>68</v>
      </c>
      <c r="C36" s="615">
        <v>0</v>
      </c>
      <c r="D36" s="616">
        <v>0</v>
      </c>
      <c r="E36" s="285"/>
      <c r="F36" s="617">
        <v>0</v>
      </c>
      <c r="G36" s="616">
        <v>0</v>
      </c>
      <c r="H36" s="281"/>
      <c r="I36" s="266"/>
    </row>
    <row r="37" spans="1:9" ht="15" thickBot="1" x14ac:dyDescent="0.35">
      <c r="B37" s="33" t="s">
        <v>112</v>
      </c>
      <c r="C37" s="615">
        <v>-1E-3</v>
      </c>
      <c r="D37" s="616">
        <v>-1E-3</v>
      </c>
      <c r="E37" s="285"/>
      <c r="F37" s="617">
        <v>-1E-3</v>
      </c>
      <c r="G37" s="616">
        <v>-1E-3</v>
      </c>
      <c r="H37" s="281"/>
      <c r="I37" s="266"/>
    </row>
    <row r="38" spans="1:9" ht="15.6" thickTop="1" thickBot="1" x14ac:dyDescent="0.35">
      <c r="B38" s="274"/>
      <c r="C38" s="301"/>
      <c r="D38" s="280"/>
      <c r="E38" s="275"/>
      <c r="F38" s="301"/>
      <c r="G38" s="280"/>
      <c r="H38" s="277"/>
      <c r="I38" s="266"/>
    </row>
    <row r="39" spans="1:9" ht="15.6" thickTop="1" thickBot="1" x14ac:dyDescent="0.35">
      <c r="B39" s="304" t="s">
        <v>367</v>
      </c>
      <c r="C39" s="221" t="s">
        <v>2157</v>
      </c>
      <c r="D39" s="222" t="s">
        <v>366</v>
      </c>
      <c r="E39" s="669" t="s">
        <v>1977</v>
      </c>
      <c r="F39" s="221" t="s">
        <v>2157</v>
      </c>
      <c r="G39" s="222" t="s">
        <v>366</v>
      </c>
      <c r="H39" s="222" t="s">
        <v>1977</v>
      </c>
      <c r="I39" s="266"/>
    </row>
    <row r="40" spans="1:9" ht="15" thickTop="1" x14ac:dyDescent="0.3">
      <c r="B40" s="32" t="s">
        <v>282</v>
      </c>
      <c r="C40" s="799">
        <v>-0.01</v>
      </c>
      <c r="D40" s="728">
        <v>-0.01</v>
      </c>
      <c r="E40" s="859"/>
      <c r="F40" s="800">
        <v>-0.01</v>
      </c>
      <c r="G40" s="728">
        <v>-0.01</v>
      </c>
      <c r="H40" s="859"/>
      <c r="I40" s="266"/>
    </row>
    <row r="41" spans="1:9" ht="15" thickBot="1" x14ac:dyDescent="0.35">
      <c r="B41" s="34" t="s">
        <v>11</v>
      </c>
      <c r="C41" s="801">
        <v>-0.01</v>
      </c>
      <c r="D41" s="802">
        <v>0</v>
      </c>
      <c r="E41" s="619">
        <v>0.05</v>
      </c>
      <c r="F41" s="617">
        <v>-0.01</v>
      </c>
      <c r="G41" s="803">
        <v>0</v>
      </c>
      <c r="H41" s="802">
        <v>0.05</v>
      </c>
      <c r="I41" s="266"/>
    </row>
    <row r="42" spans="1:9" ht="15.6" thickTop="1" thickBot="1" x14ac:dyDescent="0.35">
      <c r="B42" s="274"/>
      <c r="C42" s="301"/>
      <c r="D42" s="280"/>
      <c r="E42" s="286"/>
      <c r="F42" s="301"/>
      <c r="G42" s="280"/>
      <c r="H42" s="280"/>
      <c r="I42" s="266"/>
    </row>
    <row r="43" spans="1:9" ht="15.6" thickTop="1" thickBot="1" x14ac:dyDescent="0.35">
      <c r="B43" s="304" t="s">
        <v>139</v>
      </c>
      <c r="C43" s="300"/>
      <c r="D43" s="281"/>
      <c r="E43" s="285"/>
      <c r="F43" s="300"/>
      <c r="G43" s="281"/>
      <c r="H43" s="281"/>
      <c r="I43" s="266"/>
    </row>
    <row r="44" spans="1:9" ht="15" thickTop="1" x14ac:dyDescent="0.3">
      <c r="A44" s="259">
        <f>Internal!L2</f>
        <v>1</v>
      </c>
      <c r="B44" s="32" t="str">
        <f>Internal!M2</f>
        <v>Electricity</v>
      </c>
      <c r="C44" s="804">
        <v>6.9999999999999993E-3</v>
      </c>
      <c r="D44" s="281"/>
      <c r="E44" s="285"/>
      <c r="F44" s="806">
        <v>6.9999999999999993E-3</v>
      </c>
      <c r="G44" s="281"/>
      <c r="H44" s="281"/>
      <c r="I44" s="266"/>
    </row>
    <row r="45" spans="1:9" x14ac:dyDescent="0.3">
      <c r="A45" s="259">
        <f>Internal!L3</f>
        <v>2</v>
      </c>
      <c r="B45" s="33" t="str">
        <f>Internal!M3</f>
        <v>LPG</v>
      </c>
      <c r="C45" s="805">
        <v>8.0000000000000002E-3</v>
      </c>
      <c r="D45" s="281"/>
      <c r="E45" s="285"/>
      <c r="F45" s="807">
        <v>8.0000000000000002E-3</v>
      </c>
      <c r="G45" s="281"/>
      <c r="H45" s="281"/>
      <c r="I45" s="266"/>
    </row>
    <row r="46" spans="1:9" x14ac:dyDescent="0.3">
      <c r="A46" s="259">
        <f>Internal!L4</f>
        <v>3</v>
      </c>
      <c r="B46" s="33" t="str">
        <f>Internal!M4</f>
        <v>Biogas</v>
      </c>
      <c r="C46" s="805">
        <v>6.9999999999999993E-3</v>
      </c>
      <c r="D46" s="281"/>
      <c r="E46" s="285"/>
      <c r="F46" s="807">
        <v>6.9999999999999993E-3</v>
      </c>
      <c r="G46" s="281"/>
      <c r="H46" s="281"/>
      <c r="I46" s="266"/>
    </row>
    <row r="47" spans="1:9" x14ac:dyDescent="0.3">
      <c r="A47" s="259">
        <f>Internal!L5</f>
        <v>4</v>
      </c>
      <c r="B47" s="33" t="str">
        <f>Internal!M5</f>
        <v>Charcoal</v>
      </c>
      <c r="C47" s="805">
        <v>8.0000000000000002E-3</v>
      </c>
      <c r="D47" s="281"/>
      <c r="E47" s="285"/>
      <c r="F47" s="807">
        <v>8.0000000000000002E-3</v>
      </c>
      <c r="G47" s="281"/>
      <c r="H47" s="281"/>
      <c r="I47" s="266"/>
    </row>
    <row r="48" spans="1:9" x14ac:dyDescent="0.3">
      <c r="A48" s="259">
        <f>Internal!L6</f>
        <v>5</v>
      </c>
      <c r="B48" s="33" t="str">
        <f>Internal!M6</f>
        <v>Com-Firewood</v>
      </c>
      <c r="C48" s="805">
        <v>8.0000000000000002E-3</v>
      </c>
      <c r="D48" s="281"/>
      <c r="E48" s="285"/>
      <c r="F48" s="807">
        <v>8.0000000000000002E-3</v>
      </c>
      <c r="G48" s="281"/>
      <c r="H48" s="281"/>
      <c r="I48" s="266"/>
    </row>
    <row r="49" spans="1:9" x14ac:dyDescent="0.3">
      <c r="A49" s="259">
        <f>Internal!L7</f>
        <v>6</v>
      </c>
      <c r="B49" s="33" t="str">
        <f>Internal!M7</f>
        <v>Free-Biomass</v>
      </c>
      <c r="C49" s="805">
        <v>4.0000000000000001E-3</v>
      </c>
      <c r="D49" s="281"/>
      <c r="E49" s="285"/>
      <c r="F49" s="807">
        <v>4.0000000000000001E-3</v>
      </c>
      <c r="G49" s="281"/>
      <c r="H49" s="281"/>
      <c r="I49" s="266"/>
    </row>
    <row r="50" spans="1:9" x14ac:dyDescent="0.3">
      <c r="A50" s="259">
        <f>Internal!L8</f>
        <v>7</v>
      </c>
      <c r="B50" s="33" t="str">
        <f>Internal!M8</f>
        <v>Pellets</v>
      </c>
      <c r="C50" s="805">
        <v>6.9999999999999993E-3</v>
      </c>
      <c r="D50" s="281"/>
      <c r="E50" s="285"/>
      <c r="F50" s="807">
        <v>6.9999999999999993E-3</v>
      </c>
      <c r="G50" s="281"/>
      <c r="H50" s="281"/>
      <c r="I50" s="266"/>
    </row>
    <row r="51" spans="1:9" x14ac:dyDescent="0.3">
      <c r="A51" s="259">
        <f>Internal!L9</f>
        <v>8</v>
      </c>
      <c r="B51" s="33" t="str">
        <f>Internal!M9</f>
        <v>Free-Firewood</v>
      </c>
      <c r="C51" s="805">
        <v>6.0000000000000001E-3</v>
      </c>
      <c r="D51" s="281"/>
      <c r="E51" s="285"/>
      <c r="F51" s="807">
        <v>6.0000000000000001E-3</v>
      </c>
      <c r="G51" s="281"/>
      <c r="H51" s="281"/>
      <c r="I51" s="266"/>
    </row>
    <row r="52" spans="1:9" x14ac:dyDescent="0.3">
      <c r="A52" s="259">
        <f>Internal!L10</f>
        <v>9</v>
      </c>
      <c r="B52" s="33" t="str">
        <f>Internal!M10</f>
        <v>Ethanol</v>
      </c>
      <c r="C52" s="805">
        <v>6.0000000000000001E-3</v>
      </c>
      <c r="D52" s="281"/>
      <c r="E52" s="285"/>
      <c r="F52" s="807">
        <v>6.0000000000000001E-3</v>
      </c>
      <c r="G52" s="281"/>
      <c r="H52" s="281"/>
      <c r="I52" s="266"/>
    </row>
    <row r="53" spans="1:9" ht="0.75" customHeight="1" thickBot="1" x14ac:dyDescent="0.35">
      <c r="A53" s="259"/>
      <c r="B53" s="38"/>
      <c r="C53" s="305"/>
      <c r="D53" s="281"/>
      <c r="E53" s="285"/>
      <c r="F53" s="306"/>
      <c r="G53" s="281"/>
      <c r="H53" s="281"/>
      <c r="I53" s="266"/>
    </row>
    <row r="54" spans="1:9" ht="15.6" thickTop="1" thickBot="1" x14ac:dyDescent="0.35">
      <c r="B54" s="274"/>
      <c r="C54" s="301"/>
      <c r="D54" s="281"/>
      <c r="E54" s="285"/>
      <c r="F54" s="301"/>
      <c r="G54" s="281"/>
      <c r="H54" s="281"/>
      <c r="I54" s="266"/>
    </row>
    <row r="55" spans="1:9" ht="15.6" thickTop="1" thickBot="1" x14ac:dyDescent="0.35">
      <c r="B55" s="304" t="s">
        <v>139</v>
      </c>
      <c r="C55" s="300"/>
      <c r="D55" s="281"/>
      <c r="E55" s="285"/>
      <c r="F55" s="300"/>
      <c r="G55" s="281"/>
      <c r="H55" s="281"/>
      <c r="I55" s="266"/>
    </row>
    <row r="56" spans="1:9" ht="15" thickTop="1" x14ac:dyDescent="0.3">
      <c r="A56" s="259">
        <f>Internal!P2</f>
        <v>1</v>
      </c>
      <c r="B56" s="31" t="str">
        <f>Internal!Q2</f>
        <v>Electric_0</v>
      </c>
      <c r="C56" s="804">
        <v>6.9999999999999993E-3</v>
      </c>
      <c r="D56" s="281"/>
      <c r="E56" s="281"/>
      <c r="F56" s="806">
        <v>6.9999999999999993E-3</v>
      </c>
      <c r="G56" s="281"/>
      <c r="H56" s="281"/>
      <c r="I56" s="266"/>
    </row>
    <row r="57" spans="1:9" x14ac:dyDescent="0.3">
      <c r="A57" s="259">
        <f>Internal!P3</f>
        <v>2</v>
      </c>
      <c r="B57" s="18" t="str">
        <f>Internal!Q3</f>
        <v>Electric_1</v>
      </c>
      <c r="C57" s="805">
        <v>8.0000000000000002E-3</v>
      </c>
      <c r="D57" s="281"/>
      <c r="E57" s="281"/>
      <c r="F57" s="807">
        <v>8.0000000000000002E-3</v>
      </c>
      <c r="G57" s="281"/>
      <c r="H57" s="281"/>
      <c r="I57" s="266"/>
    </row>
    <row r="58" spans="1:9" x14ac:dyDescent="0.3">
      <c r="A58" s="259">
        <f>Internal!P4</f>
        <v>3</v>
      </c>
      <c r="B58" s="18" t="str">
        <f>Internal!Q4</f>
        <v>Electric_2</v>
      </c>
      <c r="C58" s="805">
        <v>8.0000000000000002E-3</v>
      </c>
      <c r="D58" s="281"/>
      <c r="E58" s="281"/>
      <c r="F58" s="807">
        <v>8.0000000000000002E-3</v>
      </c>
      <c r="G58" s="281"/>
      <c r="H58" s="281"/>
      <c r="I58" s="266"/>
    </row>
    <row r="59" spans="1:9" x14ac:dyDescent="0.3">
      <c r="A59" s="259">
        <f>Internal!P5</f>
        <v>4</v>
      </c>
      <c r="B59" s="18" t="str">
        <f>Internal!Q5</f>
        <v>LPG</v>
      </c>
      <c r="C59" s="805">
        <v>4.0000000000000001E-3</v>
      </c>
      <c r="D59" s="281"/>
      <c r="E59" s="281"/>
      <c r="F59" s="807">
        <v>4.0000000000000001E-3</v>
      </c>
      <c r="G59" s="281"/>
      <c r="H59" s="281"/>
      <c r="I59" s="266"/>
    </row>
    <row r="60" spans="1:9" x14ac:dyDescent="0.3">
      <c r="A60" s="259">
        <f>Internal!P6</f>
        <v>5</v>
      </c>
      <c r="B60" s="18" t="str">
        <f>Internal!Q6</f>
        <v>Biogas</v>
      </c>
      <c r="C60" s="805">
        <v>6.9999999999999993E-3</v>
      </c>
      <c r="D60" s="281"/>
      <c r="E60" s="281"/>
      <c r="F60" s="807">
        <v>6.9999999999999993E-3</v>
      </c>
      <c r="G60" s="281"/>
      <c r="H60" s="281"/>
      <c r="I60" s="266"/>
    </row>
    <row r="61" spans="1:9" x14ac:dyDescent="0.3">
      <c r="A61" s="259">
        <f>Internal!P7</f>
        <v>6</v>
      </c>
      <c r="B61" s="18" t="str">
        <f>Internal!Q7</f>
        <v>Charcoal_0</v>
      </c>
      <c r="C61" s="805">
        <v>6.0000000000000001E-3</v>
      </c>
      <c r="D61" s="281"/>
      <c r="E61" s="281"/>
      <c r="F61" s="807">
        <v>6.0000000000000001E-3</v>
      </c>
      <c r="G61" s="281"/>
      <c r="H61" s="281"/>
      <c r="I61" s="266"/>
    </row>
    <row r="62" spans="1:9" x14ac:dyDescent="0.3">
      <c r="A62" s="259">
        <f>Internal!P8</f>
        <v>7</v>
      </c>
      <c r="B62" s="18" t="str">
        <f>Internal!Q8</f>
        <v>Charcoal_1</v>
      </c>
      <c r="C62" s="805">
        <v>6.0000000000000001E-3</v>
      </c>
      <c r="D62" s="281"/>
      <c r="E62" s="281"/>
      <c r="F62" s="807">
        <v>6.0000000000000001E-3</v>
      </c>
      <c r="G62" s="281"/>
      <c r="H62" s="281"/>
      <c r="I62" s="266"/>
    </row>
    <row r="63" spans="1:9" x14ac:dyDescent="0.3">
      <c r="A63" s="259">
        <f>Internal!P9</f>
        <v>8</v>
      </c>
      <c r="B63" s="18" t="str">
        <f>Internal!Q9</f>
        <v>Charcoal_2</v>
      </c>
      <c r="C63" s="805">
        <v>6.0000000000000001E-3</v>
      </c>
      <c r="D63" s="281"/>
      <c r="E63" s="281"/>
      <c r="F63" s="807">
        <v>6.0000000000000001E-3</v>
      </c>
      <c r="G63" s="281"/>
      <c r="H63" s="281"/>
      <c r="I63" s="266"/>
    </row>
    <row r="64" spans="1:9" x14ac:dyDescent="0.3">
      <c r="A64" s="259">
        <f>Internal!P10</f>
        <v>9</v>
      </c>
      <c r="B64" s="18" t="str">
        <f>Internal!Q10</f>
        <v>Firewood-Bio_0</v>
      </c>
      <c r="C64" s="805">
        <v>6.0000000000000001E-3</v>
      </c>
      <c r="D64" s="281"/>
      <c r="E64" s="281"/>
      <c r="F64" s="807">
        <v>6.0000000000000001E-3</v>
      </c>
      <c r="G64" s="281"/>
      <c r="H64" s="281"/>
      <c r="I64" s="266"/>
    </row>
    <row r="65" spans="1:9" x14ac:dyDescent="0.3">
      <c r="A65" s="259">
        <f>Internal!P11</f>
        <v>10</v>
      </c>
      <c r="B65" s="18" t="str">
        <f>Internal!Q11</f>
        <v>Firewood-Bio_1</v>
      </c>
      <c r="C65" s="805">
        <v>6.0000000000000001E-3</v>
      </c>
      <c r="D65" s="281"/>
      <c r="E65" s="281"/>
      <c r="F65" s="807">
        <v>6.0000000000000001E-3</v>
      </c>
      <c r="G65" s="281"/>
      <c r="H65" s="281"/>
      <c r="I65" s="266"/>
    </row>
    <row r="66" spans="1:9" x14ac:dyDescent="0.3">
      <c r="A66" s="259">
        <f>Internal!P12</f>
        <v>11</v>
      </c>
      <c r="B66" s="18" t="str">
        <f>Internal!Q12</f>
        <v>Firewood-Bio_2</v>
      </c>
      <c r="C66" s="805">
        <v>6.0000000000000001E-3</v>
      </c>
      <c r="D66" s="281"/>
      <c r="E66" s="281"/>
      <c r="F66" s="807">
        <v>6.0000000000000001E-3</v>
      </c>
      <c r="G66" s="281"/>
      <c r="H66" s="281"/>
      <c r="I66" s="266"/>
    </row>
    <row r="67" spans="1:9" x14ac:dyDescent="0.3">
      <c r="A67" s="259">
        <f>Internal!P13</f>
        <v>12</v>
      </c>
      <c r="B67" s="18" t="str">
        <f>Internal!Q13</f>
        <v>Pellets</v>
      </c>
      <c r="C67" s="805">
        <v>6.0000000000000001E-3</v>
      </c>
      <c r="D67" s="281"/>
      <c r="E67" s="281"/>
      <c r="F67" s="807">
        <v>6.0000000000000001E-3</v>
      </c>
      <c r="G67" s="281"/>
      <c r="H67" s="281"/>
      <c r="I67" s="266"/>
    </row>
    <row r="68" spans="1:9" x14ac:dyDescent="0.3">
      <c r="A68" s="259">
        <f>Internal!P14</f>
        <v>13</v>
      </c>
      <c r="B68" s="18" t="str">
        <f>Internal!Q14</f>
        <v>Ethanol</v>
      </c>
      <c r="C68" s="805">
        <v>6.0000000000000001E-3</v>
      </c>
      <c r="D68" s="281"/>
      <c r="E68" s="281"/>
      <c r="F68" s="807">
        <v>6.0000000000000001E-3</v>
      </c>
      <c r="G68" s="281"/>
      <c r="H68" s="281"/>
      <c r="I68" s="266"/>
    </row>
    <row r="69" spans="1:9" ht="0.75" customHeight="1" thickBot="1" x14ac:dyDescent="0.35">
      <c r="A69" s="259">
        <f>Internal!P16</f>
        <v>0</v>
      </c>
      <c r="B69" s="241">
        <f>Internal!Q16</f>
        <v>0</v>
      </c>
      <c r="C69" s="305"/>
      <c r="D69" s="275"/>
      <c r="E69" s="256"/>
      <c r="F69" s="305"/>
      <c r="G69" s="275"/>
      <c r="H69" s="778"/>
      <c r="I69" s="266"/>
    </row>
    <row r="70" spans="1:9" ht="15" thickTop="1" x14ac:dyDescent="0.3">
      <c r="H70" s="343"/>
    </row>
  </sheetData>
  <sheetProtection algorithmName="SHA-512" hashValue="he52JZmvTZ32gM/oEULpsv3rs+Sm4S1Ob4JyFLrw1qKWt7/+xgDdvB2YjCuqXbul1zy5H7boQc4xqwQKa4erng==" saltValue="xAeBKJyfBV5loeeuYIwiWw==" spinCount="100000" sheet="1" objects="1" scenarios="1" selectLockedCells="1"/>
  <conditionalFormatting sqref="C17 E69 F58:F68 C41:G41 C40:D40 F40:G40 C46:C53 F46:F53 C58:C69">
    <cfRule type="containsBlanks" dxfId="44" priority="542">
      <formula>LEN(TRIM(C17))=0</formula>
    </cfRule>
  </conditionalFormatting>
  <conditionalFormatting sqref="C16">
    <cfRule type="containsBlanks" dxfId="43" priority="539">
      <formula>LEN(TRIM(C16))=0</formula>
    </cfRule>
  </conditionalFormatting>
  <conditionalFormatting sqref="C44 F44">
    <cfRule type="containsBlanks" dxfId="42" priority="538">
      <formula>LEN(TRIM(C44))=0</formula>
    </cfRule>
  </conditionalFormatting>
  <conditionalFormatting sqref="C45 F45">
    <cfRule type="containsBlanks" dxfId="41" priority="537">
      <formula>LEN(TRIM(C45))=0</formula>
    </cfRule>
  </conditionalFormatting>
  <conditionalFormatting sqref="C56 F56">
    <cfRule type="containsBlanks" dxfId="40" priority="536">
      <formula>LEN(TRIM(C56))=0</formula>
    </cfRule>
  </conditionalFormatting>
  <conditionalFormatting sqref="C57 F57">
    <cfRule type="containsBlanks" dxfId="39" priority="535">
      <formula>LEN(TRIM(C57))=0</formula>
    </cfRule>
  </conditionalFormatting>
  <conditionalFormatting sqref="C13">
    <cfRule type="containsBlanks" dxfId="38" priority="528">
      <formula>LEN(TRIM(C13))=0</formula>
    </cfRule>
  </conditionalFormatting>
  <conditionalFormatting sqref="C20:C21">
    <cfRule type="containsBlanks" dxfId="37" priority="527">
      <formula>LEN(TRIM(C20))=0</formula>
    </cfRule>
  </conditionalFormatting>
  <conditionalFormatting sqref="C22:D22">
    <cfRule type="containsBlanks" dxfId="36" priority="526">
      <formula>LEN(TRIM(C22))=0</formula>
    </cfRule>
  </conditionalFormatting>
  <conditionalFormatting sqref="F17">
    <cfRule type="containsBlanks" dxfId="35" priority="525">
      <formula>LEN(TRIM(F17))=0</formula>
    </cfRule>
  </conditionalFormatting>
  <conditionalFormatting sqref="F16">
    <cfRule type="containsBlanks" dxfId="34" priority="524">
      <formula>LEN(TRIM(F16))=0</formula>
    </cfRule>
  </conditionalFormatting>
  <conditionalFormatting sqref="F20:F21">
    <cfRule type="containsBlanks" dxfId="33" priority="523">
      <formula>LEN(TRIM(F20))=0</formula>
    </cfRule>
  </conditionalFormatting>
  <conditionalFormatting sqref="F22">
    <cfRule type="containsBlanks" dxfId="32" priority="522">
      <formula>LEN(TRIM(F22))=0</formula>
    </cfRule>
  </conditionalFormatting>
  <conditionalFormatting sqref="D20:D21">
    <cfRule type="containsBlanks" dxfId="31" priority="500">
      <formula>LEN(TRIM(D20))=0</formula>
    </cfRule>
  </conditionalFormatting>
  <conditionalFormatting sqref="G20:G21">
    <cfRule type="containsBlanks" dxfId="30" priority="499">
      <formula>LEN(TRIM(G20))=0</formula>
    </cfRule>
  </conditionalFormatting>
  <conditionalFormatting sqref="G22">
    <cfRule type="containsBlanks" dxfId="29" priority="498">
      <formula>LEN(TRIM(G22))=0</formula>
    </cfRule>
  </conditionalFormatting>
  <conditionalFormatting sqref="C25">
    <cfRule type="containsBlanks" dxfId="28" priority="497">
      <formula>LEN(TRIM(C25))=0</formula>
    </cfRule>
  </conditionalFormatting>
  <conditionalFormatting sqref="F25">
    <cfRule type="containsBlanks" dxfId="27" priority="495">
      <formula>LEN(TRIM(F25))=0</formula>
    </cfRule>
  </conditionalFormatting>
  <conditionalFormatting sqref="D25">
    <cfRule type="containsBlanks" dxfId="26" priority="493">
      <formula>LEN(TRIM(D25))=0</formula>
    </cfRule>
  </conditionalFormatting>
  <conditionalFormatting sqref="G25">
    <cfRule type="containsBlanks" dxfId="25" priority="492">
      <formula>LEN(TRIM(G25))=0</formula>
    </cfRule>
  </conditionalFormatting>
  <conditionalFormatting sqref="C28:C29">
    <cfRule type="containsBlanks" dxfId="24" priority="490">
      <formula>LEN(TRIM(C28))=0</formula>
    </cfRule>
  </conditionalFormatting>
  <conditionalFormatting sqref="C30:D30 C33:D37">
    <cfRule type="containsBlanks" dxfId="23" priority="489">
      <formula>LEN(TRIM(C30))=0</formula>
    </cfRule>
  </conditionalFormatting>
  <conditionalFormatting sqref="F28:F29">
    <cfRule type="containsBlanks" dxfId="22" priority="488">
      <formula>LEN(TRIM(F28))=0</formula>
    </cfRule>
  </conditionalFormatting>
  <conditionalFormatting sqref="F30 F33:F37">
    <cfRule type="containsBlanks" dxfId="21" priority="487">
      <formula>LEN(TRIM(F30))=0</formula>
    </cfRule>
  </conditionalFormatting>
  <conditionalFormatting sqref="D28:D29">
    <cfRule type="containsBlanks" dxfId="20" priority="486">
      <formula>LEN(TRIM(D28))=0</formula>
    </cfRule>
  </conditionalFormatting>
  <conditionalFormatting sqref="G28:G29">
    <cfRule type="containsBlanks" dxfId="19" priority="485">
      <formula>LEN(TRIM(G28))=0</formula>
    </cfRule>
  </conditionalFormatting>
  <conditionalFormatting sqref="G30 G33:G37">
    <cfRule type="containsBlanks" dxfId="18" priority="484">
      <formula>LEN(TRIM(G30))=0</formula>
    </cfRule>
  </conditionalFormatting>
  <conditionalFormatting sqref="H41">
    <cfRule type="containsBlanks" dxfId="17" priority="195">
      <formula>LEN(TRIM(H41))=0</formula>
    </cfRule>
  </conditionalFormatting>
  <conditionalFormatting sqref="H69">
    <cfRule type="containsBlanks" dxfId="16" priority="194">
      <formula>LEN(TRIM(H69))=0</formula>
    </cfRule>
  </conditionalFormatting>
  <conditionalFormatting sqref="F69">
    <cfRule type="containsBlanks" dxfId="15" priority="193">
      <formula>LEN(TRIM(F69))=0</formula>
    </cfRule>
  </conditionalFormatting>
  <dataValidations count="6">
    <dataValidation type="whole" operator="greaterThan" allowBlank="1" showInputMessage="1" showErrorMessage="1" errorTitle="CleanCooking-inputs" error="Value always greater than one (&gt;1)." sqref="C13" xr:uid="{BBE8719A-62E3-4966-929F-39F93C1C0E4F}">
      <formula1>1</formula1>
    </dataValidation>
    <dataValidation type="decimal" operator="greaterThanOrEqual" allowBlank="1" showInputMessage="1" showErrorMessage="1" errorTitle="CleanCooking-inputs" error="Value must greater than or equal to zero." sqref="E25 H25" xr:uid="{7F9D95A2-24BA-4D0A-A714-D21567952174}">
      <formula1>0</formula1>
    </dataValidation>
    <dataValidation type="decimal" allowBlank="1" showInputMessage="1" showErrorMessage="1" errorTitle="CleanCooking-inputs" error="Value must be between zero and one [0,1]." sqref="H33:H37 E33:E37" xr:uid="{869CA5A1-92F2-42AC-A8EB-2DE9689A04F7}">
      <formula1>0</formula1>
      <formula2>1</formula2>
    </dataValidation>
    <dataValidation operator="greaterThanOrEqual" allowBlank="1" showInputMessage="1" showErrorMessage="1" errorTitle="CleanCooking-inputs" error="Value must greater than or equal to zero." sqref="H20:H22 E20:E22" xr:uid="{439C1400-2A72-4ABA-BCFD-C84A6758F7F1}"/>
    <dataValidation type="decimal" allowBlank="1" showInputMessage="1" showErrorMessage="1" errorTitle="CleanCooking-inputs" error="Value must be between -100% and 100%." sqref="C20:D22 F20:G22 C28:D30 F28:G30 C33:D37 F33:G37 F56:F68 C56:C68 C40:H41 C44:C52 F44:F52" xr:uid="{8F7A356F-F68A-4FA6-AC61-6F028466A1CC}">
      <formula1>-100</formula1>
      <formula2>100</formula2>
    </dataValidation>
    <dataValidation type="decimal" allowBlank="1" showInputMessage="1" showErrorMessage="1" errorTitle="CleanCooking-inputs" error="Value must greater than or equal to zero." sqref="C25:D25 F25:G25" xr:uid="{AAFD0111-BDCF-4380-8762-7D9179E23436}">
      <formula1>-1</formula1>
      <formula2>1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7" r:id="rId4" name="Button 13">
              <controlPr defaultSize="0" print="0" autoFill="0" autoPict="0" macro="[0]!Sheet23.CBt_UpdateScenarios_Click">
                <anchor moveWithCells="1" sizeWithCells="1">
                  <from>
                    <xdr:col>3</xdr:col>
                    <xdr:colOff>487680</xdr:colOff>
                    <xdr:row>11</xdr:row>
                    <xdr:rowOff>152400</xdr:rowOff>
                  </from>
                  <to>
                    <xdr:col>5</xdr:col>
                    <xdr:colOff>281940</xdr:colOff>
                    <xdr:row>14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63C0-EC53-4548-822C-80297EFB85D9}">
  <sheetPr codeName="Sheet31">
    <tabColor theme="7" tint="0.79998168889431442"/>
  </sheetPr>
  <dimension ref="A1:AD15"/>
  <sheetViews>
    <sheetView showRowColHeaders="0" zoomScaleNormal="100" workbookViewId="0">
      <selection activeCell="C10" sqref="C10"/>
    </sheetView>
  </sheetViews>
  <sheetFormatPr defaultColWidth="8.88671875" defaultRowHeight="14.4" x14ac:dyDescent="0.3"/>
  <cols>
    <col min="1" max="1" width="6.77734375" style="7" customWidth="1"/>
    <col min="2" max="2" width="19.77734375" style="8" customWidth="1"/>
    <col min="3" max="26" width="7.6640625" style="9" customWidth="1"/>
    <col min="27" max="27" width="3.77734375" style="9" customWidth="1"/>
    <col min="28" max="30" width="6.6640625" style="9" customWidth="1"/>
    <col min="31" max="16384" width="8.88671875" style="9"/>
  </cols>
  <sheetData>
    <row r="1" spans="1:30" s="4" customFormat="1" ht="70.2" customHeight="1" thickBot="1" x14ac:dyDescent="0.35">
      <c r="A1" s="3" t="s">
        <v>2159</v>
      </c>
      <c r="B1" s="10"/>
    </row>
    <row r="2" spans="1:30" s="2" customFormat="1" ht="15" thickTop="1" x14ac:dyDescent="0.3">
      <c r="A2" s="5"/>
      <c r="B2" s="6"/>
    </row>
    <row r="3" spans="1:30" s="2" customFormat="1" x14ac:dyDescent="0.3">
      <c r="A3" s="5"/>
      <c r="B3" s="643" t="s">
        <v>88</v>
      </c>
      <c r="C3" s="50"/>
      <c r="D3" s="50"/>
      <c r="E3" s="50"/>
      <c r="F3" s="50"/>
      <c r="G3" s="50"/>
      <c r="H3" s="50"/>
      <c r="I3" s="51"/>
    </row>
    <row r="4" spans="1:30" s="2" customFormat="1" x14ac:dyDescent="0.3">
      <c r="A4" s="5"/>
      <c r="B4" s="645" t="s">
        <v>120</v>
      </c>
      <c r="C4" s="9"/>
      <c r="D4" s="9"/>
      <c r="E4" s="9"/>
      <c r="F4" s="9"/>
      <c r="G4" s="9"/>
      <c r="H4" s="9"/>
      <c r="I4" s="52"/>
    </row>
    <row r="5" spans="1:30" s="2" customFormat="1" x14ac:dyDescent="0.3">
      <c r="A5" s="5"/>
      <c r="B5" s="318" t="s">
        <v>99</v>
      </c>
      <c r="C5" s="9"/>
      <c r="D5" s="9"/>
      <c r="E5" s="9"/>
      <c r="F5" s="9"/>
      <c r="G5" s="9"/>
      <c r="H5" s="9"/>
      <c r="I5" s="52"/>
    </row>
    <row r="6" spans="1:30" s="2" customFormat="1" x14ac:dyDescent="0.3">
      <c r="A6" s="5"/>
      <c r="B6" s="319" t="s">
        <v>100</v>
      </c>
      <c r="C6" s="54"/>
      <c r="D6" s="54"/>
      <c r="E6" s="54"/>
      <c r="F6" s="54"/>
      <c r="G6" s="54"/>
      <c r="H6" s="54"/>
      <c r="I6" s="55"/>
    </row>
    <row r="7" spans="1:30" s="2" customFormat="1" x14ac:dyDescent="0.3">
      <c r="A7" s="5"/>
      <c r="B7" s="6"/>
    </row>
    <row r="8" spans="1:30" ht="15" thickBot="1" x14ac:dyDescent="0.35"/>
    <row r="9" spans="1:30" ht="15.6" thickTop="1" thickBot="1" x14ac:dyDescent="0.35">
      <c r="B9" s="11" t="s">
        <v>44</v>
      </c>
      <c r="C9" s="12">
        <v>0</v>
      </c>
      <c r="D9" s="12">
        <v>4.1666666666666664E-2</v>
      </c>
      <c r="E9" s="12">
        <v>8.3333333333333329E-2</v>
      </c>
      <c r="F9" s="12">
        <v>0.125</v>
      </c>
      <c r="G9" s="12">
        <v>0.16666666666666699</v>
      </c>
      <c r="H9" s="12">
        <v>0.20833333333333401</v>
      </c>
      <c r="I9" s="12">
        <v>0.25</v>
      </c>
      <c r="J9" s="12">
        <v>0.29166666666666702</v>
      </c>
      <c r="K9" s="12">
        <v>0.33333333333333398</v>
      </c>
      <c r="L9" s="12">
        <v>0.375</v>
      </c>
      <c r="M9" s="12">
        <v>0.41666666666666702</v>
      </c>
      <c r="N9" s="12">
        <v>0.45833333333333398</v>
      </c>
      <c r="O9" s="12">
        <v>0.5</v>
      </c>
      <c r="P9" s="12">
        <v>0.54166666666666696</v>
      </c>
      <c r="Q9" s="12">
        <v>0.58333333333333404</v>
      </c>
      <c r="R9" s="12">
        <v>0.625</v>
      </c>
      <c r="S9" s="12">
        <v>0.66666666666666696</v>
      </c>
      <c r="T9" s="12">
        <v>0.70833333333333404</v>
      </c>
      <c r="U9" s="12">
        <v>0.75</v>
      </c>
      <c r="V9" s="12">
        <v>0.79166666666666696</v>
      </c>
      <c r="W9" s="12">
        <v>0.83333333333333404</v>
      </c>
      <c r="X9" s="12">
        <v>0.875</v>
      </c>
      <c r="Y9" s="12">
        <v>0.91666666666666696</v>
      </c>
      <c r="Z9" s="13">
        <v>0.95833333333333337</v>
      </c>
      <c r="AB9" s="14" t="s">
        <v>45</v>
      </c>
      <c r="AC9" s="15" t="s">
        <v>46</v>
      </c>
      <c r="AD9" s="16" t="s">
        <v>47</v>
      </c>
    </row>
    <row r="10" spans="1:30" x14ac:dyDescent="0.3">
      <c r="A10" s="7">
        <f>Internal!D2</f>
        <v>1</v>
      </c>
      <c r="B10" s="17" t="str">
        <f>Internal!E2</f>
        <v>Domestic</v>
      </c>
      <c r="C10" s="42">
        <v>5.3999999999999999E-2</v>
      </c>
      <c r="D10" s="43">
        <v>5.3999999999999999E-2</v>
      </c>
      <c r="E10" s="43">
        <v>5.3999999999999999E-2</v>
      </c>
      <c r="F10" s="43">
        <v>5.3999999999999999E-2</v>
      </c>
      <c r="G10" s="43">
        <v>5.3999999999999999E-2</v>
      </c>
      <c r="H10" s="43">
        <v>5.3999999999999999E-2</v>
      </c>
      <c r="I10" s="43">
        <v>1E-3</v>
      </c>
      <c r="J10" s="43">
        <v>2E-3</v>
      </c>
      <c r="K10" s="43">
        <v>2E-3</v>
      </c>
      <c r="L10" s="43">
        <v>2.1999999999999999E-2</v>
      </c>
      <c r="M10" s="43">
        <v>1E-3</v>
      </c>
      <c r="N10" s="43">
        <v>1E-3</v>
      </c>
      <c r="O10" s="43">
        <v>2E-3</v>
      </c>
      <c r="P10" s="43">
        <v>2E-3</v>
      </c>
      <c r="Q10" s="43">
        <v>2E-3</v>
      </c>
      <c r="R10" s="43">
        <v>1E-3</v>
      </c>
      <c r="S10" s="43">
        <v>1E-3</v>
      </c>
      <c r="T10" s="43">
        <v>0.154</v>
      </c>
      <c r="U10" s="43">
        <v>5.2999999999999999E-2</v>
      </c>
      <c r="V10" s="43">
        <v>8.5999999999999993E-2</v>
      </c>
      <c r="W10" s="43">
        <v>5.8000000000000003E-2</v>
      </c>
      <c r="X10" s="43">
        <v>5.7000000000000002E-2</v>
      </c>
      <c r="Y10" s="43">
        <v>0.11600000000000001</v>
      </c>
      <c r="Z10" s="44">
        <v>0.115</v>
      </c>
      <c r="AB10" s="709">
        <f>SUM(C10:Z10)</f>
        <v>1.0000000000000002</v>
      </c>
      <c r="AC10" s="471">
        <f>MAX(C10:Z10)</f>
        <v>0.154</v>
      </c>
      <c r="AD10" s="710">
        <f>IFERROR(AVERAGE(C10:Z10),0)</f>
        <v>4.1666666666666678E-2</v>
      </c>
    </row>
    <row r="11" spans="1:30" x14ac:dyDescent="0.3">
      <c r="A11" s="7">
        <f>Internal!D3</f>
        <v>2</v>
      </c>
      <c r="B11" s="18" t="str">
        <f>Internal!E3</f>
        <v>Commercial</v>
      </c>
      <c r="C11" s="45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4"/>
      <c r="AB11" s="711">
        <f>SUM(C11:Z11)</f>
        <v>0</v>
      </c>
      <c r="AC11" s="473">
        <f>MAX(C11:Z11)</f>
        <v>0</v>
      </c>
      <c r="AD11" s="712">
        <f>IFERROR(AVERAGE(C11:Z11),0)</f>
        <v>0</v>
      </c>
    </row>
    <row r="12" spans="1:30" x14ac:dyDescent="0.3">
      <c r="A12" s="7">
        <f>Internal!D4</f>
        <v>3</v>
      </c>
      <c r="B12" s="18" t="str">
        <f>Internal!E4</f>
        <v>Industrial</v>
      </c>
      <c r="C12" s="45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4"/>
      <c r="AB12" s="711">
        <f>SUM(C12:Z12)</f>
        <v>0</v>
      </c>
      <c r="AC12" s="473">
        <f>MAX(C12:Z12)</f>
        <v>0</v>
      </c>
      <c r="AD12" s="712">
        <f>IFERROR(AVERAGE(C12:Z12),0)</f>
        <v>0</v>
      </c>
    </row>
    <row r="13" spans="1:30" ht="0.75" customHeight="1" thickBot="1" x14ac:dyDescent="0.35">
      <c r="B13" s="38"/>
      <c r="C13" s="39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1"/>
      <c r="AB13" s="46"/>
      <c r="AC13" s="47"/>
      <c r="AD13" s="48"/>
    </row>
    <row r="14" spans="1:30" ht="15" thickTop="1" x14ac:dyDescent="0.3"/>
    <row r="15" spans="1:30" x14ac:dyDescent="0.3">
      <c r="AB15" s="9" t="s">
        <v>85</v>
      </c>
    </row>
  </sheetData>
  <sheetProtection algorithmName="SHA-512" hashValue="ORLQCrLXWj9KlMoJ3SAavViBgGOIPzBI9ceO754dfo7iI1c3PrpndFZ9tposb/BT3qXKq2lAnwCcPFnJ6DGOqw==" saltValue="UQMbTpCYsA5Kby0c1zLaNw==" spinCount="100000" sheet="1" objects="1" scenarios="1" selectLockedCells="1"/>
  <conditionalFormatting sqref="C10:Z12">
    <cfRule type="containsBlanks" dxfId="14" priority="2">
      <formula>LEN(TRIM(C10))=0</formula>
    </cfRule>
  </conditionalFormatting>
  <dataValidations count="1">
    <dataValidation type="decimal" operator="greaterThanOrEqual" allowBlank="1" showInputMessage="1" showErrorMessage="1" errorTitle="CleanCooking-input" error="Value must be equal or greater than zero (≥0)." sqref="C10:Z12" xr:uid="{A56A834F-C69B-4D56-BE05-5FC54F50B1AC}">
      <formula1>0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5656-9A53-4EE6-A3FE-CD4D724853E5}">
  <sheetPr codeName="Sheet32">
    <tabColor theme="7" tint="0.79998168889431442"/>
  </sheetPr>
  <dimension ref="A1:AD15"/>
  <sheetViews>
    <sheetView showRowColHeaders="0" workbookViewId="0">
      <selection activeCell="C10" sqref="C10"/>
    </sheetView>
  </sheetViews>
  <sheetFormatPr defaultColWidth="8.88671875" defaultRowHeight="14.4" x14ac:dyDescent="0.3"/>
  <cols>
    <col min="1" max="1" width="6.77734375" style="7" customWidth="1"/>
    <col min="2" max="2" width="19.77734375" style="8" customWidth="1"/>
    <col min="3" max="26" width="7.6640625" style="9" customWidth="1"/>
    <col min="27" max="27" width="3.77734375" style="9" customWidth="1"/>
    <col min="28" max="30" width="6.6640625" style="9" customWidth="1"/>
    <col min="31" max="16384" width="8.88671875" style="9"/>
  </cols>
  <sheetData>
    <row r="1" spans="1:30" s="4" customFormat="1" ht="70.2" customHeight="1" thickBot="1" x14ac:dyDescent="0.35">
      <c r="A1" s="3" t="s">
        <v>2160</v>
      </c>
      <c r="B1" s="10"/>
    </row>
    <row r="2" spans="1:30" s="2" customFormat="1" ht="15" thickTop="1" x14ac:dyDescent="0.3">
      <c r="A2" s="5"/>
      <c r="B2" s="6"/>
    </row>
    <row r="3" spans="1:30" s="2" customFormat="1" x14ac:dyDescent="0.3">
      <c r="A3" s="5"/>
      <c r="B3" s="643" t="s">
        <v>87</v>
      </c>
      <c r="C3" s="50"/>
      <c r="D3" s="50"/>
      <c r="E3" s="50"/>
      <c r="F3" s="50"/>
      <c r="G3" s="50"/>
      <c r="H3" s="51"/>
    </row>
    <row r="4" spans="1:30" s="2" customFormat="1" x14ac:dyDescent="0.3">
      <c r="A4" s="5"/>
      <c r="B4" s="645" t="s">
        <v>121</v>
      </c>
      <c r="C4" s="9"/>
      <c r="D4" s="9"/>
      <c r="E4" s="9"/>
      <c r="F4" s="9"/>
      <c r="G4" s="9"/>
      <c r="H4" s="52"/>
    </row>
    <row r="5" spans="1:30" s="2" customFormat="1" x14ac:dyDescent="0.3">
      <c r="A5" s="5"/>
      <c r="B5" s="318" t="s">
        <v>99</v>
      </c>
      <c r="C5" s="9"/>
      <c r="D5" s="9"/>
      <c r="E5" s="9"/>
      <c r="F5" s="9"/>
      <c r="G5" s="9"/>
      <c r="H5" s="52"/>
    </row>
    <row r="6" spans="1:30" s="2" customFormat="1" x14ac:dyDescent="0.3">
      <c r="A6" s="5"/>
      <c r="B6" s="319" t="s">
        <v>100</v>
      </c>
      <c r="C6" s="54"/>
      <c r="D6" s="54"/>
      <c r="E6" s="54"/>
      <c r="F6" s="54"/>
      <c r="G6" s="54"/>
      <c r="H6" s="55"/>
    </row>
    <row r="7" spans="1:30" s="2" customFormat="1" x14ac:dyDescent="0.3">
      <c r="A7" s="5"/>
      <c r="B7" s="6"/>
    </row>
    <row r="8" spans="1:30" ht="15" thickBot="1" x14ac:dyDescent="0.35"/>
    <row r="9" spans="1:30" ht="15.6" thickTop="1" thickBot="1" x14ac:dyDescent="0.35">
      <c r="B9" s="11" t="s">
        <v>44</v>
      </c>
      <c r="C9" s="12">
        <v>0</v>
      </c>
      <c r="D9" s="12">
        <v>4.1666666666666664E-2</v>
      </c>
      <c r="E9" s="12">
        <v>8.3333333333333329E-2</v>
      </c>
      <c r="F9" s="12">
        <v>0.125</v>
      </c>
      <c r="G9" s="12">
        <v>0.16666666666666699</v>
      </c>
      <c r="H9" s="12">
        <v>0.20833333333333401</v>
      </c>
      <c r="I9" s="12">
        <v>0.25</v>
      </c>
      <c r="J9" s="12">
        <v>0.29166666666666702</v>
      </c>
      <c r="K9" s="12">
        <v>0.33333333333333398</v>
      </c>
      <c r="L9" s="12">
        <v>0.375</v>
      </c>
      <c r="M9" s="12">
        <v>0.41666666666666702</v>
      </c>
      <c r="N9" s="12">
        <v>0.45833333333333398</v>
      </c>
      <c r="O9" s="12">
        <v>0.5</v>
      </c>
      <c r="P9" s="12">
        <v>0.54166666666666696</v>
      </c>
      <c r="Q9" s="12">
        <v>0.58333333333333404</v>
      </c>
      <c r="R9" s="12">
        <v>0.625</v>
      </c>
      <c r="S9" s="12">
        <v>0.66666666666666696</v>
      </c>
      <c r="T9" s="12">
        <v>0.70833333333333404</v>
      </c>
      <c r="U9" s="12">
        <v>0.75</v>
      </c>
      <c r="V9" s="12">
        <v>0.79166666666666696</v>
      </c>
      <c r="W9" s="12">
        <v>0.83333333333333404</v>
      </c>
      <c r="X9" s="12">
        <v>0.875</v>
      </c>
      <c r="Y9" s="12">
        <v>0.91666666666666696</v>
      </c>
      <c r="Z9" s="13">
        <v>0.95833333333333337</v>
      </c>
      <c r="AB9" s="14" t="s">
        <v>45</v>
      </c>
      <c r="AC9" s="15" t="s">
        <v>46</v>
      </c>
      <c r="AD9" s="16" t="s">
        <v>47</v>
      </c>
    </row>
    <row r="10" spans="1:30" x14ac:dyDescent="0.3">
      <c r="A10" s="7">
        <f>Internal!D2</f>
        <v>1</v>
      </c>
      <c r="B10" s="17" t="str">
        <f>Internal!E2</f>
        <v>Domestic</v>
      </c>
      <c r="C10" s="42"/>
      <c r="D10" s="43"/>
      <c r="E10" s="43"/>
      <c r="F10" s="43"/>
      <c r="G10" s="43"/>
      <c r="H10" s="43"/>
      <c r="I10" s="43"/>
      <c r="J10" s="43">
        <v>1.1379999999999999</v>
      </c>
      <c r="K10" s="43"/>
      <c r="L10" s="43"/>
      <c r="M10" s="43"/>
      <c r="N10" s="43"/>
      <c r="O10" s="43"/>
      <c r="P10" s="43">
        <v>1.7250000000000001</v>
      </c>
      <c r="Q10" s="43"/>
      <c r="R10" s="43"/>
      <c r="S10" s="43"/>
      <c r="T10" s="43">
        <v>1.7250000000000001</v>
      </c>
      <c r="U10" s="43"/>
      <c r="V10" s="43"/>
      <c r="W10" s="43"/>
      <c r="X10" s="43"/>
      <c r="Y10" s="43"/>
      <c r="Z10" s="44"/>
      <c r="AB10" s="709">
        <f>SUM(C10:Z10)</f>
        <v>4.5880000000000001</v>
      </c>
      <c r="AC10" s="471">
        <f>MAX(C10:Z10)</f>
        <v>1.7250000000000001</v>
      </c>
      <c r="AD10" s="710">
        <f>IFERROR(AVERAGE(C10:Z10),0)</f>
        <v>1.5293333333333334</v>
      </c>
    </row>
    <row r="11" spans="1:30" x14ac:dyDescent="0.3">
      <c r="A11" s="7">
        <f>Internal!D3</f>
        <v>2</v>
      </c>
      <c r="B11" s="18" t="str">
        <f>Internal!E3</f>
        <v>Commercial</v>
      </c>
      <c r="C11" s="45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4"/>
      <c r="AB11" s="711">
        <f>SUM(C11:Z11)</f>
        <v>0</v>
      </c>
      <c r="AC11" s="473">
        <f>MAX(C11:Z11)</f>
        <v>0</v>
      </c>
      <c r="AD11" s="712">
        <f>IFERROR(AVERAGE(C11:Z11),0)</f>
        <v>0</v>
      </c>
    </row>
    <row r="12" spans="1:30" x14ac:dyDescent="0.3">
      <c r="A12" s="7">
        <f>Internal!D4</f>
        <v>3</v>
      </c>
      <c r="B12" s="18" t="str">
        <f>Internal!E4</f>
        <v>Industrial</v>
      </c>
      <c r="C12" s="45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4"/>
      <c r="AB12" s="711">
        <f>SUM(C12:Z12)</f>
        <v>0</v>
      </c>
      <c r="AC12" s="473">
        <f>MAX(C12:Z12)</f>
        <v>0</v>
      </c>
      <c r="AD12" s="712">
        <f>IFERROR(AVERAGE(C12:Z12),0)</f>
        <v>0</v>
      </c>
    </row>
    <row r="13" spans="1:30" ht="0.75" customHeight="1" thickBot="1" x14ac:dyDescent="0.35">
      <c r="B13" s="38"/>
      <c r="C13" s="39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1"/>
      <c r="AB13" s="46"/>
      <c r="AC13" s="47"/>
      <c r="AD13" s="48"/>
    </row>
    <row r="14" spans="1:30" ht="15" thickTop="1" x14ac:dyDescent="0.3"/>
    <row r="15" spans="1:30" x14ac:dyDescent="0.3">
      <c r="AB15" s="9" t="s">
        <v>85</v>
      </c>
    </row>
  </sheetData>
  <sheetProtection algorithmName="SHA-512" hashValue="y8LeXb5fgXnKGBdAv+fbbRpCyn9vBwtmguo5Vqn4936vQoqsKwrgt7Y9W4DMSc9PDVRAVhFbAqvONEhXqc+dsg==" saltValue="gw7OAkJ1vfOGzA9Qt7c3oQ==" spinCount="100000" sheet="1" objects="1" scenarios="1" selectLockedCells="1"/>
  <conditionalFormatting sqref="C10:Z12">
    <cfRule type="containsBlanks" dxfId="13" priority="1">
      <formula>LEN(TRIM(C10))=0</formula>
    </cfRule>
  </conditionalFormatting>
  <dataValidations count="1">
    <dataValidation type="decimal" operator="greaterThanOrEqual" allowBlank="1" showInputMessage="1" showErrorMessage="1" errorTitle="CleanCooking-input" error="Value must be equal or greater than zero (≥0)." sqref="C10:Z12" xr:uid="{FC476FA2-CBFB-4C7A-80BD-BC49F1CD82D0}">
      <formula1>0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2BCE6-D984-40C0-9B60-466384C2F6AC}">
  <sheetPr codeName="Sheet33">
    <tabColor theme="7" tint="0.79998168889431442"/>
  </sheetPr>
  <dimension ref="A1:AD15"/>
  <sheetViews>
    <sheetView showRowColHeaders="0" workbookViewId="0">
      <selection activeCell="F12" sqref="F12"/>
    </sheetView>
  </sheetViews>
  <sheetFormatPr defaultColWidth="8.88671875" defaultRowHeight="14.4" x14ac:dyDescent="0.3"/>
  <cols>
    <col min="1" max="1" width="6.77734375" style="7" customWidth="1"/>
    <col min="2" max="2" width="19.77734375" style="8" customWidth="1"/>
    <col min="3" max="26" width="7.6640625" style="9" customWidth="1"/>
    <col min="27" max="27" width="3.77734375" style="9" customWidth="1"/>
    <col min="28" max="30" width="6.6640625" style="9" customWidth="1"/>
    <col min="31" max="16384" width="8.88671875" style="9"/>
  </cols>
  <sheetData>
    <row r="1" spans="1:30" s="4" customFormat="1" ht="70.2" customHeight="1" thickBot="1" x14ac:dyDescent="0.35">
      <c r="A1" s="3" t="s">
        <v>2161</v>
      </c>
      <c r="B1" s="10"/>
    </row>
    <row r="2" spans="1:30" s="2" customFormat="1" ht="15" thickTop="1" x14ac:dyDescent="0.3">
      <c r="A2" s="5"/>
      <c r="B2" s="6"/>
    </row>
    <row r="3" spans="1:30" s="2" customFormat="1" x14ac:dyDescent="0.3">
      <c r="A3" s="5"/>
      <c r="B3" s="643" t="s">
        <v>89</v>
      </c>
      <c r="C3" s="50"/>
      <c r="D3" s="50"/>
      <c r="E3" s="50"/>
      <c r="F3" s="50"/>
      <c r="G3" s="50"/>
      <c r="H3" s="51"/>
    </row>
    <row r="4" spans="1:30" s="2" customFormat="1" x14ac:dyDescent="0.3">
      <c r="A4" s="5"/>
      <c r="B4" s="645" t="s">
        <v>122</v>
      </c>
      <c r="C4" s="9"/>
      <c r="D4" s="9"/>
      <c r="E4" s="9"/>
      <c r="F4" s="9"/>
      <c r="G4" s="9"/>
      <c r="H4" s="52"/>
    </row>
    <row r="5" spans="1:30" s="2" customFormat="1" x14ac:dyDescent="0.3">
      <c r="A5" s="5"/>
      <c r="B5" s="318" t="s">
        <v>99</v>
      </c>
      <c r="C5" s="9"/>
      <c r="D5" s="9"/>
      <c r="E5" s="9"/>
      <c r="F5" s="9"/>
      <c r="G5" s="9"/>
      <c r="H5" s="52"/>
    </row>
    <row r="6" spans="1:30" s="2" customFormat="1" x14ac:dyDescent="0.3">
      <c r="A6" s="5"/>
      <c r="B6" s="319" t="s">
        <v>100</v>
      </c>
      <c r="C6" s="54"/>
      <c r="D6" s="54"/>
      <c r="E6" s="54"/>
      <c r="F6" s="54"/>
      <c r="G6" s="54"/>
      <c r="H6" s="55"/>
    </row>
    <row r="7" spans="1:30" s="2" customFormat="1" x14ac:dyDescent="0.3">
      <c r="A7" s="5"/>
      <c r="B7" s="6"/>
    </row>
    <row r="8" spans="1:30" ht="15" thickBot="1" x14ac:dyDescent="0.35"/>
    <row r="9" spans="1:30" ht="15.6" thickTop="1" thickBot="1" x14ac:dyDescent="0.35">
      <c r="B9" s="11" t="s">
        <v>44</v>
      </c>
      <c r="C9" s="12">
        <v>0</v>
      </c>
      <c r="D9" s="12">
        <v>4.1666666666666664E-2</v>
      </c>
      <c r="E9" s="12">
        <v>8.3333333333333329E-2</v>
      </c>
      <c r="F9" s="12">
        <v>0.125</v>
      </c>
      <c r="G9" s="12">
        <v>0.16666666666666699</v>
      </c>
      <c r="H9" s="12">
        <v>0.20833333333333401</v>
      </c>
      <c r="I9" s="12">
        <v>0.25</v>
      </c>
      <c r="J9" s="12">
        <v>0.29166666666666702</v>
      </c>
      <c r="K9" s="12">
        <v>0.33333333333333398</v>
      </c>
      <c r="L9" s="12">
        <v>0.375</v>
      </c>
      <c r="M9" s="12">
        <v>0.41666666666666702</v>
      </c>
      <c r="N9" s="12">
        <v>0.45833333333333398</v>
      </c>
      <c r="O9" s="12">
        <v>0.5</v>
      </c>
      <c r="P9" s="12">
        <v>0.54166666666666696</v>
      </c>
      <c r="Q9" s="12">
        <v>0.58333333333333404</v>
      </c>
      <c r="R9" s="12">
        <v>0.625</v>
      </c>
      <c r="S9" s="12">
        <v>0.66666666666666696</v>
      </c>
      <c r="T9" s="12">
        <v>0.70833333333333404</v>
      </c>
      <c r="U9" s="12">
        <v>0.75</v>
      </c>
      <c r="V9" s="12">
        <v>0.79166666666666696</v>
      </c>
      <c r="W9" s="12">
        <v>0.83333333333333404</v>
      </c>
      <c r="X9" s="12">
        <v>0.875</v>
      </c>
      <c r="Y9" s="12">
        <v>0.91666666666666696</v>
      </c>
      <c r="Z9" s="13">
        <v>0.95833333333333337</v>
      </c>
      <c r="AB9" s="14" t="s">
        <v>45</v>
      </c>
      <c r="AC9" s="15" t="s">
        <v>46</v>
      </c>
      <c r="AD9" s="16" t="s">
        <v>47</v>
      </c>
    </row>
    <row r="10" spans="1:30" x14ac:dyDescent="0.3">
      <c r="A10" s="7">
        <f>Internal!D2</f>
        <v>1</v>
      </c>
      <c r="B10" s="17" t="str">
        <f>Internal!E2</f>
        <v>Domestic</v>
      </c>
      <c r="C10" s="42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>
        <v>0.4</v>
      </c>
      <c r="Y10" s="43"/>
      <c r="Z10" s="44"/>
      <c r="AB10" s="709">
        <f>SUM(C10:Z10)</f>
        <v>0.4</v>
      </c>
      <c r="AC10" s="471">
        <f>MAX(C10:Z10)</f>
        <v>0.4</v>
      </c>
      <c r="AD10" s="710">
        <f>IFERROR(AVERAGE(C10:Z10),0)</f>
        <v>0.4</v>
      </c>
    </row>
    <row r="11" spans="1:30" x14ac:dyDescent="0.3">
      <c r="A11" s="7">
        <f>Internal!D3</f>
        <v>2</v>
      </c>
      <c r="B11" s="18" t="str">
        <f>Internal!E3</f>
        <v>Commercial</v>
      </c>
      <c r="C11" s="45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4"/>
      <c r="AB11" s="711">
        <f>SUM(C11:Z11)</f>
        <v>0</v>
      </c>
      <c r="AC11" s="473">
        <f>MAX(C11:Z11)</f>
        <v>0</v>
      </c>
      <c r="AD11" s="712">
        <f>IFERROR(AVERAGE(C11:Z11),0)</f>
        <v>0</v>
      </c>
    </row>
    <row r="12" spans="1:30" x14ac:dyDescent="0.3">
      <c r="A12" s="7">
        <f>Internal!D4</f>
        <v>3</v>
      </c>
      <c r="B12" s="18" t="str">
        <f>Internal!E4</f>
        <v>Industrial</v>
      </c>
      <c r="C12" s="45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4"/>
      <c r="AB12" s="711">
        <f>SUM(C12:Z12)</f>
        <v>0</v>
      </c>
      <c r="AC12" s="473">
        <f>MAX(C12:Z12)</f>
        <v>0</v>
      </c>
      <c r="AD12" s="712">
        <f>IFERROR(AVERAGE(C12:Z12),0)</f>
        <v>0</v>
      </c>
    </row>
    <row r="13" spans="1:30" ht="0.75" customHeight="1" thickBot="1" x14ac:dyDescent="0.35">
      <c r="B13" s="38"/>
      <c r="C13" s="39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1"/>
      <c r="AB13" s="46"/>
      <c r="AC13" s="47"/>
      <c r="AD13" s="48"/>
    </row>
    <row r="14" spans="1:30" ht="15" thickTop="1" x14ac:dyDescent="0.3"/>
    <row r="15" spans="1:30" x14ac:dyDescent="0.3">
      <c r="AB15" s="9" t="s">
        <v>85</v>
      </c>
    </row>
  </sheetData>
  <sheetProtection algorithmName="SHA-512" hashValue="lXwIBHPh5IGHY5AQjXV3YLuROE38JkBOqhr5/J2PLrTirXHlunPctL3k28QWuXdD3n1OkSA/tghAd0Dn6ojI9w==" saltValue="fGmBeuM31+XgE5giB7ssbg==" spinCount="100000" sheet="1" objects="1" scenarios="1" selectLockedCells="1"/>
  <conditionalFormatting sqref="C10:Z12">
    <cfRule type="containsBlanks" dxfId="12" priority="1">
      <formula>LEN(TRIM(C10))=0</formula>
    </cfRule>
  </conditionalFormatting>
  <dataValidations count="1">
    <dataValidation type="decimal" operator="greaterThanOrEqual" allowBlank="1" showInputMessage="1" showErrorMessage="1" errorTitle="CleanCooking-input" error="Value must be equal or greater than zero (≥0)." sqref="C10:Z12" xr:uid="{6C447182-7580-4442-8BAD-0443249AFB39}">
      <formula1>0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46337-BE4D-42BC-A5C7-58C133AFCF10}">
  <sheetPr codeName="Sheet34">
    <tabColor theme="7" tint="0.79998168889431442"/>
  </sheetPr>
  <dimension ref="A1:P36"/>
  <sheetViews>
    <sheetView showRowColHeaders="0" zoomScaleNormal="100" workbookViewId="0">
      <selection activeCell="C14" sqref="C14"/>
    </sheetView>
  </sheetViews>
  <sheetFormatPr defaultColWidth="8.88671875" defaultRowHeight="14.4" x14ac:dyDescent="0.3"/>
  <cols>
    <col min="1" max="1" width="6.77734375" style="7" customWidth="1"/>
    <col min="2" max="2" width="19.77734375" style="8" customWidth="1"/>
    <col min="3" max="4" width="8.77734375" style="9" customWidth="1"/>
    <col min="5" max="7" width="16.77734375" style="9" customWidth="1"/>
    <col min="8" max="8" width="0.109375" style="9" customWidth="1"/>
    <col min="9" max="11" width="16.77734375" style="9" customWidth="1"/>
    <col min="12" max="12" width="0.109375" style="9" customWidth="1"/>
    <col min="13" max="15" width="16.77734375" style="9" customWidth="1"/>
    <col min="16" max="16" width="0.109375" style="9" customWidth="1"/>
    <col min="17" max="17" width="8.77734375" style="9" customWidth="1"/>
    <col min="18" max="18" width="16.77734375" style="9" customWidth="1"/>
    <col min="19" max="19" width="0.109375" style="9" customWidth="1"/>
    <col min="20" max="16384" width="8.88671875" style="9"/>
  </cols>
  <sheetData>
    <row r="1" spans="1:16" s="4" customFormat="1" ht="70.2" customHeight="1" thickBot="1" x14ac:dyDescent="0.35">
      <c r="A1" s="3" t="s">
        <v>51</v>
      </c>
      <c r="B1" s="10"/>
    </row>
    <row r="2" spans="1:16" s="2" customFormat="1" ht="15" thickTop="1" x14ac:dyDescent="0.3">
      <c r="A2" s="5"/>
      <c r="B2" s="6"/>
    </row>
    <row r="3" spans="1:16" s="2" customFormat="1" x14ac:dyDescent="0.3">
      <c r="A3" s="5"/>
      <c r="B3" s="643" t="s">
        <v>86</v>
      </c>
      <c r="C3" s="50"/>
      <c r="D3" s="50"/>
      <c r="E3" s="50"/>
      <c r="F3" s="50"/>
      <c r="G3" s="50"/>
      <c r="H3" s="50"/>
      <c r="I3" s="51"/>
    </row>
    <row r="4" spans="1:16" s="2" customFormat="1" x14ac:dyDescent="0.3">
      <c r="A4" s="5"/>
      <c r="B4" s="646" t="s">
        <v>90</v>
      </c>
      <c r="C4" s="9"/>
      <c r="D4" s="9"/>
      <c r="E4" s="9"/>
      <c r="F4" s="9"/>
      <c r="G4" s="9"/>
      <c r="H4" s="9"/>
      <c r="I4" s="52"/>
    </row>
    <row r="5" spans="1:16" s="2" customFormat="1" x14ac:dyDescent="0.3">
      <c r="A5" s="5"/>
      <c r="B5" s="645" t="s">
        <v>93</v>
      </c>
      <c r="C5" s="9"/>
      <c r="D5" s="9"/>
      <c r="E5" s="9"/>
      <c r="F5" s="9"/>
      <c r="G5" s="9"/>
      <c r="H5" s="9"/>
      <c r="I5" s="52"/>
    </row>
    <row r="6" spans="1:16" s="2" customFormat="1" x14ac:dyDescent="0.3">
      <c r="A6" s="5"/>
      <c r="B6" s="90" t="s">
        <v>102</v>
      </c>
      <c r="C6" s="9"/>
      <c r="D6" s="9"/>
      <c r="E6" s="9"/>
      <c r="F6" s="9"/>
      <c r="G6" s="9"/>
      <c r="H6" s="9"/>
      <c r="I6" s="52"/>
    </row>
    <row r="7" spans="1:16" s="2" customFormat="1" x14ac:dyDescent="0.3">
      <c r="A7" s="5"/>
      <c r="B7" s="318" t="s">
        <v>103</v>
      </c>
      <c r="C7" s="9"/>
      <c r="D7" s="9"/>
      <c r="E7" s="9"/>
      <c r="F7" s="9"/>
      <c r="G7" s="9"/>
      <c r="H7" s="9"/>
      <c r="I7" s="52"/>
    </row>
    <row r="8" spans="1:16" s="2" customFormat="1" x14ac:dyDescent="0.3">
      <c r="A8" s="5"/>
      <c r="B8" s="90" t="s">
        <v>97</v>
      </c>
      <c r="C8" s="9"/>
      <c r="D8" s="9"/>
      <c r="E8" s="9"/>
      <c r="F8" s="9"/>
      <c r="G8" s="9"/>
      <c r="H8" s="9"/>
      <c r="I8" s="52"/>
    </row>
    <row r="9" spans="1:16" s="2" customFormat="1" x14ac:dyDescent="0.3">
      <c r="A9" s="5"/>
      <c r="B9" s="645" t="s">
        <v>91</v>
      </c>
      <c r="C9" s="9"/>
      <c r="D9" s="9"/>
      <c r="E9" s="9"/>
      <c r="F9" s="9"/>
      <c r="G9" s="9"/>
      <c r="H9" s="9"/>
      <c r="I9" s="52"/>
    </row>
    <row r="10" spans="1:16" s="2" customFormat="1" x14ac:dyDescent="0.3">
      <c r="A10" s="5"/>
      <c r="B10" s="319" t="s">
        <v>98</v>
      </c>
      <c r="C10" s="54"/>
      <c r="D10" s="54"/>
      <c r="E10" s="54"/>
      <c r="F10" s="54"/>
      <c r="G10" s="54"/>
      <c r="H10" s="54"/>
      <c r="I10" s="55"/>
    </row>
    <row r="11" spans="1:16" s="2" customFormat="1" x14ac:dyDescent="0.3">
      <c r="A11" s="5"/>
      <c r="B11" s="6"/>
    </row>
    <row r="12" spans="1:16" ht="15" thickBot="1" x14ac:dyDescent="0.35"/>
    <row r="13" spans="1:16" ht="15.6" thickTop="1" thickBot="1" x14ac:dyDescent="0.35">
      <c r="B13" s="11" t="s">
        <v>49</v>
      </c>
      <c r="C13" s="12" t="s">
        <v>101</v>
      </c>
      <c r="D13" s="12" t="s">
        <v>55</v>
      </c>
      <c r="E13" s="114" t="str">
        <f ca="1">OFFSET(Internal!$E$1,1,0)</f>
        <v>Domestic</v>
      </c>
      <c r="F13" s="12" t="str">
        <f ca="1">OFFSET(Internal!$E$1,2,0)</f>
        <v>Commercial</v>
      </c>
      <c r="G13" s="12" t="str">
        <f ca="1">OFFSET(Internal!$E$1,3,0)</f>
        <v>Industrial</v>
      </c>
      <c r="H13" s="136"/>
      <c r="I13" s="114" t="str">
        <f ca="1">OFFSET(Internal!$E$1,1,0)</f>
        <v>Domestic</v>
      </c>
      <c r="J13" s="12" t="str">
        <f ca="1">OFFSET(Internal!$E$1,2,0)</f>
        <v>Commercial</v>
      </c>
      <c r="K13" s="12" t="str">
        <f ca="1">OFFSET(Internal!$E$1,3,0)</f>
        <v>Industrial</v>
      </c>
      <c r="L13" s="136"/>
      <c r="M13" s="114" t="str">
        <f ca="1">OFFSET(Internal!$E$1,1,0)</f>
        <v>Domestic</v>
      </c>
      <c r="N13" s="12" t="str">
        <f ca="1">OFFSET(Internal!$E$1,2,0)</f>
        <v>Commercial</v>
      </c>
      <c r="O13" s="12" t="str">
        <f ca="1">OFFSET(Internal!$E$1,3,0)</f>
        <v>Industrial</v>
      </c>
      <c r="P13" s="87"/>
    </row>
    <row r="14" spans="1:16" x14ac:dyDescent="0.3">
      <c r="A14" s="7">
        <f>Internal!F2</f>
        <v>1</v>
      </c>
      <c r="B14" s="17" t="str">
        <f>Internal!G2</f>
        <v>residential_S</v>
      </c>
      <c r="C14" s="701">
        <v>4</v>
      </c>
      <c r="D14" s="63">
        <v>1</v>
      </c>
      <c r="E14" s="64">
        <v>0.1</v>
      </c>
      <c r="F14" s="63"/>
      <c r="G14" s="63"/>
      <c r="H14" s="137"/>
      <c r="I14" s="64">
        <v>1</v>
      </c>
      <c r="J14" s="63"/>
      <c r="K14" s="63"/>
      <c r="L14" s="137"/>
      <c r="M14" s="64">
        <v>1</v>
      </c>
      <c r="N14" s="63"/>
      <c r="O14" s="63"/>
      <c r="P14" s="208"/>
    </row>
    <row r="15" spans="1:16" x14ac:dyDescent="0.3">
      <c r="A15" s="7">
        <f>Internal!F3</f>
        <v>2</v>
      </c>
      <c r="B15" s="18" t="str">
        <f>Internal!G3</f>
        <v>residential_M</v>
      </c>
      <c r="C15" s="703">
        <v>4</v>
      </c>
      <c r="D15" s="63">
        <v>1</v>
      </c>
      <c r="E15" s="64">
        <v>0.1</v>
      </c>
      <c r="F15" s="63"/>
      <c r="G15" s="63"/>
      <c r="H15" s="137"/>
      <c r="I15" s="64">
        <v>1</v>
      </c>
      <c r="J15" s="63"/>
      <c r="K15" s="63"/>
      <c r="L15" s="137"/>
      <c r="M15" s="64">
        <v>1</v>
      </c>
      <c r="N15" s="63"/>
      <c r="O15" s="63"/>
      <c r="P15" s="208"/>
    </row>
    <row r="16" spans="1:16" x14ac:dyDescent="0.3">
      <c r="A16" s="7">
        <f>Internal!F4</f>
        <v>3</v>
      </c>
      <c r="B16" s="18" t="str">
        <f>Internal!G4</f>
        <v>residential_L</v>
      </c>
      <c r="C16" s="703">
        <v>4</v>
      </c>
      <c r="D16" s="63">
        <v>1</v>
      </c>
      <c r="E16" s="64">
        <v>0.8</v>
      </c>
      <c r="F16" s="63"/>
      <c r="G16" s="63"/>
      <c r="H16" s="137"/>
      <c r="I16" s="64">
        <v>1</v>
      </c>
      <c r="J16" s="63"/>
      <c r="K16" s="63"/>
      <c r="L16" s="137"/>
      <c r="M16" s="64">
        <v>1</v>
      </c>
      <c r="N16" s="63"/>
      <c r="O16" s="63"/>
      <c r="P16" s="208"/>
    </row>
    <row r="17" spans="1:16" x14ac:dyDescent="0.3">
      <c r="A17" s="7">
        <f>Internal!F5</f>
        <v>4</v>
      </c>
      <c r="B17" s="18" t="str">
        <f>Internal!G5</f>
        <v>residential_XL</v>
      </c>
      <c r="C17" s="703">
        <v>4</v>
      </c>
      <c r="D17" s="63">
        <v>2</v>
      </c>
      <c r="E17" s="64">
        <v>1.1000000000000001</v>
      </c>
      <c r="F17" s="63"/>
      <c r="G17" s="63"/>
      <c r="H17" s="137"/>
      <c r="I17" s="64">
        <v>1</v>
      </c>
      <c r="J17" s="63"/>
      <c r="K17" s="63"/>
      <c r="L17" s="137"/>
      <c r="M17" s="64">
        <v>1</v>
      </c>
      <c r="N17" s="63"/>
      <c r="O17" s="63"/>
      <c r="P17" s="208"/>
    </row>
    <row r="18" spans="1:16" x14ac:dyDescent="0.3">
      <c r="A18" s="7">
        <f>Internal!F6</f>
        <v>5</v>
      </c>
      <c r="B18" s="18" t="str">
        <f>Internal!G6</f>
        <v>commercial_S</v>
      </c>
      <c r="C18" s="703">
        <v>4</v>
      </c>
      <c r="D18" s="63">
        <v>2</v>
      </c>
      <c r="E18" s="64">
        <v>10</v>
      </c>
      <c r="F18" s="63"/>
      <c r="G18" s="63"/>
      <c r="H18" s="137"/>
      <c r="I18" s="64"/>
      <c r="J18" s="63"/>
      <c r="K18" s="63"/>
      <c r="L18" s="137"/>
      <c r="M18" s="64"/>
      <c r="N18" s="63"/>
      <c r="O18" s="63"/>
      <c r="P18" s="208"/>
    </row>
    <row r="19" spans="1:16" x14ac:dyDescent="0.3">
      <c r="A19" s="7">
        <f>Internal!F7</f>
        <v>6</v>
      </c>
      <c r="B19" s="18" t="str">
        <f>Internal!G7</f>
        <v>commercial_L</v>
      </c>
      <c r="C19" s="703">
        <v>3</v>
      </c>
      <c r="D19" s="63">
        <v>10</v>
      </c>
      <c r="E19" s="64">
        <v>10</v>
      </c>
      <c r="F19" s="63"/>
      <c r="G19" s="63"/>
      <c r="H19" s="137"/>
      <c r="I19" s="64"/>
      <c r="J19" s="63"/>
      <c r="K19" s="63"/>
      <c r="L19" s="137"/>
      <c r="M19" s="64"/>
      <c r="N19" s="63"/>
      <c r="O19" s="63"/>
      <c r="P19" s="208"/>
    </row>
    <row r="20" spans="1:16" x14ac:dyDescent="0.3">
      <c r="A20" s="7">
        <f>Internal!F8</f>
        <v>7</v>
      </c>
      <c r="B20" s="18" t="str">
        <f>Internal!G8</f>
        <v>hotel</v>
      </c>
      <c r="C20" s="703">
        <v>4</v>
      </c>
      <c r="D20" s="63">
        <v>15</v>
      </c>
      <c r="E20" s="64">
        <v>10</v>
      </c>
      <c r="F20" s="63"/>
      <c r="G20" s="63"/>
      <c r="H20" s="137"/>
      <c r="I20" s="64">
        <v>2</v>
      </c>
      <c r="J20" s="63"/>
      <c r="K20" s="63"/>
      <c r="L20" s="137"/>
      <c r="M20" s="64">
        <v>2</v>
      </c>
      <c r="N20" s="63"/>
      <c r="O20" s="63"/>
      <c r="P20" s="208"/>
    </row>
    <row r="21" spans="1:16" x14ac:dyDescent="0.3">
      <c r="A21" s="7">
        <f>Internal!F9</f>
        <v>8</v>
      </c>
      <c r="B21" s="18" t="str">
        <f>Internal!G9</f>
        <v>commercial-CC</v>
      </c>
      <c r="C21" s="703">
        <v>3</v>
      </c>
      <c r="D21" s="63">
        <v>5</v>
      </c>
      <c r="E21" s="64">
        <v>30</v>
      </c>
      <c r="F21" s="63"/>
      <c r="G21" s="63"/>
      <c r="H21" s="137"/>
      <c r="I21" s="64">
        <v>2</v>
      </c>
      <c r="J21" s="63"/>
      <c r="K21" s="63"/>
      <c r="L21" s="137"/>
      <c r="M21" s="64">
        <v>2</v>
      </c>
      <c r="N21" s="63"/>
      <c r="O21" s="63"/>
      <c r="P21" s="208"/>
    </row>
    <row r="22" spans="1:16" x14ac:dyDescent="0.3">
      <c r="A22" s="7">
        <f>Internal!F10</f>
        <v>9</v>
      </c>
      <c r="B22" s="18" t="str">
        <f>Internal!G10</f>
        <v>industry_S-CC</v>
      </c>
      <c r="C22" s="703">
        <v>3</v>
      </c>
      <c r="D22" s="63">
        <v>20</v>
      </c>
      <c r="E22" s="64">
        <v>100</v>
      </c>
      <c r="F22" s="63"/>
      <c r="G22" s="63"/>
      <c r="H22" s="137"/>
      <c r="I22" s="64">
        <v>8</v>
      </c>
      <c r="J22" s="63"/>
      <c r="K22" s="63"/>
      <c r="L22" s="137"/>
      <c r="M22" s="64">
        <v>8</v>
      </c>
      <c r="N22" s="63"/>
      <c r="O22" s="63"/>
      <c r="P22" s="208"/>
    </row>
    <row r="23" spans="1:16" x14ac:dyDescent="0.3">
      <c r="A23" s="7">
        <f>Internal!F11</f>
        <v>10</v>
      </c>
      <c r="B23" s="18" t="str">
        <f>Internal!G11</f>
        <v>industry_L-CC</v>
      </c>
      <c r="C23" s="703">
        <v>3</v>
      </c>
      <c r="D23" s="63">
        <v>40</v>
      </c>
      <c r="E23" s="64">
        <v>50</v>
      </c>
      <c r="F23" s="63"/>
      <c r="G23" s="63"/>
      <c r="H23" s="137"/>
      <c r="I23" s="64">
        <v>2</v>
      </c>
      <c r="J23" s="63"/>
      <c r="K23" s="63"/>
      <c r="L23" s="137"/>
      <c r="M23" s="64">
        <v>2</v>
      </c>
      <c r="N23" s="63"/>
      <c r="O23" s="63"/>
      <c r="P23" s="208"/>
    </row>
    <row r="24" spans="1:16" x14ac:dyDescent="0.3">
      <c r="A24" s="7">
        <f>Internal!F12</f>
        <v>11</v>
      </c>
      <c r="B24" s="18" t="str">
        <f>Internal!G12</f>
        <v>industry</v>
      </c>
      <c r="C24" s="703">
        <v>2</v>
      </c>
      <c r="D24" s="63">
        <v>20</v>
      </c>
      <c r="E24" s="64">
        <v>200</v>
      </c>
      <c r="F24" s="63"/>
      <c r="G24" s="63"/>
      <c r="H24" s="137"/>
      <c r="I24" s="64"/>
      <c r="J24" s="63"/>
      <c r="K24" s="63"/>
      <c r="L24" s="137"/>
      <c r="M24" s="64"/>
      <c r="N24" s="63"/>
      <c r="O24" s="63"/>
      <c r="P24" s="208"/>
    </row>
    <row r="25" spans="1:16" x14ac:dyDescent="0.3">
      <c r="A25" s="7">
        <f>Internal!F13</f>
        <v>12</v>
      </c>
      <c r="B25" s="18" t="str">
        <f>Internal!G13</f>
        <v>education_S</v>
      </c>
      <c r="C25" s="703">
        <v>3</v>
      </c>
      <c r="D25" s="63">
        <v>10</v>
      </c>
      <c r="E25" s="64">
        <v>3</v>
      </c>
      <c r="F25" s="63"/>
      <c r="G25" s="63"/>
      <c r="H25" s="137"/>
      <c r="I25" s="64">
        <v>0.3</v>
      </c>
      <c r="J25" s="63"/>
      <c r="K25" s="63"/>
      <c r="L25" s="137"/>
      <c r="M25" s="64">
        <v>0.3</v>
      </c>
      <c r="N25" s="63"/>
      <c r="O25" s="63"/>
      <c r="P25" s="208"/>
    </row>
    <row r="26" spans="1:16" x14ac:dyDescent="0.3">
      <c r="A26" s="7">
        <f>Internal!F14</f>
        <v>13</v>
      </c>
      <c r="B26" s="18" t="str">
        <f>Internal!G14</f>
        <v>education_L</v>
      </c>
      <c r="C26" s="703">
        <v>3</v>
      </c>
      <c r="D26" s="63">
        <v>30</v>
      </c>
      <c r="E26" s="64">
        <v>3</v>
      </c>
      <c r="F26" s="63"/>
      <c r="G26" s="63"/>
      <c r="H26" s="137"/>
      <c r="I26" s="64">
        <v>0.3</v>
      </c>
      <c r="J26" s="63"/>
      <c r="K26" s="63"/>
      <c r="L26" s="137"/>
      <c r="M26" s="64">
        <v>0.3</v>
      </c>
      <c r="N26" s="63"/>
      <c r="O26" s="63"/>
      <c r="P26" s="208"/>
    </row>
    <row r="27" spans="1:16" x14ac:dyDescent="0.3">
      <c r="A27" s="7">
        <f>Internal!F15</f>
        <v>14</v>
      </c>
      <c r="B27" s="18" t="str">
        <f>Internal!G15</f>
        <v>restaurant_S</v>
      </c>
      <c r="C27" s="703">
        <v>4</v>
      </c>
      <c r="D27" s="63">
        <v>1</v>
      </c>
      <c r="E27" s="64">
        <v>2</v>
      </c>
      <c r="F27" s="63"/>
      <c r="G27" s="63"/>
      <c r="H27" s="137"/>
      <c r="I27" s="64">
        <v>8</v>
      </c>
      <c r="J27" s="63"/>
      <c r="K27" s="63"/>
      <c r="L27" s="137"/>
      <c r="M27" s="64">
        <v>8</v>
      </c>
      <c r="N27" s="63"/>
      <c r="O27" s="63"/>
      <c r="P27" s="208"/>
    </row>
    <row r="28" spans="1:16" x14ac:dyDescent="0.3">
      <c r="A28" s="7">
        <f>Internal!F16</f>
        <v>15</v>
      </c>
      <c r="B28" s="18" t="str">
        <f>Internal!G16</f>
        <v>restaurant_M</v>
      </c>
      <c r="C28" s="703">
        <v>4</v>
      </c>
      <c r="D28" s="63">
        <v>5</v>
      </c>
      <c r="E28" s="64">
        <v>2</v>
      </c>
      <c r="F28" s="63"/>
      <c r="G28" s="63"/>
      <c r="H28" s="137"/>
      <c r="I28" s="64">
        <v>8</v>
      </c>
      <c r="J28" s="63"/>
      <c r="K28" s="63"/>
      <c r="L28" s="137"/>
      <c r="M28" s="64">
        <v>8</v>
      </c>
      <c r="N28" s="63"/>
      <c r="O28" s="63"/>
      <c r="P28" s="208"/>
    </row>
    <row r="29" spans="1:16" x14ac:dyDescent="0.3">
      <c r="A29" s="7">
        <f>Internal!F17</f>
        <v>16</v>
      </c>
      <c r="B29" s="18" t="str">
        <f>Internal!G17</f>
        <v>restaurant_L</v>
      </c>
      <c r="C29" s="703">
        <v>4</v>
      </c>
      <c r="D29" s="63">
        <v>10</v>
      </c>
      <c r="E29" s="64">
        <v>2</v>
      </c>
      <c r="F29" s="63"/>
      <c r="G29" s="63"/>
      <c r="H29" s="137"/>
      <c r="I29" s="64">
        <v>8</v>
      </c>
      <c r="J29" s="63"/>
      <c r="K29" s="63"/>
      <c r="L29" s="137"/>
      <c r="M29" s="64">
        <v>8</v>
      </c>
      <c r="N29" s="63"/>
      <c r="O29" s="63"/>
      <c r="P29" s="208"/>
    </row>
    <row r="30" spans="1:16" x14ac:dyDescent="0.3">
      <c r="A30" s="7">
        <f>Internal!F18</f>
        <v>17</v>
      </c>
      <c r="B30" s="18" t="str">
        <f>Internal!G18</f>
        <v>hospital</v>
      </c>
      <c r="C30" s="703">
        <v>3</v>
      </c>
      <c r="D30" s="63">
        <v>30</v>
      </c>
      <c r="E30" s="64">
        <v>40</v>
      </c>
      <c r="F30" s="63"/>
      <c r="G30" s="63"/>
      <c r="H30" s="137"/>
      <c r="I30" s="64">
        <v>1</v>
      </c>
      <c r="J30" s="63"/>
      <c r="K30" s="63"/>
      <c r="L30" s="137"/>
      <c r="M30" s="64">
        <v>1</v>
      </c>
      <c r="N30" s="63"/>
      <c r="O30" s="63"/>
      <c r="P30" s="208"/>
    </row>
    <row r="31" spans="1:16" x14ac:dyDescent="0.3">
      <c r="A31" s="7">
        <f>Internal!F19</f>
        <v>18</v>
      </c>
      <c r="B31" s="18" t="str">
        <f>Internal!G19</f>
        <v>office</v>
      </c>
      <c r="C31" s="703">
        <v>3</v>
      </c>
      <c r="D31" s="63">
        <v>25</v>
      </c>
      <c r="E31" s="64">
        <v>3</v>
      </c>
      <c r="F31" s="63"/>
      <c r="G31" s="63"/>
      <c r="H31" s="137"/>
      <c r="I31" s="64">
        <v>0.3</v>
      </c>
      <c r="J31" s="63"/>
      <c r="K31" s="63"/>
      <c r="L31" s="137"/>
      <c r="M31" s="64">
        <v>0.3</v>
      </c>
      <c r="N31" s="63"/>
      <c r="O31" s="63"/>
      <c r="P31" s="208"/>
    </row>
    <row r="32" spans="1:16" x14ac:dyDescent="0.3">
      <c r="A32" s="7">
        <f>Internal!F20</f>
        <v>19</v>
      </c>
      <c r="B32" s="18" t="str">
        <f>Internal!G20</f>
        <v>airport</v>
      </c>
      <c r="C32" s="703">
        <v>3</v>
      </c>
      <c r="D32" s="63">
        <v>1500</v>
      </c>
      <c r="E32" s="64">
        <v>10</v>
      </c>
      <c r="F32" s="63"/>
      <c r="G32" s="63"/>
      <c r="H32" s="137"/>
      <c r="I32" s="64">
        <v>2</v>
      </c>
      <c r="J32" s="63"/>
      <c r="K32" s="63"/>
      <c r="L32" s="137"/>
      <c r="M32" s="64">
        <v>2</v>
      </c>
      <c r="N32" s="63"/>
      <c r="O32" s="63"/>
      <c r="P32" s="208"/>
    </row>
    <row r="33" spans="1:16" x14ac:dyDescent="0.3">
      <c r="A33" s="7">
        <f>Internal!F21</f>
        <v>20</v>
      </c>
      <c r="B33" s="18" t="str">
        <f>Internal!G21</f>
        <v>residential_GR</v>
      </c>
      <c r="C33" s="703">
        <v>3</v>
      </c>
      <c r="D33" s="63">
        <v>100</v>
      </c>
      <c r="E33" s="64">
        <v>1</v>
      </c>
      <c r="F33" s="63"/>
      <c r="G33" s="63"/>
      <c r="H33" s="137"/>
      <c r="I33" s="64">
        <v>1</v>
      </c>
      <c r="J33" s="63"/>
      <c r="K33" s="63"/>
      <c r="L33" s="137"/>
      <c r="M33" s="64">
        <v>1</v>
      </c>
      <c r="N33" s="63"/>
      <c r="O33" s="63"/>
      <c r="P33" s="208"/>
    </row>
    <row r="34" spans="1:16" ht="1.2" customHeight="1" thickBot="1" x14ac:dyDescent="0.35">
      <c r="B34" s="38"/>
      <c r="C34" s="59"/>
      <c r="D34" s="60"/>
      <c r="E34" s="140"/>
      <c r="F34" s="141"/>
      <c r="G34" s="141"/>
      <c r="H34" s="137"/>
      <c r="I34" s="140"/>
      <c r="J34" s="141"/>
      <c r="K34" s="141"/>
      <c r="L34" s="137"/>
      <c r="M34" s="140"/>
      <c r="N34" s="141"/>
      <c r="O34" s="141"/>
      <c r="P34" s="208"/>
    </row>
    <row r="35" spans="1:16" ht="15.6" thickTop="1" thickBot="1" x14ac:dyDescent="0.35">
      <c r="E35" s="142" t="s">
        <v>52</v>
      </c>
      <c r="F35" s="143"/>
      <c r="G35" s="143"/>
      <c r="H35" s="144"/>
      <c r="I35" s="145" t="s">
        <v>53</v>
      </c>
      <c r="J35" s="146"/>
      <c r="K35" s="146"/>
      <c r="L35" s="144"/>
      <c r="M35" s="146" t="s">
        <v>368</v>
      </c>
      <c r="N35" s="146"/>
      <c r="O35" s="146"/>
      <c r="P35" s="209"/>
    </row>
    <row r="36" spans="1:16" ht="15" thickTop="1" x14ac:dyDescent="0.3"/>
  </sheetData>
  <sheetProtection algorithmName="SHA-512" hashValue="Z9i7DleAhkqb5f8y0a6Ow8tr4ua42GfrR7oGgNJpyRTCO83oij+mh9wobRwwNkcKomHO40pRldGrepikuPIGqA==" saltValue="3cCiU90X+jDPxu9VTnxqQw==" spinCount="100000" sheet="1" objects="1" scenarios="1" selectLockedCells="1"/>
  <conditionalFormatting sqref="C14:G33 I14:K33 M14:O33">
    <cfRule type="containsBlanks" dxfId="11" priority="5">
      <formula>LEN(TRIM(C14))=0</formula>
    </cfRule>
  </conditionalFormatting>
  <dataValidations count="1">
    <dataValidation type="decimal" operator="greaterThanOrEqual" allowBlank="1" showInputMessage="1" showErrorMessage="1" errorTitle="CleanCooking-inputs" error="Value must be equal or greater than zero (≥0)." sqref="D14:P33" xr:uid="{06424D06-7664-4115-AEFE-D5C4834AB5E8}">
      <formula1>0</formula1>
    </dataValidation>
  </dataValidation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CleanCooking-inputs" error="Please select one value from the list." prompt="1- very high voltage_x000a_2- high voltage_x000a_3- medium voltage_x000a_4- low voltage" xr:uid="{3B57DF9E-8B97-44F9-AEDD-645CEAD99494}">
          <x14:formula1>
            <xm:f>Internal!$V$2:$V$5</xm:f>
          </x14:formula1>
          <xm:sqref>C14:C33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7C96D-F2EA-40E6-8498-FD8C52B7A52D}">
  <sheetPr codeName="Sheet35">
    <tabColor theme="7" tint="0.79998168889431442"/>
  </sheetPr>
  <dimension ref="A1:R28"/>
  <sheetViews>
    <sheetView showRowColHeaders="0" zoomScaleNormal="100" workbookViewId="0">
      <selection activeCell="D17" sqref="D17"/>
    </sheetView>
  </sheetViews>
  <sheetFormatPr defaultColWidth="8.88671875" defaultRowHeight="14.4" x14ac:dyDescent="0.3"/>
  <cols>
    <col min="1" max="1" width="6.77734375" style="7" customWidth="1"/>
    <col min="2" max="2" width="19.77734375" style="8" customWidth="1"/>
    <col min="3" max="13" width="12.6640625" style="9" customWidth="1"/>
    <col min="14" max="14" width="12.44140625" style="9" customWidth="1"/>
    <col min="15" max="15" width="0.109375" style="9" customWidth="1"/>
    <col min="16" max="16" width="3.77734375" style="9" customWidth="1"/>
    <col min="17" max="16384" width="8.88671875" style="9"/>
  </cols>
  <sheetData>
    <row r="1" spans="1:17" s="4" customFormat="1" ht="70.2" customHeight="1" thickBot="1" x14ac:dyDescent="0.35">
      <c r="A1" s="3" t="s">
        <v>92</v>
      </c>
      <c r="B1" s="10"/>
    </row>
    <row r="2" spans="1:17" s="2" customFormat="1" ht="15" thickTop="1" x14ac:dyDescent="0.3">
      <c r="A2" s="5"/>
      <c r="B2" s="6"/>
    </row>
    <row r="3" spans="1:17" s="2" customFormat="1" x14ac:dyDescent="0.3">
      <c r="A3" s="5"/>
      <c r="B3" s="643" t="s">
        <v>94</v>
      </c>
      <c r="C3" s="50"/>
      <c r="D3" s="50"/>
      <c r="E3" s="50"/>
      <c r="F3" s="50"/>
      <c r="G3" s="50"/>
      <c r="H3" s="50"/>
      <c r="I3" s="51"/>
    </row>
    <row r="4" spans="1:17" s="2" customFormat="1" x14ac:dyDescent="0.3">
      <c r="A4" s="5"/>
      <c r="B4" s="645" t="s">
        <v>96</v>
      </c>
      <c r="C4" s="9"/>
      <c r="D4" s="9"/>
      <c r="E4" s="9"/>
      <c r="F4" s="9"/>
      <c r="G4" s="9"/>
      <c r="H4" s="9"/>
      <c r="I4" s="52"/>
    </row>
    <row r="5" spans="1:17" s="2" customFormat="1" x14ac:dyDescent="0.3">
      <c r="A5" s="5"/>
      <c r="B5" s="90" t="s">
        <v>105</v>
      </c>
      <c r="C5" s="9"/>
      <c r="D5" s="9"/>
      <c r="E5" s="9"/>
      <c r="F5" s="9"/>
      <c r="G5" s="9"/>
      <c r="H5" s="9"/>
      <c r="I5" s="52"/>
    </row>
    <row r="6" spans="1:17" s="2" customFormat="1" x14ac:dyDescent="0.3">
      <c r="A6" s="5"/>
      <c r="B6" s="90" t="s">
        <v>104</v>
      </c>
      <c r="C6" s="9"/>
      <c r="D6" s="9"/>
      <c r="E6" s="9"/>
      <c r="F6" s="9"/>
      <c r="G6" s="9"/>
      <c r="H6" s="9"/>
      <c r="I6" s="52"/>
    </row>
    <row r="7" spans="1:17" s="2" customFormat="1" x14ac:dyDescent="0.3">
      <c r="A7" s="5"/>
      <c r="B7" s="90" t="s">
        <v>107</v>
      </c>
      <c r="C7" s="9"/>
      <c r="D7" s="9"/>
      <c r="E7" s="9"/>
      <c r="F7" s="9"/>
      <c r="G7" s="9"/>
      <c r="H7" s="9"/>
      <c r="I7" s="52"/>
    </row>
    <row r="8" spans="1:17" s="2" customFormat="1" x14ac:dyDescent="0.3">
      <c r="A8" s="5"/>
      <c r="B8" s="90" t="s">
        <v>106</v>
      </c>
      <c r="C8" s="9"/>
      <c r="D8" s="9"/>
      <c r="E8" s="9"/>
      <c r="F8" s="9"/>
      <c r="G8" s="9"/>
      <c r="H8" s="9"/>
      <c r="I8" s="52"/>
    </row>
    <row r="9" spans="1:17" s="2" customFormat="1" x14ac:dyDescent="0.3">
      <c r="A9" s="5"/>
      <c r="B9" s="90" t="s">
        <v>108</v>
      </c>
      <c r="C9" s="9"/>
      <c r="D9" s="9"/>
      <c r="E9" s="9"/>
      <c r="F9" s="9"/>
      <c r="G9" s="9"/>
      <c r="H9" s="9"/>
      <c r="I9" s="52"/>
    </row>
    <row r="10" spans="1:17" s="2" customFormat="1" x14ac:dyDescent="0.3">
      <c r="A10" s="5"/>
      <c r="B10" s="90" t="s">
        <v>109</v>
      </c>
      <c r="C10" s="9"/>
      <c r="D10" s="9"/>
      <c r="E10" s="9"/>
      <c r="F10" s="9"/>
      <c r="G10" s="9"/>
      <c r="H10" s="9"/>
      <c r="I10" s="52"/>
    </row>
    <row r="11" spans="1:17" s="2" customFormat="1" x14ac:dyDescent="0.3">
      <c r="A11" s="5"/>
      <c r="B11" s="90" t="s">
        <v>111</v>
      </c>
      <c r="C11" s="9"/>
      <c r="D11" s="9"/>
      <c r="E11" s="9"/>
      <c r="F11" s="9"/>
      <c r="G11" s="9"/>
      <c r="H11" s="9"/>
      <c r="I11" s="52"/>
    </row>
    <row r="12" spans="1:17" s="2" customFormat="1" x14ac:dyDescent="0.3">
      <c r="A12" s="5"/>
      <c r="B12" s="319" t="s">
        <v>110</v>
      </c>
      <c r="C12" s="54"/>
      <c r="D12" s="54"/>
      <c r="E12" s="54"/>
      <c r="F12" s="54"/>
      <c r="G12" s="54"/>
      <c r="H12" s="54"/>
      <c r="I12" s="55"/>
    </row>
    <row r="13" spans="1:17" s="2" customFormat="1" x14ac:dyDescent="0.3">
      <c r="A13" s="5"/>
      <c r="B13" s="6"/>
    </row>
    <row r="14" spans="1:17" ht="15" thickBot="1" x14ac:dyDescent="0.35"/>
    <row r="15" spans="1:17" ht="15.6" thickTop="1" thickBot="1" x14ac:dyDescent="0.35">
      <c r="C15" s="19" t="s">
        <v>115</v>
      </c>
      <c r="D15" s="20" t="s">
        <v>95</v>
      </c>
      <c r="E15" s="20" t="s">
        <v>57</v>
      </c>
      <c r="F15" s="20" t="s">
        <v>58</v>
      </c>
      <c r="G15" s="20" t="s">
        <v>59</v>
      </c>
      <c r="H15" s="20" t="s">
        <v>60</v>
      </c>
      <c r="I15" s="20" t="s">
        <v>61</v>
      </c>
      <c r="J15" s="65" t="s">
        <v>113</v>
      </c>
      <c r="K15" s="66" t="s">
        <v>2164</v>
      </c>
      <c r="L15" s="23"/>
      <c r="M15" s="23"/>
      <c r="N15" s="23"/>
      <c r="O15" s="24"/>
    </row>
    <row r="16" spans="1:17" ht="15.6" thickTop="1" thickBot="1" x14ac:dyDescent="0.35">
      <c r="C16" s="25" t="s">
        <v>114</v>
      </c>
      <c r="D16" s="26" t="s">
        <v>49</v>
      </c>
      <c r="E16" s="26" t="s">
        <v>2162</v>
      </c>
      <c r="F16" s="26" t="s">
        <v>2163</v>
      </c>
      <c r="G16" s="26" t="s">
        <v>49</v>
      </c>
      <c r="H16" s="26" t="s">
        <v>49</v>
      </c>
      <c r="I16" s="26" t="s">
        <v>49</v>
      </c>
      <c r="J16" s="67" t="s">
        <v>391</v>
      </c>
      <c r="K16" s="68" t="s">
        <v>79</v>
      </c>
      <c r="L16" s="26" t="s">
        <v>70</v>
      </c>
      <c r="M16" s="26" t="s">
        <v>68</v>
      </c>
      <c r="N16" s="26" t="s">
        <v>112</v>
      </c>
      <c r="O16" s="29"/>
      <c r="Q16" s="30" t="s">
        <v>62</v>
      </c>
    </row>
    <row r="17" spans="1:18" ht="15" thickTop="1" x14ac:dyDescent="0.3">
      <c r="A17" s="7">
        <f>Internal!H2</f>
        <v>1</v>
      </c>
      <c r="B17" s="31" t="str">
        <f>Internal!I2</f>
        <v>adm_R</v>
      </c>
      <c r="C17" s="701">
        <v>0</v>
      </c>
      <c r="D17" s="330">
        <v>0.3</v>
      </c>
      <c r="E17" s="79">
        <v>20</v>
      </c>
      <c r="F17" s="80">
        <v>7.0000000000000007E-2</v>
      </c>
      <c r="G17" s="63">
        <v>0.2</v>
      </c>
      <c r="H17" s="63">
        <v>4</v>
      </c>
      <c r="I17" s="63">
        <v>6</v>
      </c>
      <c r="J17" s="722">
        <v>0.35</v>
      </c>
      <c r="K17" s="723">
        <v>0.2</v>
      </c>
      <c r="L17" s="724">
        <v>0.7</v>
      </c>
      <c r="M17" s="724">
        <v>0.05</v>
      </c>
      <c r="N17" s="724">
        <v>0.05</v>
      </c>
      <c r="O17" s="70"/>
      <c r="Q17" s="725">
        <f t="shared" ref="Q17:Q26" si="0">SUM(K17:N17)</f>
        <v>1</v>
      </c>
      <c r="R17" s="69" t="str">
        <f>IF(Q17&lt;&gt;1,"weights must equal 1","")</f>
        <v/>
      </c>
    </row>
    <row r="18" spans="1:18" x14ac:dyDescent="0.3">
      <c r="A18" s="7">
        <f>Internal!H3</f>
        <v>2</v>
      </c>
      <c r="B18" s="18" t="str">
        <f>Internal!I3</f>
        <v>com_R</v>
      </c>
      <c r="C18" s="703">
        <v>0</v>
      </c>
      <c r="D18" s="330">
        <v>0.3</v>
      </c>
      <c r="E18" s="79">
        <v>20</v>
      </c>
      <c r="F18" s="80">
        <v>7.0000000000000007E-2</v>
      </c>
      <c r="G18" s="63">
        <v>0.2</v>
      </c>
      <c r="H18" s="63">
        <v>4</v>
      </c>
      <c r="I18" s="63">
        <v>6</v>
      </c>
      <c r="J18" s="722">
        <v>0.35</v>
      </c>
      <c r="K18" s="723">
        <v>0.2</v>
      </c>
      <c r="L18" s="724">
        <v>0.7</v>
      </c>
      <c r="M18" s="724">
        <v>0.05</v>
      </c>
      <c r="N18" s="724">
        <v>0.05</v>
      </c>
      <c r="O18" s="70"/>
      <c r="Q18" s="726">
        <f t="shared" si="0"/>
        <v>1</v>
      </c>
      <c r="R18" s="69" t="str">
        <f t="shared" ref="R18:R25" si="1">IF(Q18&lt;&gt;1,"weights must equal 1","")</f>
        <v/>
      </c>
    </row>
    <row r="19" spans="1:18" x14ac:dyDescent="0.3">
      <c r="A19" s="7">
        <f>Internal!H4</f>
        <v>3</v>
      </c>
      <c r="B19" s="18" t="str">
        <f>Internal!I4</f>
        <v>res_low_R</v>
      </c>
      <c r="C19" s="703">
        <v>0</v>
      </c>
      <c r="D19" s="330">
        <v>0.3</v>
      </c>
      <c r="E19" s="79">
        <v>20</v>
      </c>
      <c r="F19" s="80">
        <v>7.0000000000000007E-2</v>
      </c>
      <c r="G19" s="63">
        <v>0.2</v>
      </c>
      <c r="H19" s="63">
        <v>4</v>
      </c>
      <c r="I19" s="63">
        <v>6</v>
      </c>
      <c r="J19" s="722">
        <v>0.35</v>
      </c>
      <c r="K19" s="723">
        <v>0.2</v>
      </c>
      <c r="L19" s="724">
        <v>0.7</v>
      </c>
      <c r="M19" s="724">
        <v>0.05</v>
      </c>
      <c r="N19" s="724">
        <v>0.05</v>
      </c>
      <c r="O19" s="70"/>
      <c r="Q19" s="726">
        <f t="shared" si="0"/>
        <v>1</v>
      </c>
      <c r="R19" s="69" t="str">
        <f t="shared" si="1"/>
        <v/>
      </c>
    </row>
    <row r="20" spans="1:18" x14ac:dyDescent="0.3">
      <c r="A20" s="7">
        <f>Internal!H5</f>
        <v>4</v>
      </c>
      <c r="B20" s="18" t="str">
        <f>Internal!I5</f>
        <v>res_med_R</v>
      </c>
      <c r="C20" s="703">
        <v>0</v>
      </c>
      <c r="D20" s="330">
        <v>0.3</v>
      </c>
      <c r="E20" s="79">
        <v>20</v>
      </c>
      <c r="F20" s="80">
        <v>7.0000000000000007E-2</v>
      </c>
      <c r="G20" s="63">
        <v>0.2</v>
      </c>
      <c r="H20" s="63">
        <v>4</v>
      </c>
      <c r="I20" s="63">
        <v>6</v>
      </c>
      <c r="J20" s="722">
        <v>0.35</v>
      </c>
      <c r="K20" s="723">
        <v>0.2</v>
      </c>
      <c r="L20" s="724">
        <v>0.7</v>
      </c>
      <c r="M20" s="724">
        <v>0.05</v>
      </c>
      <c r="N20" s="724">
        <v>0.05</v>
      </c>
      <c r="O20" s="70"/>
      <c r="Q20" s="726">
        <f t="shared" si="0"/>
        <v>1</v>
      </c>
      <c r="R20" s="69" t="str">
        <f t="shared" si="1"/>
        <v/>
      </c>
    </row>
    <row r="21" spans="1:18" x14ac:dyDescent="0.3">
      <c r="A21" s="7">
        <f>Internal!H6</f>
        <v>5</v>
      </c>
      <c r="B21" s="18" t="str">
        <f>Internal!I6</f>
        <v>res_high_R</v>
      </c>
      <c r="C21" s="703">
        <v>0</v>
      </c>
      <c r="D21" s="330">
        <v>0.3</v>
      </c>
      <c r="E21" s="79">
        <v>20</v>
      </c>
      <c r="F21" s="80">
        <v>7.0000000000000007E-2</v>
      </c>
      <c r="G21" s="63">
        <v>0.2</v>
      </c>
      <c r="H21" s="63">
        <v>4</v>
      </c>
      <c r="I21" s="63">
        <v>6</v>
      </c>
      <c r="J21" s="722">
        <v>0.35</v>
      </c>
      <c r="K21" s="723">
        <v>0.2</v>
      </c>
      <c r="L21" s="724">
        <v>0.7</v>
      </c>
      <c r="M21" s="724">
        <v>0.05</v>
      </c>
      <c r="N21" s="724">
        <v>0.05</v>
      </c>
      <c r="O21" s="70"/>
      <c r="Q21" s="726">
        <f t="shared" si="0"/>
        <v>1</v>
      </c>
      <c r="R21" s="69" t="str">
        <f t="shared" si="1"/>
        <v/>
      </c>
    </row>
    <row r="22" spans="1:18" x14ac:dyDescent="0.3">
      <c r="A22" s="7">
        <f>Internal!H7</f>
        <v>6</v>
      </c>
      <c r="B22" s="18" t="str">
        <f>Internal!I7</f>
        <v>adm_U</v>
      </c>
      <c r="C22" s="703">
        <v>1</v>
      </c>
      <c r="D22" s="330">
        <v>0.3</v>
      </c>
      <c r="E22" s="79">
        <v>25</v>
      </c>
      <c r="F22" s="80">
        <v>0.1</v>
      </c>
      <c r="G22" s="63">
        <v>0.3</v>
      </c>
      <c r="H22" s="63">
        <v>4</v>
      </c>
      <c r="I22" s="63">
        <v>6</v>
      </c>
      <c r="J22" s="722">
        <v>0.35</v>
      </c>
      <c r="K22" s="723">
        <v>0.2</v>
      </c>
      <c r="L22" s="724">
        <v>0.7</v>
      </c>
      <c r="M22" s="724">
        <v>0.05</v>
      </c>
      <c r="N22" s="724">
        <v>0.05</v>
      </c>
      <c r="O22" s="70"/>
      <c r="Q22" s="726">
        <f t="shared" si="0"/>
        <v>1</v>
      </c>
      <c r="R22" s="69" t="str">
        <f t="shared" si="1"/>
        <v/>
      </c>
    </row>
    <row r="23" spans="1:18" x14ac:dyDescent="0.3">
      <c r="A23" s="7">
        <f>Internal!H8</f>
        <v>7</v>
      </c>
      <c r="B23" s="18" t="str">
        <f>Internal!I8</f>
        <v>com_U</v>
      </c>
      <c r="C23" s="703">
        <v>1</v>
      </c>
      <c r="D23" s="330">
        <v>0.3</v>
      </c>
      <c r="E23" s="79">
        <v>25</v>
      </c>
      <c r="F23" s="80">
        <v>0.1</v>
      </c>
      <c r="G23" s="63">
        <v>0.3</v>
      </c>
      <c r="H23" s="63">
        <v>4</v>
      </c>
      <c r="I23" s="63">
        <v>6</v>
      </c>
      <c r="J23" s="722">
        <v>0.35</v>
      </c>
      <c r="K23" s="723">
        <v>0.2</v>
      </c>
      <c r="L23" s="724">
        <v>0.7</v>
      </c>
      <c r="M23" s="724">
        <v>0.05</v>
      </c>
      <c r="N23" s="724">
        <v>0.05</v>
      </c>
      <c r="O23" s="70"/>
      <c r="Q23" s="726">
        <f t="shared" si="0"/>
        <v>1</v>
      </c>
      <c r="R23" s="69" t="str">
        <f t="shared" si="1"/>
        <v/>
      </c>
    </row>
    <row r="24" spans="1:18" x14ac:dyDescent="0.3">
      <c r="A24" s="7">
        <f>Internal!H9</f>
        <v>8</v>
      </c>
      <c r="B24" s="18" t="str">
        <f>Internal!I9</f>
        <v>res_low_U</v>
      </c>
      <c r="C24" s="703">
        <v>1</v>
      </c>
      <c r="D24" s="330">
        <v>0.3</v>
      </c>
      <c r="E24" s="79">
        <v>25</v>
      </c>
      <c r="F24" s="80">
        <v>0.1</v>
      </c>
      <c r="G24" s="63">
        <v>0.3</v>
      </c>
      <c r="H24" s="63">
        <v>4</v>
      </c>
      <c r="I24" s="63">
        <v>6</v>
      </c>
      <c r="J24" s="722">
        <v>0.35</v>
      </c>
      <c r="K24" s="723">
        <v>0.2</v>
      </c>
      <c r="L24" s="724">
        <v>0.7</v>
      </c>
      <c r="M24" s="724">
        <v>0.05</v>
      </c>
      <c r="N24" s="724">
        <v>0.05</v>
      </c>
      <c r="O24" s="70"/>
      <c r="Q24" s="726">
        <f t="shared" si="0"/>
        <v>1</v>
      </c>
      <c r="R24" s="69" t="str">
        <f t="shared" si="1"/>
        <v/>
      </c>
    </row>
    <row r="25" spans="1:18" x14ac:dyDescent="0.3">
      <c r="A25" s="7">
        <f>Internal!H10</f>
        <v>9</v>
      </c>
      <c r="B25" s="18" t="str">
        <f>Internal!I10</f>
        <v>res_med_U</v>
      </c>
      <c r="C25" s="703">
        <v>1</v>
      </c>
      <c r="D25" s="330">
        <v>0.3</v>
      </c>
      <c r="E25" s="79">
        <v>25</v>
      </c>
      <c r="F25" s="80">
        <v>0.1</v>
      </c>
      <c r="G25" s="63">
        <v>0.3</v>
      </c>
      <c r="H25" s="63">
        <v>4</v>
      </c>
      <c r="I25" s="63">
        <v>6</v>
      </c>
      <c r="J25" s="722">
        <v>0.35</v>
      </c>
      <c r="K25" s="723">
        <v>0.2</v>
      </c>
      <c r="L25" s="724">
        <v>0.7</v>
      </c>
      <c r="M25" s="724">
        <v>0.05</v>
      </c>
      <c r="N25" s="724">
        <v>0.05</v>
      </c>
      <c r="O25" s="70"/>
      <c r="Q25" s="726">
        <f t="shared" si="0"/>
        <v>1</v>
      </c>
      <c r="R25" s="69" t="str">
        <f t="shared" si="1"/>
        <v/>
      </c>
    </row>
    <row r="26" spans="1:18" x14ac:dyDescent="0.3">
      <c r="A26" s="7">
        <f>Internal!H11</f>
        <v>10</v>
      </c>
      <c r="B26" s="18" t="str">
        <f>Internal!I11</f>
        <v>res_high_U</v>
      </c>
      <c r="C26" s="703">
        <v>1</v>
      </c>
      <c r="D26" s="330">
        <v>0.3</v>
      </c>
      <c r="E26" s="79">
        <v>25</v>
      </c>
      <c r="F26" s="80">
        <v>0.1</v>
      </c>
      <c r="G26" s="63">
        <v>0.3</v>
      </c>
      <c r="H26" s="63">
        <v>4</v>
      </c>
      <c r="I26" s="63">
        <v>6</v>
      </c>
      <c r="J26" s="722">
        <v>0.35</v>
      </c>
      <c r="K26" s="723">
        <v>0.2</v>
      </c>
      <c r="L26" s="724">
        <v>0.7</v>
      </c>
      <c r="M26" s="724">
        <v>0.05</v>
      </c>
      <c r="N26" s="724">
        <v>0.05</v>
      </c>
      <c r="O26" s="70"/>
      <c r="Q26" s="726">
        <f t="shared" si="0"/>
        <v>1</v>
      </c>
      <c r="R26" s="69"/>
    </row>
    <row r="27" spans="1:18" ht="0.75" customHeight="1" thickBot="1" x14ac:dyDescent="0.35">
      <c r="B27" s="38"/>
      <c r="C27" s="59"/>
      <c r="D27" s="327"/>
      <c r="E27" s="71"/>
      <c r="F27" s="72"/>
      <c r="G27" s="60"/>
      <c r="H27" s="60"/>
      <c r="I27" s="60"/>
      <c r="J27" s="73"/>
      <c r="K27" s="74"/>
      <c r="L27" s="75"/>
      <c r="M27" s="75"/>
      <c r="N27" s="75"/>
      <c r="O27" s="76"/>
      <c r="Q27" s="77"/>
      <c r="R27" s="69"/>
    </row>
    <row r="28" spans="1:18" ht="15" thickTop="1" x14ac:dyDescent="0.3"/>
  </sheetData>
  <sheetProtection algorithmName="SHA-512" hashValue="ntd/3y3wXOzJj/wDP2A7+sphbeFpbX4drsa+3OjsadO+ps/hg4WhmG1vLiHIU+BSHs2ybiFh1PwRxYgjTMD0GQ==" saltValue="Gf4+JKrBc/1mxVYunj1Ovw==" spinCount="100000" sheet="1" objects="1" scenarios="1" selectLockedCells="1"/>
  <conditionalFormatting sqref="Q17:Q27">
    <cfRule type="cellIs" dxfId="10" priority="2" operator="notEqual">
      <formula>1</formula>
    </cfRule>
  </conditionalFormatting>
  <conditionalFormatting sqref="C17:N26">
    <cfRule type="containsBlanks" dxfId="9" priority="1">
      <formula>LEN(TRIM(C17))=0</formula>
    </cfRule>
  </conditionalFormatting>
  <dataValidations count="6">
    <dataValidation type="decimal" allowBlank="1" showInputMessage="1" showErrorMessage="1" errorTitle="CleanCooking-inputs" error="Value must be between zero and one [0,1]." sqref="J27:N27 G17:G27 O17:O27" xr:uid="{E763C133-3FC9-433F-BB00-01260D5C1BBC}">
      <formula1>0</formula1>
      <formula2>1</formula2>
    </dataValidation>
    <dataValidation type="list" errorStyle="information" allowBlank="1" showInputMessage="1" showErrorMessage="1" errorTitle="CleanCooking-inputs" error="Please select a value from the list." prompt="0- rural_x000a_1- urban" sqref="C27" xr:uid="{4074A481-6433-4867-B197-1F1A402659D0}">
      <formula1>$L$4:$L$5</formula1>
    </dataValidation>
    <dataValidation type="decimal" operator="greaterThan" allowBlank="1" showInputMessage="1" showErrorMessage="1" errorTitle="CleanCooking-inputs" error="Value must be greater than zero (&gt;0)." sqref="D17:E27" xr:uid="{066F2E6E-C557-4E7D-B15D-B72C0C24FE16}">
      <formula1>0</formula1>
    </dataValidation>
    <dataValidation type="decimal" operator="greaterThanOrEqual" allowBlank="1" showInputMessage="1" showErrorMessage="1" errorTitle="CleanCooking-inputs" error="Value must be equal or greater than zero (≥0)." sqref="F17:F27" xr:uid="{0D6FB121-93D0-4B64-A947-617824585E46}">
      <formula1>0</formula1>
    </dataValidation>
    <dataValidation type="decimal" operator="greaterThan" allowBlank="1" showInputMessage="1" showErrorMessage="1" errorTitle="CleanCooking-inputs" error="Value must be greater than one (&gt;1)." sqref="H17:I27" xr:uid="{BA6B43FB-9DAF-4F05-AFD3-C255E19D918B}">
      <formula1>1</formula1>
    </dataValidation>
    <dataValidation type="decimal" allowBlank="1" showInputMessage="1" showErrorMessage="1" errorTitle="CleanCooking-inputs" error="Value must be between 0% and 100%." sqref="J17:N26" xr:uid="{206ECA3F-3223-40CD-BA14-45B51531E076}">
      <formula1>0</formula1>
      <formula2>1</formula2>
    </dataValidation>
  </dataValidations>
  <pageMargins left="0.7" right="0.7" top="0.75" bottom="0.75" header="0.3" footer="0.3"/>
  <pageSetup orientation="portrait" horizontalDpi="1200" verticalDpi="1200" r:id="rId1"/>
  <ignoredErrors>
    <ignoredError sqref="Q24:Q25 Q17:Q23" formulaRange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CleanCooking-inputs" error="Please select a value from the list." prompt="0- rural_x000a_1- urban" xr:uid="{0865883E-2EA9-4247-99EB-A0D3A66DF28D}">
          <x14:formula1>
            <xm:f>Internal!$W$2:$W$3</xm:f>
          </x14:formula1>
          <xm:sqref>C17:C26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31918-C804-49B0-9973-9393471C1426}">
  <sheetPr codeName="Sheet36">
    <tabColor theme="7" tint="0.79998168889431442"/>
  </sheetPr>
  <dimension ref="A1:Q96"/>
  <sheetViews>
    <sheetView showRowColHeaders="0" topLeftCell="A50" zoomScaleNormal="100" workbookViewId="0">
      <selection activeCell="C94" sqref="C94"/>
    </sheetView>
  </sheetViews>
  <sheetFormatPr defaultColWidth="8.88671875" defaultRowHeight="14.4" x14ac:dyDescent="0.3"/>
  <cols>
    <col min="1" max="1" width="6.77734375" style="7" customWidth="1"/>
    <col min="2" max="2" width="24.77734375" style="8" customWidth="1"/>
    <col min="3" max="12" width="16.77734375" style="9" customWidth="1"/>
    <col min="13" max="15" width="8.88671875" style="9" customWidth="1"/>
    <col min="16" max="16384" width="8.88671875" style="9"/>
  </cols>
  <sheetData>
    <row r="1" spans="1:17" s="4" customFormat="1" ht="70.2" customHeight="1" thickBot="1" x14ac:dyDescent="0.35">
      <c r="A1" s="3" t="s">
        <v>63</v>
      </c>
      <c r="B1" s="10"/>
    </row>
    <row r="2" spans="1:17" s="2" customFormat="1" ht="15" thickTop="1" x14ac:dyDescent="0.3">
      <c r="A2" s="5"/>
      <c r="B2" s="6"/>
    </row>
    <row r="3" spans="1:17" s="2" customFormat="1" x14ac:dyDescent="0.3">
      <c r="A3" s="5"/>
      <c r="B3" s="643" t="s">
        <v>134</v>
      </c>
      <c r="C3" s="50"/>
      <c r="D3" s="50"/>
      <c r="E3" s="50"/>
      <c r="F3" s="50"/>
      <c r="G3" s="51"/>
    </row>
    <row r="4" spans="1:17" s="2" customFormat="1" x14ac:dyDescent="0.3">
      <c r="A4" s="5"/>
      <c r="B4" s="645" t="s">
        <v>135</v>
      </c>
      <c r="C4" s="9"/>
      <c r="D4" s="9"/>
      <c r="E4" s="9"/>
      <c r="F4" s="9"/>
      <c r="G4" s="52"/>
      <c r="Q4" s="62"/>
    </row>
    <row r="5" spans="1:17" s="2" customFormat="1" x14ac:dyDescent="0.3">
      <c r="A5" s="5"/>
      <c r="B5" s="90" t="s">
        <v>220</v>
      </c>
      <c r="C5" s="9"/>
      <c r="D5" s="9"/>
      <c r="E5" s="9"/>
      <c r="F5" s="9"/>
      <c r="G5" s="52"/>
      <c r="Q5" s="62"/>
    </row>
    <row r="6" spans="1:17" s="2" customFormat="1" x14ac:dyDescent="0.3">
      <c r="A6" s="5"/>
      <c r="B6" s="90" t="s">
        <v>2167</v>
      </c>
      <c r="C6" s="9"/>
      <c r="D6" s="9"/>
      <c r="E6" s="9"/>
      <c r="F6" s="9"/>
      <c r="G6" s="52"/>
      <c r="Q6" s="62"/>
    </row>
    <row r="7" spans="1:17" s="2" customFormat="1" x14ac:dyDescent="0.3">
      <c r="A7" s="5"/>
      <c r="B7" s="90" t="s">
        <v>2169</v>
      </c>
      <c r="C7" s="9"/>
      <c r="D7" s="9"/>
      <c r="E7" s="9"/>
      <c r="F7" s="9"/>
      <c r="G7" s="52"/>
      <c r="Q7" s="62"/>
    </row>
    <row r="8" spans="1:17" s="2" customFormat="1" x14ac:dyDescent="0.3">
      <c r="A8" s="5"/>
      <c r="B8" s="90" t="s">
        <v>2099</v>
      </c>
      <c r="C8" s="9"/>
      <c r="D8" s="9"/>
      <c r="E8" s="9"/>
      <c r="F8" s="9"/>
      <c r="G8" s="52"/>
      <c r="Q8" s="62"/>
    </row>
    <row r="9" spans="1:17" s="2" customFormat="1" x14ac:dyDescent="0.3">
      <c r="A9" s="5"/>
      <c r="B9" s="647" t="s">
        <v>2174</v>
      </c>
      <c r="C9" s="9"/>
      <c r="D9" s="9"/>
      <c r="E9" s="9"/>
      <c r="F9" s="9"/>
      <c r="G9" s="52"/>
    </row>
    <row r="10" spans="1:17" s="2" customFormat="1" x14ac:dyDescent="0.3">
      <c r="A10" s="5"/>
      <c r="B10" s="647" t="s">
        <v>2175</v>
      </c>
      <c r="C10" s="9"/>
      <c r="D10" s="9"/>
      <c r="E10" s="9"/>
      <c r="F10" s="9"/>
      <c r="G10" s="52"/>
    </row>
    <row r="11" spans="1:17" s="2" customFormat="1" x14ac:dyDescent="0.3">
      <c r="A11" s="5"/>
      <c r="B11" s="90" t="s">
        <v>143</v>
      </c>
      <c r="C11" s="9"/>
      <c r="D11" s="9"/>
      <c r="E11" s="9"/>
      <c r="F11" s="9"/>
      <c r="G11" s="52"/>
    </row>
    <row r="12" spans="1:17" s="2" customFormat="1" x14ac:dyDescent="0.3">
      <c r="A12" s="5"/>
      <c r="B12" s="319" t="s">
        <v>144</v>
      </c>
      <c r="C12" s="54"/>
      <c r="D12" s="54"/>
      <c r="E12" s="54"/>
      <c r="F12" s="54"/>
      <c r="G12" s="55"/>
    </row>
    <row r="13" spans="1:17" s="2" customFormat="1" x14ac:dyDescent="0.3">
      <c r="A13" s="5"/>
      <c r="B13" s="6"/>
    </row>
    <row r="14" spans="1:17" ht="15" customHeight="1" thickBot="1" x14ac:dyDescent="0.35"/>
    <row r="15" spans="1:17" ht="15" thickTop="1" x14ac:dyDescent="0.3">
      <c r="B15" s="32" t="s">
        <v>65</v>
      </c>
      <c r="C15" s="118">
        <v>3</v>
      </c>
      <c r="D15" s="96" t="s">
        <v>136</v>
      </c>
    </row>
    <row r="16" spans="1:17" x14ac:dyDescent="0.3">
      <c r="B16" s="33" t="s">
        <v>137</v>
      </c>
      <c r="C16" s="119">
        <v>50</v>
      </c>
      <c r="D16" s="97" t="s">
        <v>66</v>
      </c>
    </row>
    <row r="17" spans="1:5" ht="15" thickBot="1" x14ac:dyDescent="0.35">
      <c r="B17" s="34" t="s">
        <v>138</v>
      </c>
      <c r="C17" s="120">
        <v>2</v>
      </c>
      <c r="D17" s="98" t="s">
        <v>66</v>
      </c>
    </row>
    <row r="18" spans="1:5" ht="15.6" thickTop="1" thickBot="1" x14ac:dyDescent="0.35"/>
    <row r="19" spans="1:5" ht="15.6" thickTop="1" thickBot="1" x14ac:dyDescent="0.35">
      <c r="C19" s="19" t="s">
        <v>67</v>
      </c>
      <c r="D19" s="35" t="s">
        <v>68</v>
      </c>
    </row>
    <row r="20" spans="1:5" ht="15.6" thickTop="1" thickBot="1" x14ac:dyDescent="0.35">
      <c r="B20" s="11" t="s">
        <v>3</v>
      </c>
      <c r="C20" s="25" t="s">
        <v>2165</v>
      </c>
      <c r="D20" s="36" t="s">
        <v>2166</v>
      </c>
    </row>
    <row r="21" spans="1:5" ht="15" thickTop="1" x14ac:dyDescent="0.3">
      <c r="A21" s="7">
        <f>Internal!J2</f>
        <v>1</v>
      </c>
      <c r="B21" s="31" t="str">
        <f>Internal!K2</f>
        <v>Electricity</v>
      </c>
      <c r="C21" s="81">
        <v>0.13</v>
      </c>
      <c r="D21" s="121">
        <v>0.2</v>
      </c>
    </row>
    <row r="22" spans="1:5" x14ac:dyDescent="0.3">
      <c r="A22" s="7">
        <f>Internal!J3</f>
        <v>2</v>
      </c>
      <c r="B22" s="18" t="str">
        <f>Internal!K3</f>
        <v>LPG</v>
      </c>
      <c r="C22" s="83">
        <v>0.78600000000000003</v>
      </c>
      <c r="D22" s="121">
        <v>1.5</v>
      </c>
    </row>
    <row r="23" spans="1:5" x14ac:dyDescent="0.3">
      <c r="A23" s="7">
        <f>Internal!J4</f>
        <v>3</v>
      </c>
      <c r="B23" s="18" t="str">
        <f>Internal!K4</f>
        <v>Wood</v>
      </c>
      <c r="C23" s="83">
        <v>0.05</v>
      </c>
      <c r="D23" s="121">
        <v>0.05</v>
      </c>
    </row>
    <row r="24" spans="1:5" x14ac:dyDescent="0.3">
      <c r="A24" s="7">
        <f>Internal!J5</f>
        <v>4</v>
      </c>
      <c r="B24" s="18" t="str">
        <f>Internal!K5</f>
        <v>Ethanol</v>
      </c>
      <c r="C24" s="83">
        <v>0.03</v>
      </c>
      <c r="D24" s="121">
        <v>0.03</v>
      </c>
    </row>
    <row r="25" spans="1:5" x14ac:dyDescent="0.3">
      <c r="A25" s="7">
        <f>Internal!J6</f>
        <v>5</v>
      </c>
      <c r="B25" s="18" t="str">
        <f>Internal!K6</f>
        <v>Livestock-Waste</v>
      </c>
      <c r="C25" s="83">
        <v>0.04</v>
      </c>
      <c r="D25" s="121">
        <v>0.04</v>
      </c>
    </row>
    <row r="26" spans="1:5" x14ac:dyDescent="0.3">
      <c r="A26" s="7">
        <f>Internal!J7</f>
        <v>6</v>
      </c>
      <c r="B26" s="18" t="str">
        <f>Internal!K7</f>
        <v>Crops-Waste</v>
      </c>
      <c r="C26" s="83">
        <v>0.50700000000000001</v>
      </c>
      <c r="D26" s="121">
        <v>1.2010000000000001</v>
      </c>
    </row>
    <row r="27" spans="1:5" ht="0.75" customHeight="1" thickBot="1" x14ac:dyDescent="0.35">
      <c r="B27" s="99"/>
      <c r="C27" s="100"/>
      <c r="D27" s="101"/>
    </row>
    <row r="28" spans="1:5" ht="15.6" thickTop="1" thickBot="1" x14ac:dyDescent="0.35"/>
    <row r="29" spans="1:5" ht="15.6" thickTop="1" thickBot="1" x14ac:dyDescent="0.35">
      <c r="C29" s="19" t="s">
        <v>69</v>
      </c>
      <c r="D29" s="20" t="s">
        <v>71</v>
      </c>
      <c r="E29" s="35" t="s">
        <v>2170</v>
      </c>
    </row>
    <row r="30" spans="1:5" ht="15.6" thickTop="1" thickBot="1" x14ac:dyDescent="0.35">
      <c r="B30" s="11" t="s">
        <v>4</v>
      </c>
      <c r="C30" s="25" t="s">
        <v>2165</v>
      </c>
      <c r="D30" s="26" t="s">
        <v>2168</v>
      </c>
      <c r="E30" s="36" t="s">
        <v>2171</v>
      </c>
    </row>
    <row r="31" spans="1:5" ht="15" thickTop="1" x14ac:dyDescent="0.3">
      <c r="A31" s="7">
        <f>Internal!L2</f>
        <v>1</v>
      </c>
      <c r="B31" s="31" t="str">
        <f>Internal!M2</f>
        <v>Electricity</v>
      </c>
      <c r="C31" s="81">
        <v>0.19900000000000001</v>
      </c>
      <c r="D31" s="80">
        <v>1</v>
      </c>
      <c r="E31" s="121">
        <v>0</v>
      </c>
    </row>
    <row r="32" spans="1:5" x14ac:dyDescent="0.3">
      <c r="A32" s="7">
        <f>Internal!L3</f>
        <v>2</v>
      </c>
      <c r="B32" s="18" t="str">
        <f>Internal!M3</f>
        <v>LPG</v>
      </c>
      <c r="C32" s="83">
        <v>1.0161290322580645</v>
      </c>
      <c r="D32" s="80">
        <v>13.138999999999999</v>
      </c>
      <c r="E32" s="121">
        <v>0.02</v>
      </c>
    </row>
    <row r="33" spans="1:11" x14ac:dyDescent="0.3">
      <c r="A33" s="7">
        <f>Internal!L4</f>
        <v>3</v>
      </c>
      <c r="B33" s="18" t="str">
        <f>Internal!M4</f>
        <v>Biogas</v>
      </c>
      <c r="C33" s="83">
        <v>1.095890410958904</v>
      </c>
      <c r="D33" s="80">
        <v>6.181</v>
      </c>
      <c r="E33" s="121">
        <v>0.25</v>
      </c>
    </row>
    <row r="34" spans="1:11" x14ac:dyDescent="0.3">
      <c r="A34" s="7">
        <f>Internal!L5</f>
        <v>4</v>
      </c>
      <c r="B34" s="18" t="str">
        <f>Internal!M5</f>
        <v>Charcoal</v>
      </c>
      <c r="C34" s="83">
        <v>0.2626254516258531</v>
      </c>
      <c r="D34" s="80">
        <v>8.3059999999999992</v>
      </c>
      <c r="E34" s="121">
        <v>0.04</v>
      </c>
    </row>
    <row r="35" spans="1:11" x14ac:dyDescent="0.3">
      <c r="A35" s="7">
        <f>Internal!L6</f>
        <v>5</v>
      </c>
      <c r="B35" s="18" t="str">
        <f>Internal!M6</f>
        <v>Com-Firewood</v>
      </c>
      <c r="C35" s="83">
        <v>8.647481360247318E-2</v>
      </c>
      <c r="D35" s="80">
        <v>4.3330000000000002</v>
      </c>
      <c r="E35" s="121">
        <v>0.06</v>
      </c>
    </row>
    <row r="36" spans="1:11" x14ac:dyDescent="0.3">
      <c r="A36" s="7">
        <f>Internal!L7</f>
        <v>6</v>
      </c>
      <c r="B36" s="18" t="str">
        <f>Internal!M7</f>
        <v>Free-Biomass</v>
      </c>
      <c r="C36" s="83">
        <v>0</v>
      </c>
      <c r="D36" s="80">
        <v>4.6360000000000001</v>
      </c>
      <c r="E36" s="121">
        <v>1.5</v>
      </c>
    </row>
    <row r="37" spans="1:11" x14ac:dyDescent="0.3">
      <c r="A37" s="7">
        <f>Internal!L8</f>
        <v>7</v>
      </c>
      <c r="B37" s="18" t="str">
        <f>Internal!M8</f>
        <v>Pellets</v>
      </c>
      <c r="C37" s="83">
        <v>0.27500000000000002</v>
      </c>
      <c r="D37" s="80">
        <v>5.1920000000000002</v>
      </c>
      <c r="E37" s="121">
        <v>0.04</v>
      </c>
    </row>
    <row r="38" spans="1:11" x14ac:dyDescent="0.3">
      <c r="A38" s="7">
        <f>Internal!L9</f>
        <v>8</v>
      </c>
      <c r="B38" s="18" t="str">
        <f>Internal!M9</f>
        <v>Free-Firewood</v>
      </c>
      <c r="C38" s="83">
        <v>0</v>
      </c>
      <c r="D38" s="80">
        <v>4.3330000000000002</v>
      </c>
      <c r="E38" s="121">
        <v>1</v>
      </c>
    </row>
    <row r="39" spans="1:11" x14ac:dyDescent="0.3">
      <c r="A39" s="7">
        <f>Internal!L10</f>
        <v>9</v>
      </c>
      <c r="B39" s="18" t="str">
        <f>Internal!M10</f>
        <v>Ethanol</v>
      </c>
      <c r="C39" s="83">
        <v>0.82399999999999995</v>
      </c>
      <c r="D39" s="80">
        <v>8.24</v>
      </c>
      <c r="E39" s="121">
        <v>0.03</v>
      </c>
    </row>
    <row r="40" spans="1:11" ht="0.75" customHeight="1" thickBot="1" x14ac:dyDescent="0.35">
      <c r="B40" s="99"/>
      <c r="C40" s="100"/>
      <c r="D40" s="102"/>
      <c r="E40" s="101"/>
    </row>
    <row r="41" spans="1:11" ht="15.6" thickTop="1" thickBot="1" x14ac:dyDescent="0.35"/>
    <row r="42" spans="1:11" ht="15.6" thickTop="1" thickBot="1" x14ac:dyDescent="0.35">
      <c r="F42" s="163" t="s">
        <v>130</v>
      </c>
      <c r="G42" s="95"/>
      <c r="H42" s="164" t="s">
        <v>68</v>
      </c>
      <c r="I42" s="95"/>
      <c r="J42" s="727" t="s">
        <v>2176</v>
      </c>
      <c r="K42" s="24"/>
    </row>
    <row r="43" spans="1:11" ht="15.6" thickTop="1" thickBot="1" x14ac:dyDescent="0.35">
      <c r="E43" s="116" t="s">
        <v>78</v>
      </c>
      <c r="F43" s="93" t="s">
        <v>74</v>
      </c>
      <c r="G43" s="94" t="s">
        <v>75</v>
      </c>
      <c r="H43" s="78" t="s">
        <v>74</v>
      </c>
      <c r="I43" s="534" t="s">
        <v>75</v>
      </c>
      <c r="J43" s="535" t="s">
        <v>1264</v>
      </c>
      <c r="K43" s="539" t="s">
        <v>75</v>
      </c>
    </row>
    <row r="44" spans="1:11" ht="15.6" thickTop="1" thickBot="1" x14ac:dyDescent="0.35">
      <c r="B44" s="113" t="s">
        <v>7</v>
      </c>
      <c r="C44" s="114" t="s">
        <v>72</v>
      </c>
      <c r="D44" s="115" t="s">
        <v>73</v>
      </c>
      <c r="E44" s="109" t="s">
        <v>49</v>
      </c>
      <c r="F44" s="28" t="s">
        <v>2165</v>
      </c>
      <c r="G44" s="27" t="s">
        <v>2172</v>
      </c>
      <c r="H44" s="26" t="s">
        <v>2166</v>
      </c>
      <c r="I44" s="532" t="s">
        <v>2173</v>
      </c>
      <c r="J44" s="536" t="s">
        <v>391</v>
      </c>
      <c r="K44" s="36" t="s">
        <v>66</v>
      </c>
    </row>
    <row r="45" spans="1:11" ht="15" thickTop="1" x14ac:dyDescent="0.3">
      <c r="A45" s="7">
        <f>Internal!N2</f>
        <v>1</v>
      </c>
      <c r="B45" s="32" t="str">
        <f>Internal!O2</f>
        <v>Electricity</v>
      </c>
      <c r="C45" s="701" t="s">
        <v>282</v>
      </c>
      <c r="D45" s="705" t="s">
        <v>282</v>
      </c>
      <c r="E45" s="122">
        <v>0.9</v>
      </c>
      <c r="F45" s="123">
        <v>0</v>
      </c>
      <c r="G45" s="124">
        <v>0</v>
      </c>
      <c r="H45" s="80">
        <v>0</v>
      </c>
      <c r="I45" s="533">
        <v>0</v>
      </c>
      <c r="J45" s="540">
        <v>1</v>
      </c>
      <c r="K45" s="537">
        <v>0</v>
      </c>
    </row>
    <row r="46" spans="1:11" x14ac:dyDescent="0.3">
      <c r="A46" s="7">
        <f>Internal!N3</f>
        <v>2</v>
      </c>
      <c r="B46" s="18" t="str">
        <f>Internal!O3</f>
        <v>LPG</v>
      </c>
      <c r="C46" s="703" t="s">
        <v>11</v>
      </c>
      <c r="D46" s="706" t="s">
        <v>11</v>
      </c>
      <c r="E46" s="122">
        <v>0.98</v>
      </c>
      <c r="F46" s="123">
        <v>0</v>
      </c>
      <c r="G46" s="124">
        <v>0</v>
      </c>
      <c r="H46" s="80">
        <v>0.05</v>
      </c>
      <c r="I46" s="533">
        <v>0.02</v>
      </c>
      <c r="J46" s="541">
        <v>1</v>
      </c>
      <c r="K46" s="121">
        <v>10</v>
      </c>
    </row>
    <row r="47" spans="1:11" x14ac:dyDescent="0.3">
      <c r="A47" s="7">
        <f>Internal!N4</f>
        <v>3</v>
      </c>
      <c r="B47" s="18" t="str">
        <f>Internal!O4</f>
        <v>Private-Biogas</v>
      </c>
      <c r="C47" s="703" t="s">
        <v>14</v>
      </c>
      <c r="D47" s="706" t="s">
        <v>19</v>
      </c>
      <c r="E47" s="122">
        <v>4.5319999999999999E-2</v>
      </c>
      <c r="F47" s="123">
        <v>0</v>
      </c>
      <c r="G47" s="124">
        <v>0</v>
      </c>
      <c r="H47" s="80">
        <v>0.01</v>
      </c>
      <c r="I47" s="533">
        <v>0.03</v>
      </c>
      <c r="J47" s="541">
        <v>1</v>
      </c>
      <c r="K47" s="121">
        <v>10</v>
      </c>
    </row>
    <row r="48" spans="1:11" x14ac:dyDescent="0.3">
      <c r="A48" s="7">
        <f>Internal!N5</f>
        <v>4</v>
      </c>
      <c r="B48" s="18" t="str">
        <f>Internal!O5</f>
        <v>Charcoal-Remote</v>
      </c>
      <c r="C48" s="703" t="s">
        <v>12</v>
      </c>
      <c r="D48" s="706" t="s">
        <v>10</v>
      </c>
      <c r="E48" s="122">
        <v>0.14299999999999999</v>
      </c>
      <c r="F48" s="123">
        <v>0</v>
      </c>
      <c r="G48" s="124">
        <v>0</v>
      </c>
      <c r="H48" s="80">
        <v>2</v>
      </c>
      <c r="I48" s="533">
        <v>0.02</v>
      </c>
      <c r="J48" s="541">
        <v>0.2</v>
      </c>
      <c r="K48" s="121">
        <v>50</v>
      </c>
    </row>
    <row r="49" spans="1:11" x14ac:dyDescent="0.3">
      <c r="A49" s="7">
        <f>Internal!N6</f>
        <v>5</v>
      </c>
      <c r="B49" s="18" t="str">
        <f>Internal!O6</f>
        <v>Charcoal-Local</v>
      </c>
      <c r="C49" s="703" t="s">
        <v>12</v>
      </c>
      <c r="D49" s="706" t="s">
        <v>10</v>
      </c>
      <c r="E49" s="122">
        <v>0.14299999999999999</v>
      </c>
      <c r="F49" s="123">
        <v>0</v>
      </c>
      <c r="G49" s="124">
        <v>0</v>
      </c>
      <c r="H49" s="80">
        <v>2</v>
      </c>
      <c r="I49" s="533">
        <v>0.03</v>
      </c>
      <c r="J49" s="541">
        <v>0.8</v>
      </c>
      <c r="K49" s="121">
        <v>2</v>
      </c>
    </row>
    <row r="50" spans="1:11" x14ac:dyDescent="0.3">
      <c r="A50" s="7">
        <f>Internal!N7</f>
        <v>6</v>
      </c>
      <c r="B50" s="18" t="str">
        <f>Internal!O7</f>
        <v>Firewood-Remote</v>
      </c>
      <c r="C50" s="703" t="s">
        <v>15</v>
      </c>
      <c r="D50" s="706" t="s">
        <v>10</v>
      </c>
      <c r="E50" s="122">
        <v>0.95</v>
      </c>
      <c r="F50" s="123">
        <v>0</v>
      </c>
      <c r="G50" s="124">
        <v>0</v>
      </c>
      <c r="H50" s="80">
        <v>0.01</v>
      </c>
      <c r="I50" s="533">
        <v>0.02</v>
      </c>
      <c r="J50" s="541">
        <v>0.1</v>
      </c>
      <c r="K50" s="121">
        <v>50</v>
      </c>
    </row>
    <row r="51" spans="1:11" x14ac:dyDescent="0.3">
      <c r="A51" s="7">
        <f>Internal!N8</f>
        <v>7</v>
      </c>
      <c r="B51" s="18" t="str">
        <f>Internal!O8</f>
        <v>Firewood-Local</v>
      </c>
      <c r="C51" s="703" t="s">
        <v>15</v>
      </c>
      <c r="D51" s="706" t="s">
        <v>10</v>
      </c>
      <c r="E51" s="122">
        <v>0.95</v>
      </c>
      <c r="F51" s="123">
        <v>0</v>
      </c>
      <c r="G51" s="124">
        <v>0</v>
      </c>
      <c r="H51" s="80">
        <v>0.01</v>
      </c>
      <c r="I51" s="533">
        <v>0.03</v>
      </c>
      <c r="J51" s="541">
        <v>0.9</v>
      </c>
      <c r="K51" s="121">
        <v>2</v>
      </c>
    </row>
    <row r="52" spans="1:11" x14ac:dyDescent="0.3">
      <c r="A52" s="7">
        <f>Internal!N9</f>
        <v>8</v>
      </c>
      <c r="B52" s="18" t="str">
        <f>Internal!O9</f>
        <v xml:space="preserve">Free-CropsWaste </v>
      </c>
      <c r="C52" s="703" t="s">
        <v>17</v>
      </c>
      <c r="D52" s="706" t="s">
        <v>18</v>
      </c>
      <c r="E52" s="122">
        <v>1</v>
      </c>
      <c r="F52" s="123">
        <v>0</v>
      </c>
      <c r="G52" s="124">
        <v>0</v>
      </c>
      <c r="H52" s="80">
        <v>0</v>
      </c>
      <c r="I52" s="533">
        <v>1E-3</v>
      </c>
      <c r="J52" s="541">
        <v>1</v>
      </c>
      <c r="K52" s="121">
        <v>0</v>
      </c>
    </row>
    <row r="53" spans="1:11" x14ac:dyDescent="0.3">
      <c r="A53" s="7">
        <f>Internal!N10</f>
        <v>9</v>
      </c>
      <c r="B53" s="18" t="str">
        <f>Internal!O10</f>
        <v>Wood-Pellets</v>
      </c>
      <c r="C53" s="703" t="s">
        <v>13</v>
      </c>
      <c r="D53" s="706" t="s">
        <v>10</v>
      </c>
      <c r="E53" s="122">
        <v>0.95</v>
      </c>
      <c r="F53" s="123">
        <v>0</v>
      </c>
      <c r="G53" s="124">
        <v>0</v>
      </c>
      <c r="H53" s="80">
        <v>0.05</v>
      </c>
      <c r="I53" s="533">
        <v>5.0000000000000001E-3</v>
      </c>
      <c r="J53" s="541">
        <v>1</v>
      </c>
      <c r="K53" s="121">
        <v>10</v>
      </c>
    </row>
    <row r="54" spans="1:11" x14ac:dyDescent="0.3">
      <c r="A54" s="7">
        <f>Internal!N11</f>
        <v>10</v>
      </c>
      <c r="B54" s="18" t="str">
        <f>Internal!O11</f>
        <v>Free-Firewood</v>
      </c>
      <c r="C54" s="703" t="s">
        <v>16</v>
      </c>
      <c r="D54" s="706" t="s">
        <v>10</v>
      </c>
      <c r="E54" s="122">
        <v>0.98</v>
      </c>
      <c r="F54" s="123">
        <v>0</v>
      </c>
      <c r="G54" s="124">
        <v>0</v>
      </c>
      <c r="H54" s="80">
        <v>0</v>
      </c>
      <c r="I54" s="533">
        <v>1E-3</v>
      </c>
      <c r="J54" s="541">
        <v>1</v>
      </c>
      <c r="K54" s="121">
        <v>0</v>
      </c>
    </row>
    <row r="55" spans="1:11" ht="15" thickBot="1" x14ac:dyDescent="0.35">
      <c r="A55" s="7">
        <f>Internal!N12</f>
        <v>11</v>
      </c>
      <c r="B55" s="18" t="str">
        <f>Internal!O12</f>
        <v>Ethanol</v>
      </c>
      <c r="C55" s="703" t="s">
        <v>197</v>
      </c>
      <c r="D55" s="706" t="s">
        <v>197</v>
      </c>
      <c r="E55" s="122">
        <v>0.98</v>
      </c>
      <c r="F55" s="123">
        <v>0</v>
      </c>
      <c r="G55" s="124">
        <v>0</v>
      </c>
      <c r="H55" s="80">
        <v>0.05</v>
      </c>
      <c r="I55" s="533">
        <v>0.02</v>
      </c>
      <c r="J55" s="542">
        <v>1</v>
      </c>
      <c r="K55" s="538">
        <v>20</v>
      </c>
    </row>
    <row r="56" spans="1:11" ht="0.75" customHeight="1" thickTop="1" thickBot="1" x14ac:dyDescent="0.35">
      <c r="B56" s="99"/>
      <c r="C56" s="111"/>
      <c r="D56" s="112"/>
      <c r="E56" s="110"/>
      <c r="F56" s="104"/>
      <c r="G56" s="105"/>
      <c r="H56" s="102"/>
      <c r="I56" s="101"/>
    </row>
    <row r="57" spans="1:11" ht="15.6" thickTop="1" thickBot="1" x14ac:dyDescent="0.35"/>
    <row r="58" spans="1:11" ht="15.6" thickTop="1" thickBot="1" x14ac:dyDescent="0.35">
      <c r="C58" s="19" t="s">
        <v>140</v>
      </c>
      <c r="D58" s="22" t="s">
        <v>142</v>
      </c>
      <c r="E58" s="21"/>
      <c r="F58" s="20" t="s">
        <v>139</v>
      </c>
      <c r="G58" s="20" t="s">
        <v>141</v>
      </c>
      <c r="H58" s="20" t="s">
        <v>78</v>
      </c>
      <c r="I58" s="20" t="s">
        <v>79</v>
      </c>
      <c r="J58" s="20" t="s">
        <v>70</v>
      </c>
      <c r="K58" s="35" t="s">
        <v>68</v>
      </c>
    </row>
    <row r="59" spans="1:11" ht="15.6" thickTop="1" thickBot="1" x14ac:dyDescent="0.35">
      <c r="B59" s="11" t="s">
        <v>5</v>
      </c>
      <c r="C59" s="25" t="s">
        <v>56</v>
      </c>
      <c r="D59" s="28" t="s">
        <v>76</v>
      </c>
      <c r="E59" s="27" t="s">
        <v>131</v>
      </c>
      <c r="F59" s="26" t="s">
        <v>56</v>
      </c>
      <c r="G59" s="26" t="s">
        <v>80</v>
      </c>
      <c r="H59" s="26" t="s">
        <v>81</v>
      </c>
      <c r="I59" s="26" t="s">
        <v>77</v>
      </c>
      <c r="J59" s="26" t="s">
        <v>77</v>
      </c>
      <c r="K59" s="36" t="s">
        <v>132</v>
      </c>
    </row>
    <row r="60" spans="1:11" ht="15" thickTop="1" x14ac:dyDescent="0.3">
      <c r="A60" s="7">
        <f>Internal!P2</f>
        <v>1</v>
      </c>
      <c r="B60" s="31" t="str">
        <f>Internal!Q2</f>
        <v>Electric_0</v>
      </c>
      <c r="C60" s="81">
        <v>0</v>
      </c>
      <c r="D60" s="123">
        <v>0.08</v>
      </c>
      <c r="E60" s="124">
        <v>0.08</v>
      </c>
      <c r="F60" s="80">
        <v>30</v>
      </c>
      <c r="G60" s="80">
        <v>7300</v>
      </c>
      <c r="H60" s="80">
        <v>1</v>
      </c>
      <c r="I60" s="80">
        <v>0</v>
      </c>
      <c r="J60" s="80">
        <v>1.6666666666666666E-2</v>
      </c>
      <c r="K60" s="121">
        <v>0</v>
      </c>
    </row>
    <row r="61" spans="1:11" x14ac:dyDescent="0.3">
      <c r="A61" s="7">
        <f>Internal!P3</f>
        <v>2</v>
      </c>
      <c r="B61" s="18" t="str">
        <f>Internal!Q3</f>
        <v>Electric_1</v>
      </c>
      <c r="C61" s="83">
        <v>0</v>
      </c>
      <c r="D61" s="123">
        <v>8.5000000000000006E-2</v>
      </c>
      <c r="E61" s="124">
        <v>8.5000000000000006E-2</v>
      </c>
      <c r="F61" s="80">
        <v>57.25</v>
      </c>
      <c r="G61" s="80">
        <v>7300</v>
      </c>
      <c r="H61" s="80">
        <v>1.4</v>
      </c>
      <c r="I61" s="80">
        <v>0</v>
      </c>
      <c r="J61" s="80">
        <v>1.6666666666666666E-2</v>
      </c>
      <c r="K61" s="121">
        <v>0</v>
      </c>
    </row>
    <row r="62" spans="1:11" x14ac:dyDescent="0.3">
      <c r="A62" s="7">
        <f>Internal!P4</f>
        <v>3</v>
      </c>
      <c r="B62" s="18" t="str">
        <f>Internal!Q4</f>
        <v>Electric_2</v>
      </c>
      <c r="C62" s="83">
        <v>0</v>
      </c>
      <c r="D62" s="123">
        <v>9.8000000000000004E-2</v>
      </c>
      <c r="E62" s="124">
        <v>9.8000000000000004E-2</v>
      </c>
      <c r="F62" s="80">
        <v>87</v>
      </c>
      <c r="G62" s="80">
        <v>7300</v>
      </c>
      <c r="H62" s="80">
        <v>1.9</v>
      </c>
      <c r="I62" s="80">
        <v>0</v>
      </c>
      <c r="J62" s="80">
        <v>1.6666666666666666E-2</v>
      </c>
      <c r="K62" s="121">
        <v>0</v>
      </c>
    </row>
    <row r="63" spans="1:11" x14ac:dyDescent="0.3">
      <c r="A63" s="7">
        <f>Internal!P5</f>
        <v>4</v>
      </c>
      <c r="B63" s="18" t="str">
        <f>Internal!Q5</f>
        <v>LPG</v>
      </c>
      <c r="C63" s="83">
        <v>0</v>
      </c>
      <c r="D63" s="123">
        <v>0.08</v>
      </c>
      <c r="E63" s="124">
        <v>0.08</v>
      </c>
      <c r="F63" s="80">
        <v>68</v>
      </c>
      <c r="G63" s="80">
        <v>5475</v>
      </c>
      <c r="H63" s="80">
        <v>1.04</v>
      </c>
      <c r="I63" s="80">
        <v>0.11910918341813329</v>
      </c>
      <c r="J63" s="80">
        <v>0.05</v>
      </c>
      <c r="K63" s="121">
        <v>7.9192156718657189E-2</v>
      </c>
    </row>
    <row r="64" spans="1:11" x14ac:dyDescent="0.3">
      <c r="A64" s="7">
        <f>Internal!P6</f>
        <v>5</v>
      </c>
      <c r="B64" s="18" t="str">
        <f>Internal!Q6</f>
        <v>Biogas</v>
      </c>
      <c r="C64" s="83">
        <v>0</v>
      </c>
      <c r="D64" s="123">
        <v>0.08</v>
      </c>
      <c r="E64" s="124">
        <v>0.08</v>
      </c>
      <c r="F64" s="80">
        <v>68</v>
      </c>
      <c r="G64" s="80">
        <v>5475</v>
      </c>
      <c r="H64" s="80">
        <v>1.04</v>
      </c>
      <c r="I64" s="80">
        <v>0.56284927850529642</v>
      </c>
      <c r="J64" s="80">
        <v>0.05</v>
      </c>
      <c r="K64" s="121">
        <v>0.16889554009599311</v>
      </c>
    </row>
    <row r="65" spans="1:11" x14ac:dyDescent="0.3">
      <c r="A65" s="7">
        <f>Internal!P7</f>
        <v>6</v>
      </c>
      <c r="B65" s="18" t="str">
        <f>Internal!Q7</f>
        <v>Charcoal_0</v>
      </c>
      <c r="C65" s="83">
        <v>0</v>
      </c>
      <c r="D65" s="123">
        <v>0</v>
      </c>
      <c r="E65" s="124">
        <v>0</v>
      </c>
      <c r="F65" s="80">
        <v>0</v>
      </c>
      <c r="G65" s="80">
        <v>1</v>
      </c>
      <c r="H65" s="80">
        <v>0.21</v>
      </c>
      <c r="I65" s="80">
        <v>0.76236550170990069</v>
      </c>
      <c r="J65" s="80">
        <v>1</v>
      </c>
      <c r="K65" s="121">
        <v>1.7235389219497095</v>
      </c>
    </row>
    <row r="66" spans="1:11" x14ac:dyDescent="0.3">
      <c r="A66" s="7">
        <f>Internal!P8</f>
        <v>7</v>
      </c>
      <c r="B66" s="18" t="str">
        <f>Internal!Q8</f>
        <v>Charcoal_1</v>
      </c>
      <c r="C66" s="83">
        <v>0</v>
      </c>
      <c r="D66" s="123">
        <v>0.15</v>
      </c>
      <c r="E66" s="124">
        <v>0.15</v>
      </c>
      <c r="F66" s="80">
        <v>25</v>
      </c>
      <c r="G66" s="80">
        <v>1825</v>
      </c>
      <c r="H66" s="80">
        <v>0.36</v>
      </c>
      <c r="I66" s="80">
        <v>0.71598965718575358</v>
      </c>
      <c r="J66" s="80">
        <v>0.83333333333333337</v>
      </c>
      <c r="K66" s="121">
        <v>1.1645865104208473</v>
      </c>
    </row>
    <row r="67" spans="1:11" x14ac:dyDescent="0.3">
      <c r="A67" s="7">
        <f>Internal!P9</f>
        <v>8</v>
      </c>
      <c r="B67" s="18" t="str">
        <f>Internal!Q9</f>
        <v>Charcoal_2</v>
      </c>
      <c r="C67" s="83">
        <v>0</v>
      </c>
      <c r="D67" s="123">
        <v>0.15</v>
      </c>
      <c r="E67" s="124">
        <v>0.15</v>
      </c>
      <c r="F67" s="80">
        <v>50</v>
      </c>
      <c r="G67" s="80">
        <v>3650</v>
      </c>
      <c r="H67" s="80">
        <v>0.5</v>
      </c>
      <c r="I67" s="80">
        <v>0.44315622654099585</v>
      </c>
      <c r="J67" s="80">
        <v>0.66666666666666663</v>
      </c>
      <c r="K67" s="121">
        <v>0.83850228750300992</v>
      </c>
    </row>
    <row r="68" spans="1:11" x14ac:dyDescent="0.3">
      <c r="A68" s="7">
        <f>Internal!P10</f>
        <v>9</v>
      </c>
      <c r="B68" s="18" t="str">
        <f>Internal!Q10</f>
        <v>Firewood-Bio_0</v>
      </c>
      <c r="C68" s="83">
        <v>0</v>
      </c>
      <c r="D68" s="123">
        <v>0</v>
      </c>
      <c r="E68" s="124">
        <v>0</v>
      </c>
      <c r="F68" s="80">
        <v>0</v>
      </c>
      <c r="G68" s="80">
        <v>1</v>
      </c>
      <c r="H68" s="80">
        <v>0.12</v>
      </c>
      <c r="I68" s="80">
        <v>1</v>
      </c>
      <c r="J68" s="80">
        <v>1</v>
      </c>
      <c r="K68" s="121">
        <v>4.5301561658589122</v>
      </c>
    </row>
    <row r="69" spans="1:11" x14ac:dyDescent="0.3">
      <c r="A69" s="7">
        <f>Internal!P11</f>
        <v>10</v>
      </c>
      <c r="B69" s="18" t="str">
        <f>Internal!Q11</f>
        <v>Firewood-Bio_1</v>
      </c>
      <c r="C69" s="83">
        <v>0</v>
      </c>
      <c r="D69" s="123">
        <v>0.15</v>
      </c>
      <c r="E69" s="124">
        <v>0.15</v>
      </c>
      <c r="F69" s="80">
        <v>20</v>
      </c>
      <c r="G69" s="80">
        <v>1825</v>
      </c>
      <c r="H69" s="80">
        <v>0.24</v>
      </c>
      <c r="I69" s="80">
        <v>0.92534823588289261</v>
      </c>
      <c r="J69" s="80">
        <v>0.83333333333333337</v>
      </c>
      <c r="K69" s="121">
        <v>2.2436822063235637</v>
      </c>
    </row>
    <row r="70" spans="1:11" x14ac:dyDescent="0.3">
      <c r="A70" s="7">
        <f>Internal!P12</f>
        <v>11</v>
      </c>
      <c r="B70" s="18" t="str">
        <f>Internal!Q12</f>
        <v>Firewood-Bio_2</v>
      </c>
      <c r="C70" s="83">
        <v>0</v>
      </c>
      <c r="D70" s="123">
        <v>0.15</v>
      </c>
      <c r="E70" s="124">
        <v>0.15</v>
      </c>
      <c r="F70" s="80">
        <v>40</v>
      </c>
      <c r="G70" s="80">
        <v>3650</v>
      </c>
      <c r="H70" s="80">
        <v>0.36</v>
      </c>
      <c r="I70" s="80">
        <v>0.84894486612728326</v>
      </c>
      <c r="J70" s="80">
        <v>0.66666666666666663</v>
      </c>
      <c r="K70" s="121">
        <v>1.4459445598379363</v>
      </c>
    </row>
    <row r="71" spans="1:11" x14ac:dyDescent="0.3">
      <c r="A71" s="7">
        <f>Internal!P13</f>
        <v>12</v>
      </c>
      <c r="B71" s="18" t="str">
        <f>Internal!Q13</f>
        <v>Pellets</v>
      </c>
      <c r="C71" s="83">
        <v>0</v>
      </c>
      <c r="D71" s="123">
        <v>0</v>
      </c>
      <c r="E71" s="124">
        <v>0.15</v>
      </c>
      <c r="F71" s="80">
        <v>72</v>
      </c>
      <c r="G71" s="80">
        <v>5475</v>
      </c>
      <c r="H71" s="80">
        <v>0.8</v>
      </c>
      <c r="I71" s="80">
        <v>0.66102260405371582</v>
      </c>
      <c r="J71" s="80">
        <v>0.33333333333333331</v>
      </c>
      <c r="K71" s="121">
        <v>0.37</v>
      </c>
    </row>
    <row r="72" spans="1:11" x14ac:dyDescent="0.3">
      <c r="A72" s="7">
        <f>Internal!P14</f>
        <v>13</v>
      </c>
      <c r="B72" s="18" t="str">
        <f>Internal!Q14</f>
        <v>Ethanol</v>
      </c>
      <c r="C72" s="83">
        <v>0</v>
      </c>
      <c r="D72" s="123">
        <v>0.08</v>
      </c>
      <c r="E72" s="124">
        <v>0.08</v>
      </c>
      <c r="F72" s="80">
        <v>40</v>
      </c>
      <c r="G72" s="80">
        <v>5475</v>
      </c>
      <c r="H72" s="80">
        <v>0.9</v>
      </c>
      <c r="I72" s="80">
        <v>0.39</v>
      </c>
      <c r="J72" s="80">
        <v>0.05</v>
      </c>
      <c r="K72" s="121">
        <v>0.14699999999999999</v>
      </c>
    </row>
    <row r="73" spans="1:11" ht="0.75" customHeight="1" thickBot="1" x14ac:dyDescent="0.35">
      <c r="B73" s="99"/>
      <c r="C73" s="100"/>
      <c r="D73" s="104"/>
      <c r="E73" s="105"/>
      <c r="F73" s="102"/>
      <c r="G73" s="102"/>
      <c r="H73" s="102"/>
      <c r="I73" s="102"/>
      <c r="J73" s="102"/>
      <c r="K73" s="101"/>
    </row>
    <row r="74" spans="1:11" ht="15.6" thickTop="1" thickBot="1" x14ac:dyDescent="0.35"/>
    <row r="75" spans="1:11" ht="15.6" thickTop="1" thickBot="1" x14ac:dyDescent="0.35">
      <c r="B75" s="113" t="s">
        <v>6</v>
      </c>
      <c r="C75" s="114" t="s">
        <v>72</v>
      </c>
      <c r="D75" s="117" t="s">
        <v>82</v>
      </c>
    </row>
    <row r="76" spans="1:11" ht="15" thickTop="1" x14ac:dyDescent="0.3">
      <c r="A76" s="7">
        <f>Internal!R2</f>
        <v>1</v>
      </c>
      <c r="B76" s="32" t="str">
        <f>Internal!S2</f>
        <v>Electric_0</v>
      </c>
      <c r="C76" s="701" t="s">
        <v>282</v>
      </c>
      <c r="D76" s="702" t="s">
        <v>24</v>
      </c>
    </row>
    <row r="77" spans="1:11" x14ac:dyDescent="0.3">
      <c r="A77" s="7">
        <f>Internal!R3</f>
        <v>2</v>
      </c>
      <c r="B77" s="18" t="str">
        <f>Internal!S3</f>
        <v>Electric_1</v>
      </c>
      <c r="C77" s="703" t="s">
        <v>282</v>
      </c>
      <c r="D77" s="704" t="s">
        <v>25</v>
      </c>
    </row>
    <row r="78" spans="1:11" x14ac:dyDescent="0.3">
      <c r="A78" s="7">
        <f>Internal!R4</f>
        <v>3</v>
      </c>
      <c r="B78" s="18" t="str">
        <f>Internal!S4</f>
        <v>Electric_2</v>
      </c>
      <c r="C78" s="703" t="s">
        <v>282</v>
      </c>
      <c r="D78" s="704" t="s">
        <v>26</v>
      </c>
    </row>
    <row r="79" spans="1:11" x14ac:dyDescent="0.3">
      <c r="A79" s="7">
        <f>Internal!R5</f>
        <v>4</v>
      </c>
      <c r="B79" s="18" t="str">
        <f>Internal!S5</f>
        <v>LPG</v>
      </c>
      <c r="C79" s="703" t="s">
        <v>11</v>
      </c>
      <c r="D79" s="704" t="s">
        <v>11</v>
      </c>
    </row>
    <row r="80" spans="1:11" x14ac:dyDescent="0.3">
      <c r="A80" s="7">
        <f>Internal!R6</f>
        <v>5</v>
      </c>
      <c r="B80" s="18" t="str">
        <f>Internal!S6</f>
        <v>Biogas</v>
      </c>
      <c r="C80" s="703" t="s">
        <v>14</v>
      </c>
      <c r="D80" s="704" t="s">
        <v>14</v>
      </c>
    </row>
    <row r="81" spans="1:4" x14ac:dyDescent="0.3">
      <c r="A81" s="7">
        <f>Internal!R7</f>
        <v>6</v>
      </c>
      <c r="B81" s="18" t="str">
        <f>Internal!S7</f>
        <v>Charcoal_0</v>
      </c>
      <c r="C81" s="703" t="s">
        <v>12</v>
      </c>
      <c r="D81" s="704" t="s">
        <v>27</v>
      </c>
    </row>
    <row r="82" spans="1:4" x14ac:dyDescent="0.3">
      <c r="A82" s="7">
        <f>Internal!R8</f>
        <v>7</v>
      </c>
      <c r="B82" s="18" t="str">
        <f>Internal!S8</f>
        <v>Charcoal_1</v>
      </c>
      <c r="C82" s="703" t="s">
        <v>12</v>
      </c>
      <c r="D82" s="704" t="s">
        <v>28</v>
      </c>
    </row>
    <row r="83" spans="1:4" x14ac:dyDescent="0.3">
      <c r="A83" s="7">
        <f>Internal!R9</f>
        <v>8</v>
      </c>
      <c r="B83" s="18" t="str">
        <f>Internal!S9</f>
        <v>Charcoal_2</v>
      </c>
      <c r="C83" s="703" t="s">
        <v>12</v>
      </c>
      <c r="D83" s="704" t="s">
        <v>29</v>
      </c>
    </row>
    <row r="84" spans="1:4" x14ac:dyDescent="0.3">
      <c r="A84" s="7">
        <f>Internal!R10</f>
        <v>9</v>
      </c>
      <c r="B84" s="18" t="str">
        <f>Internal!S10</f>
        <v>Com-Firewood_0</v>
      </c>
      <c r="C84" s="703" t="s">
        <v>15</v>
      </c>
      <c r="D84" s="704" t="s">
        <v>30</v>
      </c>
    </row>
    <row r="85" spans="1:4" x14ac:dyDescent="0.3">
      <c r="A85" s="7">
        <f>Internal!R11</f>
        <v>10</v>
      </c>
      <c r="B85" s="18" t="str">
        <f>Internal!S11</f>
        <v>Com-Firewood_1</v>
      </c>
      <c r="C85" s="703" t="s">
        <v>15</v>
      </c>
      <c r="D85" s="704" t="s">
        <v>31</v>
      </c>
    </row>
    <row r="86" spans="1:4" x14ac:dyDescent="0.3">
      <c r="A86" s="7">
        <f>Internal!R12</f>
        <v>11</v>
      </c>
      <c r="B86" s="18" t="str">
        <f>Internal!S12</f>
        <v>Com-Firewood_2</v>
      </c>
      <c r="C86" s="703" t="s">
        <v>15</v>
      </c>
      <c r="D86" s="704" t="s">
        <v>32</v>
      </c>
    </row>
    <row r="87" spans="1:4" x14ac:dyDescent="0.3">
      <c r="A87" s="7">
        <f>Internal!R13</f>
        <v>12</v>
      </c>
      <c r="B87" s="18" t="str">
        <f>Internal!S13</f>
        <v>Free-Biomass_0</v>
      </c>
      <c r="C87" s="703" t="s">
        <v>17</v>
      </c>
      <c r="D87" s="704" t="s">
        <v>30</v>
      </c>
    </row>
    <row r="88" spans="1:4" x14ac:dyDescent="0.3">
      <c r="A88" s="7">
        <f>Internal!R14</f>
        <v>13</v>
      </c>
      <c r="B88" s="18" t="str">
        <f>Internal!S14</f>
        <v>Free-Biomass_1</v>
      </c>
      <c r="C88" s="703" t="s">
        <v>17</v>
      </c>
      <c r="D88" s="704" t="s">
        <v>31</v>
      </c>
    </row>
    <row r="89" spans="1:4" x14ac:dyDescent="0.3">
      <c r="A89" s="7">
        <f>Internal!R15</f>
        <v>14</v>
      </c>
      <c r="B89" s="18" t="str">
        <f>Internal!S15</f>
        <v>Free-Biomass_2</v>
      </c>
      <c r="C89" s="703" t="s">
        <v>17</v>
      </c>
      <c r="D89" s="704" t="s">
        <v>32</v>
      </c>
    </row>
    <row r="90" spans="1:4" x14ac:dyDescent="0.3">
      <c r="A90" s="7">
        <f>Internal!R16</f>
        <v>15</v>
      </c>
      <c r="B90" s="18" t="str">
        <f>Internal!S16</f>
        <v>Pellets</v>
      </c>
      <c r="C90" s="703" t="s">
        <v>13</v>
      </c>
      <c r="D90" s="704" t="s">
        <v>13</v>
      </c>
    </row>
    <row r="91" spans="1:4" x14ac:dyDescent="0.3">
      <c r="A91" s="7">
        <f>Internal!R17</f>
        <v>16</v>
      </c>
      <c r="B91" s="18" t="str">
        <f>Internal!S17</f>
        <v>Free-Firewood_0</v>
      </c>
      <c r="C91" s="703" t="s">
        <v>16</v>
      </c>
      <c r="D91" s="704" t="s">
        <v>30</v>
      </c>
    </row>
    <row r="92" spans="1:4" x14ac:dyDescent="0.3">
      <c r="A92" s="7">
        <f>Internal!R18</f>
        <v>17</v>
      </c>
      <c r="B92" s="18" t="str">
        <f>Internal!S18</f>
        <v>Free-Firewood_1</v>
      </c>
      <c r="C92" s="703" t="s">
        <v>16</v>
      </c>
      <c r="D92" s="704" t="s">
        <v>31</v>
      </c>
    </row>
    <row r="93" spans="1:4" x14ac:dyDescent="0.3">
      <c r="A93" s="7">
        <f>Internal!R19</f>
        <v>18</v>
      </c>
      <c r="B93" s="18" t="str">
        <f>Internal!S19</f>
        <v>Free-Firewood_2</v>
      </c>
      <c r="C93" s="703" t="s">
        <v>16</v>
      </c>
      <c r="D93" s="704" t="s">
        <v>32</v>
      </c>
    </row>
    <row r="94" spans="1:4" x14ac:dyDescent="0.3">
      <c r="A94" s="7">
        <f>Internal!R20</f>
        <v>19</v>
      </c>
      <c r="B94" s="18" t="str">
        <f>Internal!S20</f>
        <v>Ethanol</v>
      </c>
      <c r="C94" s="703" t="s">
        <v>197</v>
      </c>
      <c r="D94" s="704" t="s">
        <v>197</v>
      </c>
    </row>
    <row r="95" spans="1:4" ht="0.75" customHeight="1" thickBot="1" x14ac:dyDescent="0.35">
      <c r="B95" s="99"/>
      <c r="C95" s="103"/>
      <c r="D95" s="106"/>
    </row>
    <row r="96" spans="1:4" ht="14.4" customHeight="1" thickTop="1" x14ac:dyDescent="0.3"/>
  </sheetData>
  <sheetProtection algorithmName="SHA-512" hashValue="VvBpRPpmWaH3th2ywcvgZsQbLkG81e82MgVVtvhCQHEEGPjyPjSUAGPLdge4q5s2uoVYNdz53i0XnJ6cu+RiBg==" saltValue="ScMAolSr2PGmfse4xOzoTg==" spinCount="100000" sheet="1" objects="1" scenarios="1" selectLockedCells="1"/>
  <conditionalFormatting sqref="C45:D55 C76:D94">
    <cfRule type="containsBlanks" dxfId="8" priority="11">
      <formula>LEN(TRIM(C45))=0</formula>
    </cfRule>
  </conditionalFormatting>
  <conditionalFormatting sqref="C15:C17 C45:I55 C60:K72 C21:D26 C31:E39 C76:D94">
    <cfRule type="containsBlanks" dxfId="7" priority="7">
      <formula>LEN(TRIM(C15))=0</formula>
    </cfRule>
  </conditionalFormatting>
  <conditionalFormatting sqref="J45:K55">
    <cfRule type="containsBlanks" dxfId="6" priority="1">
      <formula>LEN(TRIM(J45))=0</formula>
    </cfRule>
  </conditionalFormatting>
  <dataValidations count="8">
    <dataValidation type="decimal" operator="greaterThan" allowBlank="1" showInputMessage="1" showErrorMessage="1" errorTitle="CleanCooking-inputs" error="Value must be greater than zero (&gt;0)." sqref="C15:C17" xr:uid="{F50241B8-E51B-46DF-906E-D0BFD6540E1C}">
      <formula1>0</formula1>
    </dataValidation>
    <dataValidation type="decimal" operator="greaterThanOrEqual" allowBlank="1" showInputMessage="1" showErrorMessage="1" errorTitle="CleanCooking-inputs" error="Value must be equal or greater than zero (≥0)." sqref="F45:I55 C60:K72 C21:D26 C31:E39" xr:uid="{175B9FD2-419A-4472-B5C4-2E01DCC9B6FD}">
      <formula1>0</formula1>
    </dataValidation>
    <dataValidation type="list" errorStyle="information" allowBlank="1" showInputMessage="1" showErrorMessage="1" errorTitle="CleanCooking-inputs" error="Select value from list." sqref="C45:C55 C76:C94" xr:uid="{BC4DDA8B-125A-47F7-AFA7-A7F454467E92}">
      <formula1>$B$31:$B$40</formula1>
    </dataValidation>
    <dataValidation type="list" errorStyle="information" allowBlank="1" showInputMessage="1" showErrorMessage="1" errorTitle="CleanCooking-inputs" error="Select value from list." sqref="D45:D55" xr:uid="{EE309BFD-9EC3-4A68-8905-FA2310DD0EDB}">
      <formula1>$B$21:$B$27</formula1>
    </dataValidation>
    <dataValidation type="decimal" allowBlank="1" showInputMessage="1" showErrorMessage="1" errorTitle="CleanCooking-inputs" error="Value must be between zero and one [0,1]." sqref="E45:E55" xr:uid="{8A460669-0F73-46E7-91FF-2BFBDD6AC0E4}">
      <formula1>0</formula1>
      <formula2>1</formula2>
    </dataValidation>
    <dataValidation type="decimal" operator="greaterThanOrEqual" allowBlank="1" showInputMessage="1" showErrorMessage="1" errorTitle="CleanCooking-inputs" error="Values must be greater than or equal to zero." sqref="K45:K55" xr:uid="{19AA000F-63EF-4058-AD3C-6DD7422C2656}">
      <formula1>0</formula1>
    </dataValidation>
    <dataValidation type="decimal" allowBlank="1" showInputMessage="1" showErrorMessage="1" errorTitle="CleanCooking-inputs" error="Values must be between 0% and 100%." sqref="J45:J55" xr:uid="{D6BB19C3-A23E-4CA9-8024-1C72F9BF3EC6}">
      <formula1>0</formula1>
      <formula2>1</formula2>
    </dataValidation>
    <dataValidation type="list" errorStyle="information" allowBlank="1" showInputMessage="1" showErrorMessage="1" errorTitle="CleanCooking-inputs" error="Select value from list." sqref="D76:D94" xr:uid="{04B12D13-8846-4709-A3D4-B289DDC8429F}">
      <formula1>$B$60:$B$73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B11FD-88BF-454B-AB8C-3F365A061516}">
  <sheetPr codeName="Sheet37">
    <tabColor theme="7" tint="0.79998168889431442"/>
  </sheetPr>
  <dimension ref="A1:Z21"/>
  <sheetViews>
    <sheetView showRowColHeaders="0" topLeftCell="I1" zoomScaleNormal="100" workbookViewId="0">
      <selection activeCell="C11" sqref="C11"/>
    </sheetView>
  </sheetViews>
  <sheetFormatPr defaultColWidth="16.77734375" defaultRowHeight="14.4" x14ac:dyDescent="0.3"/>
  <cols>
    <col min="1" max="1" width="6.77734375" style="7" customWidth="1"/>
    <col min="2" max="2" width="19.77734375" style="8" customWidth="1"/>
    <col min="3" max="22" width="16.77734375" style="9" customWidth="1"/>
    <col min="23" max="23" width="0.109375" style="9" customWidth="1"/>
    <col min="24" max="24" width="8.77734375" style="9" customWidth="1"/>
    <col min="25" max="25" width="10.77734375" style="9" customWidth="1"/>
    <col min="26" max="16384" width="16.77734375" style="9"/>
  </cols>
  <sheetData>
    <row r="1" spans="1:26" s="4" customFormat="1" ht="70.2" customHeight="1" thickBot="1" x14ac:dyDescent="0.35">
      <c r="A1" s="3" t="s">
        <v>116</v>
      </c>
      <c r="B1" s="10"/>
    </row>
    <row r="2" spans="1:26" s="2" customFormat="1" ht="15" thickTop="1" x14ac:dyDescent="0.3">
      <c r="A2" s="5"/>
      <c r="B2" s="6"/>
    </row>
    <row r="3" spans="1:26" s="2" customFormat="1" x14ac:dyDescent="0.3">
      <c r="A3" s="5"/>
      <c r="B3" s="49" t="s">
        <v>123</v>
      </c>
      <c r="C3" s="50"/>
      <c r="D3" s="50"/>
      <c r="E3" s="51"/>
    </row>
    <row r="4" spans="1:26" s="2" customFormat="1" x14ac:dyDescent="0.3">
      <c r="A4" s="5"/>
      <c r="B4" s="56" t="s">
        <v>2177</v>
      </c>
      <c r="C4" s="9"/>
      <c r="D4" s="9"/>
      <c r="E4" s="52"/>
    </row>
    <row r="5" spans="1:26" s="2" customFormat="1" x14ac:dyDescent="0.3">
      <c r="A5" s="5"/>
      <c r="B5" s="61" t="s">
        <v>117</v>
      </c>
      <c r="C5" s="9"/>
      <c r="D5" s="9"/>
      <c r="E5" s="52"/>
    </row>
    <row r="6" spans="1:26" s="2" customFormat="1" x14ac:dyDescent="0.3">
      <c r="A6" s="5"/>
      <c r="B6" s="57" t="s">
        <v>118</v>
      </c>
      <c r="C6" s="54"/>
      <c r="D6" s="54"/>
      <c r="E6" s="55"/>
    </row>
    <row r="7" spans="1:26" s="2" customFormat="1" x14ac:dyDescent="0.3">
      <c r="A7" s="5"/>
      <c r="B7" s="6"/>
    </row>
    <row r="8" spans="1:26" ht="15" thickBot="1" x14ac:dyDescent="0.35"/>
    <row r="9" spans="1:26" ht="15.6" thickTop="1" thickBot="1" x14ac:dyDescent="0.35">
      <c r="C9" s="545" t="s">
        <v>1281</v>
      </c>
      <c r="D9" s="546" t="str">
        <f ca="1">OFFSET(Internal!$S$1,1,0)</f>
        <v>Electric_0</v>
      </c>
      <c r="E9" s="12" t="str">
        <f ca="1">OFFSET(Internal!$S$1,2,0)</f>
        <v>Electric_1</v>
      </c>
      <c r="F9" s="12" t="str">
        <f ca="1">OFFSET(Internal!$S$1,3,0)</f>
        <v>Electric_2</v>
      </c>
      <c r="G9" s="12" t="str">
        <f ca="1">OFFSET(Internal!$S$1,4,0)</f>
        <v>LPG</v>
      </c>
      <c r="H9" s="12" t="str">
        <f ca="1">OFFSET(Internal!$S$1,5,0)</f>
        <v>Biogas</v>
      </c>
      <c r="I9" s="12" t="str">
        <f ca="1">OFFSET(Internal!$S$1,6,0)</f>
        <v>Charcoal_0</v>
      </c>
      <c r="J9" s="12" t="str">
        <f ca="1">OFFSET(Internal!$S$1,7,0)</f>
        <v>Charcoal_1</v>
      </c>
      <c r="K9" s="12" t="str">
        <f ca="1">OFFSET(Internal!$S$1,8,0)</f>
        <v>Charcoal_2</v>
      </c>
      <c r="L9" s="12" t="str">
        <f ca="1">OFFSET(Internal!$S$1,9,0)</f>
        <v>Com-Firewood_0</v>
      </c>
      <c r="M9" s="12" t="str">
        <f ca="1">OFFSET(Internal!$S$1,10,0)</f>
        <v>Com-Firewood_1</v>
      </c>
      <c r="N9" s="12" t="str">
        <f ca="1">OFFSET(Internal!$S$1,11,0)</f>
        <v>Com-Firewood_2</v>
      </c>
      <c r="O9" s="12" t="str">
        <f ca="1">OFFSET(Internal!$S$1,12,0)</f>
        <v>Free-Biomass_0</v>
      </c>
      <c r="P9" s="12" t="str">
        <f ca="1">OFFSET(Internal!$S$1,13,0)</f>
        <v>Free-Biomass_1</v>
      </c>
      <c r="Q9" s="12" t="str">
        <f ca="1">OFFSET(Internal!$S$1,14,0)</f>
        <v>Free-Biomass_2</v>
      </c>
      <c r="R9" s="12" t="str">
        <f ca="1">OFFSET(Internal!$S$1,15,0)</f>
        <v>Pellets</v>
      </c>
      <c r="S9" s="12" t="str">
        <f ca="1">OFFSET(Internal!$S$1,16,0)</f>
        <v>Free-Firewood_0</v>
      </c>
      <c r="T9" s="12" t="str">
        <f ca="1">OFFSET(Internal!$S$1,17,0)</f>
        <v>Free-Firewood_1</v>
      </c>
      <c r="U9" s="12" t="str">
        <f ca="1">OFFSET(Internal!$S$1,18,0)</f>
        <v>Free-Firewood_2</v>
      </c>
      <c r="V9" s="12" t="str">
        <f ca="1">OFFSET(Internal!$S$1,19,0)</f>
        <v>Ethanol</v>
      </c>
      <c r="W9" s="13"/>
      <c r="Y9" s="30" t="s">
        <v>62</v>
      </c>
    </row>
    <row r="10" spans="1:26" ht="15" thickTop="1" x14ac:dyDescent="0.3">
      <c r="A10" s="7">
        <f>Internal!H2</f>
        <v>1</v>
      </c>
      <c r="B10" s="31" t="str">
        <f>Internal!I2</f>
        <v>adm_R</v>
      </c>
      <c r="C10" s="707">
        <v>0</v>
      </c>
      <c r="D10" s="730">
        <v>2E-3</v>
      </c>
      <c r="E10" s="731">
        <v>1E-4</v>
      </c>
      <c r="F10" s="731">
        <v>5.0000000000000002E-5</v>
      </c>
      <c r="G10" s="731">
        <v>0.02</v>
      </c>
      <c r="H10" s="731">
        <v>2.0000000000000001E-4</v>
      </c>
      <c r="I10" s="731">
        <v>0.02</v>
      </c>
      <c r="J10" s="731">
        <v>0.05</v>
      </c>
      <c r="K10" s="731">
        <v>4.0000000000000001E-3</v>
      </c>
      <c r="L10" s="731">
        <v>0.31</v>
      </c>
      <c r="M10" s="731">
        <v>0.22600000000000001</v>
      </c>
      <c r="N10" s="731">
        <v>2.7E-2</v>
      </c>
      <c r="O10" s="731">
        <v>0.03</v>
      </c>
      <c r="P10" s="731">
        <v>2.9000000000000001E-2</v>
      </c>
      <c r="Q10" s="731">
        <v>1.4E-2</v>
      </c>
      <c r="R10" s="731">
        <v>3.0000000000000001E-3</v>
      </c>
      <c r="S10" s="731">
        <v>0.15</v>
      </c>
      <c r="T10" s="731">
        <v>0.1</v>
      </c>
      <c r="U10" s="731">
        <v>1.4649999999999941E-2</v>
      </c>
      <c r="V10" s="731">
        <v>0</v>
      </c>
      <c r="W10" s="88"/>
      <c r="Y10" s="734">
        <f>SUM(D10:W10)</f>
        <v>1</v>
      </c>
      <c r="Z10" s="69" t="str">
        <f>IF(Y10&lt;&gt;1,"weights must equal 1","")</f>
        <v/>
      </c>
    </row>
    <row r="11" spans="1:26" x14ac:dyDescent="0.3">
      <c r="A11" s="7">
        <f>Internal!H3</f>
        <v>2</v>
      </c>
      <c r="B11" s="18" t="str">
        <f>Internal!I3</f>
        <v>com_R</v>
      </c>
      <c r="C11" s="708">
        <v>0</v>
      </c>
      <c r="D11" s="732">
        <v>2E-3</v>
      </c>
      <c r="E11" s="733">
        <v>1E-4</v>
      </c>
      <c r="F11" s="733">
        <v>5.0000000000000002E-5</v>
      </c>
      <c r="G11" s="733">
        <v>0.02</v>
      </c>
      <c r="H11" s="733">
        <v>2.0000000000000001E-4</v>
      </c>
      <c r="I11" s="733">
        <v>0.02</v>
      </c>
      <c r="J11" s="733">
        <v>0.05</v>
      </c>
      <c r="K11" s="733">
        <v>4.0000000000000001E-3</v>
      </c>
      <c r="L11" s="733">
        <v>0.31</v>
      </c>
      <c r="M11" s="733">
        <v>0.22600000000000001</v>
      </c>
      <c r="N11" s="733">
        <v>2.7E-2</v>
      </c>
      <c r="O11" s="733">
        <v>0.03</v>
      </c>
      <c r="P11" s="733">
        <v>2.9000000000000001E-2</v>
      </c>
      <c r="Q11" s="733">
        <v>1.4E-2</v>
      </c>
      <c r="R11" s="733">
        <v>3.0000000000000001E-3</v>
      </c>
      <c r="S11" s="733">
        <v>0.15</v>
      </c>
      <c r="T11" s="733">
        <v>0.1</v>
      </c>
      <c r="U11" s="733">
        <v>1.4649999999999941E-2</v>
      </c>
      <c r="V11" s="733">
        <v>0</v>
      </c>
      <c r="W11" s="89"/>
      <c r="Y11" s="735">
        <f>SUM(D11:W11)</f>
        <v>1</v>
      </c>
      <c r="Z11" s="69" t="str">
        <f t="shared" ref="Z11:Z19" si="0">IF(Y11&lt;&gt;1,"weights must equal 1","")</f>
        <v/>
      </c>
    </row>
    <row r="12" spans="1:26" x14ac:dyDescent="0.3">
      <c r="A12" s="7">
        <f>Internal!H4</f>
        <v>3</v>
      </c>
      <c r="B12" s="18" t="str">
        <f>Internal!I4</f>
        <v>res_low_R</v>
      </c>
      <c r="C12" s="708">
        <v>0</v>
      </c>
      <c r="D12" s="732">
        <v>2E-3</v>
      </c>
      <c r="E12" s="733">
        <v>1E-4</v>
      </c>
      <c r="F12" s="733">
        <v>5.0000000000000002E-5</v>
      </c>
      <c r="G12" s="733">
        <v>0.02</v>
      </c>
      <c r="H12" s="733">
        <v>2.0000000000000001E-4</v>
      </c>
      <c r="I12" s="733">
        <v>0.02</v>
      </c>
      <c r="J12" s="733">
        <v>0.05</v>
      </c>
      <c r="K12" s="733">
        <v>4.0000000000000001E-3</v>
      </c>
      <c r="L12" s="733">
        <v>0.31</v>
      </c>
      <c r="M12" s="733">
        <v>0.22600000000000001</v>
      </c>
      <c r="N12" s="733">
        <v>2.7E-2</v>
      </c>
      <c r="O12" s="733">
        <v>0.03</v>
      </c>
      <c r="P12" s="733">
        <v>2.9000000000000001E-2</v>
      </c>
      <c r="Q12" s="733">
        <v>1.4E-2</v>
      </c>
      <c r="R12" s="733">
        <v>3.0000000000000001E-3</v>
      </c>
      <c r="S12" s="733">
        <v>0.15</v>
      </c>
      <c r="T12" s="733">
        <v>0.1</v>
      </c>
      <c r="U12" s="733">
        <v>1.4649999999999941E-2</v>
      </c>
      <c r="V12" s="733">
        <v>0</v>
      </c>
      <c r="W12" s="89"/>
      <c r="Y12" s="735">
        <f>SUM(D12:W12)</f>
        <v>1</v>
      </c>
      <c r="Z12" s="69" t="str">
        <f t="shared" si="0"/>
        <v/>
      </c>
    </row>
    <row r="13" spans="1:26" x14ac:dyDescent="0.3">
      <c r="A13" s="7">
        <f>Internal!H5</f>
        <v>4</v>
      </c>
      <c r="B13" s="18" t="str">
        <f>Internal!I5</f>
        <v>res_med_R</v>
      </c>
      <c r="C13" s="708">
        <v>0</v>
      </c>
      <c r="D13" s="732">
        <v>2E-3</v>
      </c>
      <c r="E13" s="733">
        <v>1E-4</v>
      </c>
      <c r="F13" s="733">
        <v>5.0000000000000002E-5</v>
      </c>
      <c r="G13" s="733">
        <v>0.02</v>
      </c>
      <c r="H13" s="733">
        <v>2.0000000000000001E-4</v>
      </c>
      <c r="I13" s="733">
        <v>0.02</v>
      </c>
      <c r="J13" s="733">
        <v>0.05</v>
      </c>
      <c r="K13" s="733">
        <v>4.0000000000000001E-3</v>
      </c>
      <c r="L13" s="733">
        <v>0.31</v>
      </c>
      <c r="M13" s="733">
        <v>0.22600000000000001</v>
      </c>
      <c r="N13" s="733">
        <v>2.7E-2</v>
      </c>
      <c r="O13" s="733">
        <v>0.03</v>
      </c>
      <c r="P13" s="733">
        <v>2.9000000000000001E-2</v>
      </c>
      <c r="Q13" s="733">
        <v>1.4E-2</v>
      </c>
      <c r="R13" s="733">
        <v>3.0000000000000001E-3</v>
      </c>
      <c r="S13" s="733">
        <v>0.15</v>
      </c>
      <c r="T13" s="733">
        <v>0.1</v>
      </c>
      <c r="U13" s="733">
        <v>1.4649999999999941E-2</v>
      </c>
      <c r="V13" s="733">
        <v>0</v>
      </c>
      <c r="W13" s="89"/>
      <c r="Y13" s="735">
        <f>SUM(D13:W13)</f>
        <v>1</v>
      </c>
      <c r="Z13" s="69" t="str">
        <f t="shared" si="0"/>
        <v/>
      </c>
    </row>
    <row r="14" spans="1:26" x14ac:dyDescent="0.3">
      <c r="A14" s="7">
        <f>Internal!H6</f>
        <v>5</v>
      </c>
      <c r="B14" s="18" t="str">
        <f>Internal!I6</f>
        <v>res_high_R</v>
      </c>
      <c r="C14" s="708">
        <v>0</v>
      </c>
      <c r="D14" s="732">
        <v>2E-3</v>
      </c>
      <c r="E14" s="733">
        <v>1E-4</v>
      </c>
      <c r="F14" s="733">
        <v>5.0000000000000002E-5</v>
      </c>
      <c r="G14" s="733">
        <v>0.02</v>
      </c>
      <c r="H14" s="733">
        <v>2.0000000000000001E-4</v>
      </c>
      <c r="I14" s="733">
        <v>0.02</v>
      </c>
      <c r="J14" s="733">
        <v>0.05</v>
      </c>
      <c r="K14" s="733">
        <v>4.0000000000000001E-3</v>
      </c>
      <c r="L14" s="733">
        <v>0.31</v>
      </c>
      <c r="M14" s="733">
        <v>0.22600000000000001</v>
      </c>
      <c r="N14" s="733">
        <v>2.7E-2</v>
      </c>
      <c r="O14" s="733">
        <v>0.03</v>
      </c>
      <c r="P14" s="733">
        <v>2.9000000000000001E-2</v>
      </c>
      <c r="Q14" s="733">
        <v>1.4E-2</v>
      </c>
      <c r="R14" s="733">
        <v>3.0000000000000001E-3</v>
      </c>
      <c r="S14" s="733">
        <v>0.15</v>
      </c>
      <c r="T14" s="733">
        <v>0.1</v>
      </c>
      <c r="U14" s="733">
        <v>1.4649999999999941E-2</v>
      </c>
      <c r="V14" s="733">
        <v>0</v>
      </c>
      <c r="W14" s="89"/>
      <c r="Y14" s="735">
        <f>SUM(D14:W14)</f>
        <v>1</v>
      </c>
      <c r="Z14" s="69"/>
    </row>
    <row r="15" spans="1:26" x14ac:dyDescent="0.3">
      <c r="A15" s="7">
        <f>Internal!H7</f>
        <v>6</v>
      </c>
      <c r="B15" s="18" t="str">
        <f>Internal!I7</f>
        <v>adm_U</v>
      </c>
      <c r="C15" s="708">
        <v>1</v>
      </c>
      <c r="D15" s="732">
        <v>1.4999999999999999E-2</v>
      </c>
      <c r="E15" s="733">
        <v>2E-3</v>
      </c>
      <c r="F15" s="733">
        <v>1E-3</v>
      </c>
      <c r="G15" s="733">
        <v>0.3</v>
      </c>
      <c r="H15" s="733">
        <v>0</v>
      </c>
      <c r="I15" s="733">
        <v>0.08</v>
      </c>
      <c r="J15" s="733">
        <v>0.33</v>
      </c>
      <c r="K15" s="733">
        <v>2.7E-2</v>
      </c>
      <c r="L15" s="733">
        <v>0.08</v>
      </c>
      <c r="M15" s="733">
        <v>0.05</v>
      </c>
      <c r="N15" s="733">
        <v>1.4999999999999999E-2</v>
      </c>
      <c r="O15" s="733">
        <v>8.0000000000000002E-3</v>
      </c>
      <c r="P15" s="733">
        <v>5.0000000000000001E-3</v>
      </c>
      <c r="Q15" s="733">
        <v>3.0000000000000001E-3</v>
      </c>
      <c r="R15" s="733">
        <v>1E-3</v>
      </c>
      <c r="S15" s="733">
        <v>0.03</v>
      </c>
      <c r="T15" s="733">
        <v>1.4999999999999999E-2</v>
      </c>
      <c r="U15" s="733">
        <v>1.7999999999999999E-2</v>
      </c>
      <c r="V15" s="733">
        <v>2.0000000000000018E-2</v>
      </c>
      <c r="W15" s="89"/>
      <c r="Y15" s="735">
        <f>SUM(D15:W15)</f>
        <v>1</v>
      </c>
      <c r="Z15" s="69" t="str">
        <f t="shared" si="0"/>
        <v/>
      </c>
    </row>
    <row r="16" spans="1:26" x14ac:dyDescent="0.3">
      <c r="A16" s="7">
        <f>Internal!H8</f>
        <v>7</v>
      </c>
      <c r="B16" s="18" t="str">
        <f>Internal!I8</f>
        <v>com_U</v>
      </c>
      <c r="C16" s="708">
        <v>1</v>
      </c>
      <c r="D16" s="732">
        <v>1.4999999999999999E-2</v>
      </c>
      <c r="E16" s="733">
        <v>2E-3</v>
      </c>
      <c r="F16" s="733">
        <v>1E-3</v>
      </c>
      <c r="G16" s="733">
        <v>0.3</v>
      </c>
      <c r="H16" s="733">
        <v>0</v>
      </c>
      <c r="I16" s="733">
        <v>0.08</v>
      </c>
      <c r="J16" s="733">
        <v>0.33</v>
      </c>
      <c r="K16" s="733">
        <v>2.7E-2</v>
      </c>
      <c r="L16" s="733">
        <v>0.08</v>
      </c>
      <c r="M16" s="733">
        <v>0.05</v>
      </c>
      <c r="N16" s="733">
        <v>1.4999999999999999E-2</v>
      </c>
      <c r="O16" s="733">
        <v>8.0000000000000002E-3</v>
      </c>
      <c r="P16" s="733">
        <v>5.0000000000000001E-3</v>
      </c>
      <c r="Q16" s="733">
        <v>3.0000000000000001E-3</v>
      </c>
      <c r="R16" s="733">
        <v>1E-3</v>
      </c>
      <c r="S16" s="733">
        <v>0.03</v>
      </c>
      <c r="T16" s="733">
        <v>1.4999999999999999E-2</v>
      </c>
      <c r="U16" s="733">
        <v>1.7999999999999999E-2</v>
      </c>
      <c r="V16" s="733">
        <v>2.0000000000000018E-2</v>
      </c>
      <c r="W16" s="89"/>
      <c r="Y16" s="735">
        <f>SUM(D16:W16)</f>
        <v>1</v>
      </c>
      <c r="Z16" s="69" t="str">
        <f t="shared" si="0"/>
        <v/>
      </c>
    </row>
    <row r="17" spans="1:26" x14ac:dyDescent="0.3">
      <c r="A17" s="7">
        <f>Internal!H9</f>
        <v>8</v>
      </c>
      <c r="B17" s="18" t="str">
        <f>Internal!I9</f>
        <v>res_low_U</v>
      </c>
      <c r="C17" s="708">
        <v>1</v>
      </c>
      <c r="D17" s="732">
        <v>1.4999999999999999E-2</v>
      </c>
      <c r="E17" s="733">
        <v>2E-3</v>
      </c>
      <c r="F17" s="733">
        <v>1E-3</v>
      </c>
      <c r="G17" s="733">
        <v>0.3</v>
      </c>
      <c r="H17" s="733">
        <v>0</v>
      </c>
      <c r="I17" s="733">
        <v>0.08</v>
      </c>
      <c r="J17" s="733">
        <v>0.33</v>
      </c>
      <c r="K17" s="733">
        <v>2.7E-2</v>
      </c>
      <c r="L17" s="733">
        <v>0.08</v>
      </c>
      <c r="M17" s="733">
        <v>0.05</v>
      </c>
      <c r="N17" s="733">
        <v>1.4999999999999999E-2</v>
      </c>
      <c r="O17" s="733">
        <v>8.0000000000000002E-3</v>
      </c>
      <c r="P17" s="733">
        <v>5.0000000000000001E-3</v>
      </c>
      <c r="Q17" s="733">
        <v>3.0000000000000001E-3</v>
      </c>
      <c r="R17" s="733">
        <v>1E-3</v>
      </c>
      <c r="S17" s="733">
        <v>0.03</v>
      </c>
      <c r="T17" s="733">
        <v>1.4999999999999999E-2</v>
      </c>
      <c r="U17" s="733">
        <v>1.7999999999999999E-2</v>
      </c>
      <c r="V17" s="733">
        <v>2.0000000000000018E-2</v>
      </c>
      <c r="W17" s="89"/>
      <c r="Y17" s="735">
        <f>SUM(D17:W17)</f>
        <v>1</v>
      </c>
      <c r="Z17" s="69" t="str">
        <f t="shared" si="0"/>
        <v/>
      </c>
    </row>
    <row r="18" spans="1:26" x14ac:dyDescent="0.3">
      <c r="A18" s="7">
        <f>Internal!H10</f>
        <v>9</v>
      </c>
      <c r="B18" s="18" t="str">
        <f>Internal!I10</f>
        <v>res_med_U</v>
      </c>
      <c r="C18" s="708">
        <v>1</v>
      </c>
      <c r="D18" s="732">
        <v>1.4999999999999999E-2</v>
      </c>
      <c r="E18" s="733">
        <v>2E-3</v>
      </c>
      <c r="F18" s="733">
        <v>1E-3</v>
      </c>
      <c r="G18" s="733">
        <v>0.3</v>
      </c>
      <c r="H18" s="733">
        <v>0</v>
      </c>
      <c r="I18" s="733">
        <v>0.08</v>
      </c>
      <c r="J18" s="733">
        <v>0.33</v>
      </c>
      <c r="K18" s="733">
        <v>2.7E-2</v>
      </c>
      <c r="L18" s="733">
        <v>0.08</v>
      </c>
      <c r="M18" s="733">
        <v>0.05</v>
      </c>
      <c r="N18" s="733">
        <v>1.4999999999999999E-2</v>
      </c>
      <c r="O18" s="733">
        <v>8.0000000000000002E-3</v>
      </c>
      <c r="P18" s="733">
        <v>5.0000000000000001E-3</v>
      </c>
      <c r="Q18" s="733">
        <v>3.0000000000000001E-3</v>
      </c>
      <c r="R18" s="733">
        <v>1E-3</v>
      </c>
      <c r="S18" s="733">
        <v>0.03</v>
      </c>
      <c r="T18" s="733">
        <v>1.4999999999999999E-2</v>
      </c>
      <c r="U18" s="733">
        <v>1.7999999999999999E-2</v>
      </c>
      <c r="V18" s="733">
        <v>2.0000000000000018E-2</v>
      </c>
      <c r="W18" s="89"/>
      <c r="Y18" s="735">
        <f>SUM(D18:W18)</f>
        <v>1</v>
      </c>
      <c r="Z18" s="69" t="str">
        <f t="shared" si="0"/>
        <v/>
      </c>
    </row>
    <row r="19" spans="1:26" x14ac:dyDescent="0.3">
      <c r="A19" s="7">
        <f>Internal!H11</f>
        <v>10</v>
      </c>
      <c r="B19" s="18" t="str">
        <f>Internal!I11</f>
        <v>res_high_U</v>
      </c>
      <c r="C19" s="708">
        <v>1</v>
      </c>
      <c r="D19" s="732">
        <v>1.4999999999999999E-2</v>
      </c>
      <c r="E19" s="733">
        <v>2E-3</v>
      </c>
      <c r="F19" s="733">
        <v>1E-3</v>
      </c>
      <c r="G19" s="733">
        <v>0.3</v>
      </c>
      <c r="H19" s="733">
        <v>0</v>
      </c>
      <c r="I19" s="733">
        <v>0.08</v>
      </c>
      <c r="J19" s="733">
        <v>0.33</v>
      </c>
      <c r="K19" s="733">
        <v>2.7E-2</v>
      </c>
      <c r="L19" s="733">
        <v>0.08</v>
      </c>
      <c r="M19" s="733">
        <v>0.05</v>
      </c>
      <c r="N19" s="733">
        <v>1.4999999999999999E-2</v>
      </c>
      <c r="O19" s="733">
        <v>8.0000000000000002E-3</v>
      </c>
      <c r="P19" s="733">
        <v>5.0000000000000001E-3</v>
      </c>
      <c r="Q19" s="733">
        <v>3.0000000000000001E-3</v>
      </c>
      <c r="R19" s="733">
        <v>1E-3</v>
      </c>
      <c r="S19" s="733">
        <v>0.03</v>
      </c>
      <c r="T19" s="733">
        <v>1.4999999999999999E-2</v>
      </c>
      <c r="U19" s="733">
        <v>1.7999999999999999E-2</v>
      </c>
      <c r="V19" s="733">
        <v>2.0000000000000018E-2</v>
      </c>
      <c r="W19" s="89"/>
      <c r="Y19" s="735">
        <f>SUM(D19:W19)</f>
        <v>1</v>
      </c>
      <c r="Z19" s="69" t="str">
        <f t="shared" si="0"/>
        <v/>
      </c>
    </row>
    <row r="20" spans="1:26" ht="0.75" customHeight="1" thickBot="1" x14ac:dyDescent="0.35">
      <c r="A20" s="7">
        <f>Internal!H12</f>
        <v>0</v>
      </c>
      <c r="B20" s="241">
        <f>Internal!I12</f>
        <v>0</v>
      </c>
      <c r="C20" s="548"/>
      <c r="D20" s="547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85"/>
      <c r="Y20" s="77"/>
      <c r="Z20" s="69"/>
    </row>
    <row r="21" spans="1:26" ht="15" thickTop="1" x14ac:dyDescent="0.3"/>
  </sheetData>
  <sheetProtection algorithmName="SHA-512" hashValue="XLkJgxqL82fW8Lg1jrx36a6ItIGQlsFQozd8dU06ByiFO2J/qDVma+q7DBepMvg3GiDPvUFfFB6HX9hvOVvHZQ==" saltValue="Y1Xq+MlGYWj6rylgFnjB1Q==" spinCount="100000" sheet="1" objects="1" scenarios="1" selectLockedCells="1"/>
  <conditionalFormatting sqref="Y10:Y20">
    <cfRule type="cellIs" dxfId="5" priority="3" operator="notEqual">
      <formula>1</formula>
    </cfRule>
  </conditionalFormatting>
  <conditionalFormatting sqref="C10:V19">
    <cfRule type="containsBlanks" dxfId="4" priority="2">
      <formula>LEN(TRIM(C10))=0</formula>
    </cfRule>
  </conditionalFormatting>
  <dataValidations count="1">
    <dataValidation type="decimal" allowBlank="1" showInputMessage="1" showErrorMessage="1" errorTitle="CleanCooking-inputs" error="Value must be between zero and one [0,1]." sqref="D10:W20" xr:uid="{12B09160-9A1E-4364-B1AD-D225E6F78FBF}">
      <formula1>0</formula1>
      <formula2>1</formula2>
    </dataValidation>
  </dataValidation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ICCPT inputs" prompt="0: rural_x000a_1: urban" xr:uid="{CC862808-C76F-404E-B862-26219339E40D}">
          <x14:formula1>
            <xm:f>Internal!$W$2:$W$3</xm:f>
          </x14:formula1>
          <xm:sqref>C20</xm:sqref>
        </x14:dataValidation>
        <x14:dataValidation type="list" allowBlank="1" showInputMessage="1" showErrorMessage="1" errorTitle="CleanCooking-inputs" error="Please select a value from the list." prompt="0: rural_x000a_1: urban" xr:uid="{41178436-354B-4A38-A358-A7C5E607CA24}">
          <x14:formula1>
            <xm:f>Internal!$W$2:$W$3</xm:f>
          </x14:formula1>
          <xm:sqref>C10</xm:sqref>
        </x14:dataValidation>
        <x14:dataValidation type="list" allowBlank="1" showInputMessage="1" showErrorMessage="1" prompt="0: rural_x000a_1: urban" xr:uid="{91B67530-DE2D-479B-9E3E-F300B1C75D03}">
          <x14:formula1>
            <xm:f>Internal!$W$2:$W$3</xm:f>
          </x14:formula1>
          <xm:sqref>C11:C19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E94E-7EE4-4AED-A67F-1D7D5CD494AF}">
  <sheetPr codeName="Sheet38">
    <tabColor theme="7" tint="0.79998168889431442"/>
  </sheetPr>
  <dimension ref="A1:Q34"/>
  <sheetViews>
    <sheetView showGridLines="0" showRowColHeaders="0" zoomScaleNormal="100" workbookViewId="0">
      <selection activeCell="H25" sqref="H25"/>
    </sheetView>
  </sheetViews>
  <sheetFormatPr defaultColWidth="16.77734375" defaultRowHeight="14.4" x14ac:dyDescent="0.3"/>
  <cols>
    <col min="1" max="1" width="6.77734375" style="7" customWidth="1"/>
    <col min="2" max="2" width="19.77734375" style="8" customWidth="1"/>
    <col min="3" max="3" width="9.77734375" style="9" customWidth="1"/>
    <col min="4" max="12" width="16.77734375" style="9" customWidth="1"/>
    <col min="13" max="13" width="0.109375" style="9" customWidth="1"/>
    <col min="14" max="14" width="8.77734375" style="9" customWidth="1"/>
    <col min="15" max="16384" width="16.77734375" style="9"/>
  </cols>
  <sheetData>
    <row r="1" spans="1:17" s="4" customFormat="1" ht="70.2" customHeight="1" thickBot="1" x14ac:dyDescent="0.35">
      <c r="A1" s="3" t="s">
        <v>127</v>
      </c>
      <c r="B1" s="10"/>
    </row>
    <row r="2" spans="1:17" s="2" customFormat="1" ht="15" thickTop="1" x14ac:dyDescent="0.3">
      <c r="A2" s="5"/>
      <c r="B2" s="6"/>
    </row>
    <row r="3" spans="1:17" s="2" customFormat="1" x14ac:dyDescent="0.3">
      <c r="A3" s="5"/>
      <c r="B3" s="91" t="s">
        <v>2178</v>
      </c>
      <c r="C3" s="50"/>
      <c r="D3" s="50"/>
      <c r="E3" s="50"/>
      <c r="F3" s="51"/>
      <c r="Q3" s="62"/>
    </row>
    <row r="4" spans="1:17" s="2" customFormat="1" x14ac:dyDescent="0.3">
      <c r="A4" s="5"/>
      <c r="B4" s="92" t="s">
        <v>2179</v>
      </c>
      <c r="C4" s="9"/>
      <c r="D4" s="9"/>
      <c r="E4" s="9"/>
      <c r="F4" s="52"/>
      <c r="Q4" s="62"/>
    </row>
    <row r="5" spans="1:17" s="2" customFormat="1" x14ac:dyDescent="0.3">
      <c r="A5" s="5"/>
      <c r="B5" s="58" t="s">
        <v>128</v>
      </c>
      <c r="C5" s="9"/>
      <c r="D5" s="9"/>
      <c r="E5" s="9"/>
      <c r="F5" s="52"/>
      <c r="Q5" s="62"/>
    </row>
    <row r="6" spans="1:17" s="2" customFormat="1" x14ac:dyDescent="0.3">
      <c r="A6" s="5"/>
      <c r="B6" s="90" t="s">
        <v>222</v>
      </c>
      <c r="C6" s="9"/>
      <c r="D6" s="9"/>
      <c r="E6" s="9"/>
      <c r="F6" s="52"/>
      <c r="Q6" s="62"/>
    </row>
    <row r="7" spans="1:17" s="2" customFormat="1" x14ac:dyDescent="0.3">
      <c r="A7" s="5"/>
      <c r="B7" s="61" t="s">
        <v>124</v>
      </c>
      <c r="C7" s="9"/>
      <c r="D7" s="9"/>
      <c r="E7" s="9"/>
      <c r="F7" s="52"/>
      <c r="Q7" s="62"/>
    </row>
    <row r="8" spans="1:17" s="2" customFormat="1" x14ac:dyDescent="0.3">
      <c r="A8" s="5"/>
      <c r="B8" s="61" t="s">
        <v>125</v>
      </c>
      <c r="C8" s="9"/>
      <c r="D8" s="9"/>
      <c r="E8" s="9"/>
      <c r="F8" s="52"/>
    </row>
    <row r="9" spans="1:17" s="2" customFormat="1" x14ac:dyDescent="0.3">
      <c r="A9" s="5"/>
      <c r="B9" s="61" t="s">
        <v>129</v>
      </c>
      <c r="C9" s="9"/>
      <c r="D9" s="9"/>
      <c r="E9" s="9"/>
      <c r="F9" s="52"/>
    </row>
    <row r="10" spans="1:17" s="2" customFormat="1" x14ac:dyDescent="0.3">
      <c r="A10" s="5"/>
      <c r="B10" s="86" t="s">
        <v>126</v>
      </c>
      <c r="C10" s="54"/>
      <c r="D10" s="54"/>
      <c r="E10" s="54"/>
      <c r="F10" s="55"/>
    </row>
    <row r="11" spans="1:17" s="2" customFormat="1" x14ac:dyDescent="0.3">
      <c r="A11" s="5"/>
      <c r="B11" s="6"/>
    </row>
    <row r="12" spans="1:17" ht="15" thickBot="1" x14ac:dyDescent="0.35"/>
    <row r="13" spans="1:17" ht="15.6" thickTop="1" thickBot="1" x14ac:dyDescent="0.35">
      <c r="B13" s="113" t="s">
        <v>400</v>
      </c>
      <c r="C13" s="350"/>
      <c r="D13" s="37" t="str">
        <f ca="1">OFFSET(Internal!$M$1,1,0)</f>
        <v>Electricity</v>
      </c>
      <c r="E13" s="12" t="str">
        <f ca="1">OFFSET(Internal!$M$1,2,0)</f>
        <v>LPG</v>
      </c>
      <c r="F13" s="12" t="str">
        <f ca="1">OFFSET(Internal!$M$1,3,0)</f>
        <v>Biogas</v>
      </c>
      <c r="G13" s="12" t="str">
        <f ca="1">OFFSET(Internal!$M$1,4,0)</f>
        <v>Charcoal</v>
      </c>
      <c r="H13" s="12" t="str">
        <f ca="1">OFFSET(Internal!$M$1,5,0)</f>
        <v>Com-Firewood</v>
      </c>
      <c r="I13" s="12" t="str">
        <f ca="1">OFFSET(Internal!$M$1,6,0)</f>
        <v>Free-Biomass</v>
      </c>
      <c r="J13" s="12" t="str">
        <f ca="1">OFFSET(Internal!$M$1,7,0)</f>
        <v>Pellets</v>
      </c>
      <c r="K13" s="12" t="str">
        <f ca="1">OFFSET(Internal!$M$1,8,0)</f>
        <v>Free-Firewood</v>
      </c>
      <c r="L13" s="12" t="str">
        <f ca="1">OFFSET(Internal!$M$1,9,0)</f>
        <v>Ethanol</v>
      </c>
      <c r="M13" s="87"/>
    </row>
    <row r="14" spans="1:17" ht="15" thickTop="1" x14ac:dyDescent="0.3">
      <c r="B14" s="31" t="str">
        <f>Internal!U2</f>
        <v>FORE</v>
      </c>
      <c r="C14" s="348" t="s">
        <v>326</v>
      </c>
      <c r="D14" s="81">
        <v>1</v>
      </c>
      <c r="E14" s="82">
        <v>1</v>
      </c>
      <c r="F14" s="82">
        <v>1</v>
      </c>
      <c r="G14" s="82">
        <v>0.8</v>
      </c>
      <c r="H14" s="82">
        <v>0.6</v>
      </c>
      <c r="I14" s="82">
        <v>1</v>
      </c>
      <c r="J14" s="82">
        <v>1</v>
      </c>
      <c r="K14" s="82">
        <v>1</v>
      </c>
      <c r="L14" s="82">
        <v>1</v>
      </c>
      <c r="M14" s="88"/>
    </row>
    <row r="15" spans="1:17" x14ac:dyDescent="0.3">
      <c r="B15" s="18" t="str">
        <f>Internal!U2</f>
        <v>FORE</v>
      </c>
      <c r="C15" s="348" t="s">
        <v>114</v>
      </c>
      <c r="D15" s="83">
        <v>1</v>
      </c>
      <c r="E15" s="80">
        <v>1</v>
      </c>
      <c r="F15" s="80">
        <v>1</v>
      </c>
      <c r="G15" s="80">
        <v>0.85</v>
      </c>
      <c r="H15" s="80">
        <v>0.65</v>
      </c>
      <c r="I15" s="80">
        <v>1</v>
      </c>
      <c r="J15" s="80">
        <v>1</v>
      </c>
      <c r="K15" s="80">
        <v>1</v>
      </c>
      <c r="L15" s="80">
        <v>1</v>
      </c>
      <c r="M15" s="89"/>
    </row>
    <row r="16" spans="1:17" x14ac:dyDescent="0.3">
      <c r="B16" s="18" t="str">
        <f>Internal!U3</f>
        <v>AGRO</v>
      </c>
      <c r="C16" s="348" t="s">
        <v>326</v>
      </c>
      <c r="D16" s="83">
        <v>1</v>
      </c>
      <c r="E16" s="80">
        <v>1</v>
      </c>
      <c r="F16" s="80">
        <v>1</v>
      </c>
      <c r="G16" s="80">
        <v>1</v>
      </c>
      <c r="H16" s="80">
        <v>0.65</v>
      </c>
      <c r="I16" s="80">
        <v>1</v>
      </c>
      <c r="J16" s="80">
        <v>1</v>
      </c>
      <c r="K16" s="80">
        <v>1</v>
      </c>
      <c r="L16" s="80">
        <v>1</v>
      </c>
      <c r="M16" s="89"/>
    </row>
    <row r="17" spans="2:13" x14ac:dyDescent="0.3">
      <c r="B17" s="18" t="str">
        <f>Internal!U3</f>
        <v>AGRO</v>
      </c>
      <c r="C17" s="348" t="s">
        <v>114</v>
      </c>
      <c r="D17" s="83">
        <v>1</v>
      </c>
      <c r="E17" s="80">
        <v>1</v>
      </c>
      <c r="F17" s="80">
        <v>1</v>
      </c>
      <c r="G17" s="80">
        <v>1.2</v>
      </c>
      <c r="H17" s="80">
        <v>0.8</v>
      </c>
      <c r="I17" s="80">
        <v>1</v>
      </c>
      <c r="J17" s="80">
        <v>1</v>
      </c>
      <c r="K17" s="80">
        <v>1</v>
      </c>
      <c r="L17" s="80">
        <v>1</v>
      </c>
      <c r="M17" s="89"/>
    </row>
    <row r="18" spans="2:13" x14ac:dyDescent="0.3">
      <c r="B18" s="18" t="str">
        <f>Internal!U4</f>
        <v>CITY</v>
      </c>
      <c r="C18" s="348" t="s">
        <v>326</v>
      </c>
      <c r="D18" s="83">
        <v>1</v>
      </c>
      <c r="E18" s="80">
        <v>1</v>
      </c>
      <c r="F18" s="80">
        <v>1</v>
      </c>
      <c r="G18" s="80">
        <v>1</v>
      </c>
      <c r="H18" s="80">
        <v>0.8</v>
      </c>
      <c r="I18" s="80">
        <v>1</v>
      </c>
      <c r="J18" s="80">
        <v>1</v>
      </c>
      <c r="K18" s="80">
        <v>1</v>
      </c>
      <c r="L18" s="80">
        <v>1</v>
      </c>
      <c r="M18" s="89"/>
    </row>
    <row r="19" spans="2:13" x14ac:dyDescent="0.3">
      <c r="B19" s="18" t="str">
        <f>Internal!U4</f>
        <v>CITY</v>
      </c>
      <c r="C19" s="348" t="s">
        <v>114</v>
      </c>
      <c r="D19" s="83">
        <v>1</v>
      </c>
      <c r="E19" s="80">
        <v>1</v>
      </c>
      <c r="F19" s="80">
        <v>1</v>
      </c>
      <c r="G19" s="80">
        <v>1</v>
      </c>
      <c r="H19" s="80">
        <v>1.3</v>
      </c>
      <c r="I19" s="80">
        <v>1</v>
      </c>
      <c r="J19" s="80">
        <v>1</v>
      </c>
      <c r="K19" s="80">
        <v>1</v>
      </c>
      <c r="L19" s="80">
        <v>1</v>
      </c>
      <c r="M19" s="89"/>
    </row>
    <row r="20" spans="2:13" x14ac:dyDescent="0.3">
      <c r="B20" s="18" t="str">
        <f>Internal!U5</f>
        <v>RAGE</v>
      </c>
      <c r="C20" s="348" t="s">
        <v>326</v>
      </c>
      <c r="D20" s="83">
        <v>1</v>
      </c>
      <c r="E20" s="80">
        <v>1</v>
      </c>
      <c r="F20" s="80">
        <v>1</v>
      </c>
      <c r="G20" s="80">
        <v>1</v>
      </c>
      <c r="H20" s="80">
        <v>0.65</v>
      </c>
      <c r="I20" s="80">
        <v>1</v>
      </c>
      <c r="J20" s="80">
        <v>1</v>
      </c>
      <c r="K20" s="80">
        <v>1</v>
      </c>
      <c r="L20" s="80">
        <v>1</v>
      </c>
      <c r="M20" s="89"/>
    </row>
    <row r="21" spans="2:13" x14ac:dyDescent="0.3">
      <c r="B21" s="18" t="str">
        <f>Internal!U5</f>
        <v>RAGE</v>
      </c>
      <c r="C21" s="348" t="s">
        <v>114</v>
      </c>
      <c r="D21" s="83">
        <v>1</v>
      </c>
      <c r="E21" s="80">
        <v>1</v>
      </c>
      <c r="F21" s="80">
        <v>1</v>
      </c>
      <c r="G21" s="80">
        <v>1</v>
      </c>
      <c r="H21" s="80">
        <v>0.8</v>
      </c>
      <c r="I21" s="80">
        <v>1</v>
      </c>
      <c r="J21" s="80">
        <v>1</v>
      </c>
      <c r="K21" s="80">
        <v>1</v>
      </c>
      <c r="L21" s="80">
        <v>1</v>
      </c>
      <c r="M21" s="89"/>
    </row>
    <row r="22" spans="2:13" ht="1.2" customHeight="1" thickBot="1" x14ac:dyDescent="0.35">
      <c r="B22" s="38"/>
      <c r="C22" s="349"/>
      <c r="D22" s="84"/>
      <c r="E22" s="72"/>
      <c r="F22" s="72"/>
      <c r="G22" s="72"/>
      <c r="H22" s="72"/>
      <c r="I22" s="72"/>
      <c r="J22" s="72"/>
      <c r="K22" s="72"/>
      <c r="L22" s="72"/>
      <c r="M22" s="85"/>
    </row>
    <row r="23" spans="2:13" ht="15.6" thickTop="1" thickBot="1" x14ac:dyDescent="0.35">
      <c r="C23" s="8"/>
    </row>
    <row r="24" spans="2:13" ht="15.6" thickTop="1" thickBot="1" x14ac:dyDescent="0.35">
      <c r="B24" s="113" t="s">
        <v>401</v>
      </c>
      <c r="C24" s="350"/>
      <c r="D24" s="37" t="str">
        <f ca="1">OFFSET(Internal!$M$1,1,0)</f>
        <v>Electricity</v>
      </c>
      <c r="E24" s="12" t="str">
        <f ca="1">OFFSET(Internal!$M$1,2,0)</f>
        <v>LPG</v>
      </c>
      <c r="F24" s="12" t="str">
        <f ca="1">OFFSET(Internal!$M$1,3,0)</f>
        <v>Biogas</v>
      </c>
      <c r="G24" s="12" t="str">
        <f ca="1">OFFSET(Internal!$M$1,4,0)</f>
        <v>Charcoal</v>
      </c>
      <c r="H24" s="12" t="str">
        <f ca="1">OFFSET(Internal!$M$1,5,0)</f>
        <v>Com-Firewood</v>
      </c>
      <c r="I24" s="12" t="str">
        <f ca="1">OFFSET(Internal!$M$1,6,0)</f>
        <v>Free-Biomass</v>
      </c>
      <c r="J24" s="12" t="str">
        <f ca="1">OFFSET(Internal!$M$1,7,0)</f>
        <v>Pellets</v>
      </c>
      <c r="K24" s="12" t="str">
        <f ca="1">OFFSET(Internal!$M$1,8,0)</f>
        <v>Free-Firewood</v>
      </c>
      <c r="L24" s="12" t="str">
        <f ca="1">OFFSET(Internal!$M$1,9,0)</f>
        <v>Ethanol</v>
      </c>
      <c r="M24" s="87"/>
    </row>
    <row r="25" spans="2:13" ht="15" thickTop="1" x14ac:dyDescent="0.3">
      <c r="B25" s="31" t="str">
        <f>Internal!U2</f>
        <v>FORE</v>
      </c>
      <c r="C25" s="348" t="s">
        <v>326</v>
      </c>
      <c r="D25" s="81">
        <v>1</v>
      </c>
      <c r="E25" s="82">
        <v>1</v>
      </c>
      <c r="F25" s="82">
        <v>3</v>
      </c>
      <c r="G25" s="82">
        <v>0.91480456170316449</v>
      </c>
      <c r="H25" s="82">
        <v>1</v>
      </c>
      <c r="I25" s="82">
        <v>1</v>
      </c>
      <c r="J25" s="82">
        <v>1</v>
      </c>
      <c r="K25" s="82">
        <v>1</v>
      </c>
      <c r="L25" s="82">
        <v>1</v>
      </c>
      <c r="M25" s="88"/>
    </row>
    <row r="26" spans="2:13" x14ac:dyDescent="0.3">
      <c r="B26" s="18" t="str">
        <f>Internal!U2</f>
        <v>FORE</v>
      </c>
      <c r="C26" s="348" t="s">
        <v>114</v>
      </c>
      <c r="D26" s="83">
        <v>1</v>
      </c>
      <c r="E26" s="80">
        <v>1</v>
      </c>
      <c r="F26" s="80">
        <v>8</v>
      </c>
      <c r="G26" s="80">
        <v>0.97</v>
      </c>
      <c r="H26" s="80">
        <v>2</v>
      </c>
      <c r="I26" s="80">
        <v>1</v>
      </c>
      <c r="J26" s="80">
        <v>1</v>
      </c>
      <c r="K26" s="80">
        <v>2</v>
      </c>
      <c r="L26" s="80">
        <v>1</v>
      </c>
      <c r="M26" s="89"/>
    </row>
    <row r="27" spans="2:13" x14ac:dyDescent="0.3">
      <c r="B27" s="18" t="str">
        <f>Internal!U3</f>
        <v>AGRO</v>
      </c>
      <c r="C27" s="348" t="s">
        <v>326</v>
      </c>
      <c r="D27" s="83">
        <v>1</v>
      </c>
      <c r="E27" s="80">
        <v>1</v>
      </c>
      <c r="F27" s="80">
        <v>3</v>
      </c>
      <c r="G27" s="80">
        <v>0.89675133646152561</v>
      </c>
      <c r="H27" s="80">
        <v>1.25</v>
      </c>
      <c r="I27" s="80">
        <v>1</v>
      </c>
      <c r="J27" s="80">
        <v>1</v>
      </c>
      <c r="K27" s="80">
        <v>1.25</v>
      </c>
      <c r="L27" s="80">
        <v>1</v>
      </c>
      <c r="M27" s="89"/>
    </row>
    <row r="28" spans="2:13" x14ac:dyDescent="0.3">
      <c r="B28" s="18" t="str">
        <f>Internal!U3</f>
        <v>AGRO</v>
      </c>
      <c r="C28" s="348" t="s">
        <v>114</v>
      </c>
      <c r="D28" s="83">
        <v>1</v>
      </c>
      <c r="E28" s="80">
        <v>1</v>
      </c>
      <c r="F28" s="80">
        <v>7</v>
      </c>
      <c r="G28" s="80">
        <v>1.053327008923084</v>
      </c>
      <c r="H28" s="80">
        <v>1.25</v>
      </c>
      <c r="I28" s="80">
        <v>1</v>
      </c>
      <c r="J28" s="80">
        <v>1</v>
      </c>
      <c r="K28" s="80">
        <v>1.25</v>
      </c>
      <c r="L28" s="80">
        <v>1</v>
      </c>
      <c r="M28" s="89"/>
    </row>
    <row r="29" spans="2:13" x14ac:dyDescent="0.3">
      <c r="B29" s="18" t="str">
        <f>Internal!U4</f>
        <v>CITY</v>
      </c>
      <c r="C29" s="348" t="s">
        <v>326</v>
      </c>
      <c r="D29" s="83">
        <v>1</v>
      </c>
      <c r="E29" s="80">
        <v>1</v>
      </c>
      <c r="F29" s="80">
        <v>5</v>
      </c>
      <c r="G29" s="80">
        <v>1.0071414881554424</v>
      </c>
      <c r="H29" s="80">
        <v>1.75</v>
      </c>
      <c r="I29" s="80">
        <v>1</v>
      </c>
      <c r="J29" s="80">
        <v>1</v>
      </c>
      <c r="K29" s="80">
        <v>1.75</v>
      </c>
      <c r="L29" s="80">
        <v>1</v>
      </c>
      <c r="M29" s="89"/>
    </row>
    <row r="30" spans="2:13" x14ac:dyDescent="0.3">
      <c r="B30" s="18" t="str">
        <f>Internal!U4</f>
        <v>CITY</v>
      </c>
      <c r="C30" s="348" t="s">
        <v>114</v>
      </c>
      <c r="D30" s="83">
        <v>1</v>
      </c>
      <c r="E30" s="80">
        <v>1</v>
      </c>
      <c r="F30" s="80">
        <v>10</v>
      </c>
      <c r="G30" s="80">
        <v>1.1829916367530615</v>
      </c>
      <c r="H30" s="80">
        <v>5</v>
      </c>
      <c r="I30" s="80">
        <v>1</v>
      </c>
      <c r="J30" s="80">
        <v>1</v>
      </c>
      <c r="K30" s="80">
        <v>5</v>
      </c>
      <c r="L30" s="80">
        <v>1</v>
      </c>
      <c r="M30" s="89"/>
    </row>
    <row r="31" spans="2:13" x14ac:dyDescent="0.3">
      <c r="B31" s="18" t="str">
        <f>Internal!U5</f>
        <v>RAGE</v>
      </c>
      <c r="C31" s="348" t="s">
        <v>326</v>
      </c>
      <c r="D31" s="83">
        <v>1</v>
      </c>
      <c r="E31" s="80">
        <v>1</v>
      </c>
      <c r="F31" s="80">
        <v>3</v>
      </c>
      <c r="G31" s="80">
        <v>1.0900000000000001</v>
      </c>
      <c r="H31" s="80">
        <v>1.25</v>
      </c>
      <c r="I31" s="80">
        <v>1</v>
      </c>
      <c r="J31" s="80">
        <v>1</v>
      </c>
      <c r="K31" s="80">
        <v>1.25</v>
      </c>
      <c r="L31" s="80">
        <v>1</v>
      </c>
      <c r="M31" s="89"/>
    </row>
    <row r="32" spans="2:13" x14ac:dyDescent="0.3">
      <c r="B32" s="18" t="str">
        <f>Internal!U5</f>
        <v>RAGE</v>
      </c>
      <c r="C32" s="348" t="s">
        <v>114</v>
      </c>
      <c r="D32" s="83">
        <v>1</v>
      </c>
      <c r="E32" s="80">
        <v>1</v>
      </c>
      <c r="F32" s="80">
        <v>7</v>
      </c>
      <c r="G32" s="80">
        <v>1.0900000000000001</v>
      </c>
      <c r="H32" s="80">
        <v>1.25</v>
      </c>
      <c r="I32" s="80">
        <v>1</v>
      </c>
      <c r="J32" s="80">
        <v>1</v>
      </c>
      <c r="K32" s="80">
        <v>1.25</v>
      </c>
      <c r="L32" s="80">
        <v>1</v>
      </c>
      <c r="M32" s="89"/>
    </row>
    <row r="33" spans="2:12" ht="1.2" customHeight="1" thickBot="1" x14ac:dyDescent="0.35">
      <c r="B33" s="38"/>
      <c r="C33" s="349"/>
      <c r="D33" s="84"/>
      <c r="E33" s="72"/>
      <c r="F33" s="72"/>
      <c r="G33" s="72"/>
      <c r="H33" s="72"/>
      <c r="I33" s="72"/>
      <c r="J33" s="72"/>
      <c r="K33" s="72"/>
      <c r="L33" s="85"/>
    </row>
    <row r="34" spans="2:12" ht="15" thickTop="1" x14ac:dyDescent="0.3"/>
  </sheetData>
  <sheetProtection algorithmName="SHA-512" hashValue="VFaEedx8GiG3J++OHgPArU+7xkV1biFiCCEhW0xJ12t5RCkwUudhy2BGCX6y+yG42w2qvaRcglTlRxszj/9e4w==" saltValue="8CY2lvOgjqaZZHNf5Xee3w==" spinCount="100000" sheet="1" objects="1" scenarios="1" selectLockedCells="1"/>
  <conditionalFormatting sqref="D14:L21 D25:L32">
    <cfRule type="containsBlanks" dxfId="3" priority="3">
      <formula>LEN(TRIM(D14))=0</formula>
    </cfRule>
  </conditionalFormatting>
  <dataValidations count="1">
    <dataValidation type="decimal" operator="greaterThanOrEqual" allowBlank="1" showInputMessage="1" showErrorMessage="1" errorTitle="CleanCooking-inputs" error="Value must be equal or greater than zero (≥0)." sqref="D14:L21 D25:L32" xr:uid="{11F06EBC-DA06-4AD3-9B85-92E0C25E719C}">
      <formula1>0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F80E9-5105-4F80-AF2A-87F21FFC9852}">
  <sheetPr codeName="Sheet41">
    <tabColor theme="4"/>
  </sheetPr>
  <dimension ref="A1:W610"/>
  <sheetViews>
    <sheetView showGridLines="0" showRowColHeaders="0" workbookViewId="0">
      <pane xSplit="3" ySplit="23" topLeftCell="D24" activePane="bottomRight" state="frozen"/>
      <selection pane="topRight" activeCell="D1" sqref="D1"/>
      <selection pane="bottomLeft" activeCell="A19" sqref="A19"/>
      <selection pane="bottomRight" activeCell="C13" sqref="C13"/>
    </sheetView>
  </sheetViews>
  <sheetFormatPr defaultColWidth="16.77734375" defaultRowHeight="14.4" x14ac:dyDescent="0.3"/>
  <cols>
    <col min="1" max="1" width="6.77734375" style="7" customWidth="1"/>
    <col min="2" max="2" width="16.77734375" style="380" customWidth="1"/>
    <col min="3" max="3" width="21.77734375" style="179" customWidth="1"/>
    <col min="4" max="4" width="16.77734375" style="182"/>
    <col min="5" max="6" width="16.77734375" style="43"/>
    <col min="7" max="7" width="16.77734375" style="729"/>
    <col min="8" max="8" width="16.77734375" style="750"/>
    <col min="9" max="11" width="16.77734375" style="43"/>
    <col min="12" max="12" width="16.77734375" style="729" customWidth="1"/>
    <col min="13" max="13" width="16.77734375" style="750"/>
    <col min="14" max="14" width="16.77734375" style="45"/>
    <col min="15" max="16" width="16.77734375" style="43"/>
    <col min="17" max="17" width="16.77734375" style="729"/>
    <col min="18" max="18" width="16.77734375" style="750"/>
    <col min="19" max="19" width="16.77734375" style="45"/>
    <col min="20" max="21" width="16.77734375" style="43"/>
    <col min="22" max="22" width="16.77734375" style="729"/>
    <col min="23" max="23" width="16.77734375" style="616"/>
    <col min="24" max="16384" width="16.77734375" style="9"/>
  </cols>
  <sheetData>
    <row r="1" spans="1:23" s="156" customFormat="1" ht="70.2" customHeight="1" thickBot="1" x14ac:dyDescent="0.35">
      <c r="A1" s="154" t="s">
        <v>208</v>
      </c>
      <c r="B1" s="387"/>
      <c r="G1" s="736"/>
      <c r="H1" s="736"/>
      <c r="L1" s="736"/>
      <c r="M1" s="736"/>
      <c r="Q1" s="736"/>
      <c r="R1" s="736"/>
      <c r="V1" s="736"/>
      <c r="W1" s="736"/>
    </row>
    <row r="2" spans="1:23" s="2" customFormat="1" ht="15" thickTop="1" x14ac:dyDescent="0.3">
      <c r="A2" s="5"/>
      <c r="B2" s="388"/>
      <c r="G2" s="737"/>
      <c r="H2" s="737"/>
      <c r="L2" s="737"/>
      <c r="M2" s="737"/>
      <c r="Q2" s="737"/>
      <c r="R2" s="737"/>
      <c r="V2" s="737"/>
      <c r="W2" s="737"/>
    </row>
    <row r="3" spans="1:23" s="2" customFormat="1" x14ac:dyDescent="0.3">
      <c r="A3" s="5"/>
      <c r="B3" s="91" t="s">
        <v>264</v>
      </c>
      <c r="C3" s="50"/>
      <c r="D3" s="50"/>
      <c r="E3" s="50"/>
      <c r="F3" s="50"/>
      <c r="G3" s="738"/>
      <c r="H3" s="737"/>
      <c r="L3" s="737"/>
      <c r="M3" s="737"/>
      <c r="Q3" s="751"/>
      <c r="R3" s="737"/>
      <c r="V3" s="737"/>
      <c r="W3" s="737"/>
    </row>
    <row r="4" spans="1:23" s="2" customFormat="1" x14ac:dyDescent="0.3">
      <c r="A4" s="5"/>
      <c r="B4" s="90" t="s">
        <v>223</v>
      </c>
      <c r="C4" s="9"/>
      <c r="D4" s="9"/>
      <c r="E4" s="9"/>
      <c r="F4" s="9"/>
      <c r="G4" s="739"/>
      <c r="H4" s="737"/>
      <c r="L4" s="737"/>
      <c r="M4" s="737"/>
      <c r="Q4" s="751"/>
      <c r="R4" s="737"/>
      <c r="V4" s="737"/>
      <c r="W4" s="737"/>
    </row>
    <row r="5" spans="1:23" s="2" customFormat="1" x14ac:dyDescent="0.3">
      <c r="A5" s="5"/>
      <c r="B5" s="176" t="s">
        <v>224</v>
      </c>
      <c r="C5" s="9"/>
      <c r="D5" s="9"/>
      <c r="E5" s="9"/>
      <c r="F5" s="9"/>
      <c r="G5" s="739"/>
      <c r="H5" s="737"/>
      <c r="L5" s="737"/>
      <c r="M5" s="737"/>
      <c r="Q5" s="751"/>
      <c r="R5" s="737"/>
      <c r="V5" s="737"/>
      <c r="W5" s="737"/>
    </row>
    <row r="6" spans="1:23" s="2" customFormat="1" x14ac:dyDescent="0.3">
      <c r="A6" s="5"/>
      <c r="B6" s="90" t="s">
        <v>225</v>
      </c>
      <c r="C6" s="9"/>
      <c r="D6" s="9"/>
      <c r="E6" s="9"/>
      <c r="F6" s="9"/>
      <c r="G6" s="739"/>
      <c r="H6" s="737"/>
      <c r="L6" s="737"/>
      <c r="M6" s="737"/>
      <c r="Q6" s="751"/>
      <c r="R6" s="737"/>
      <c r="V6" s="737"/>
      <c r="W6" s="737"/>
    </row>
    <row r="7" spans="1:23" s="2" customFormat="1" x14ac:dyDescent="0.3">
      <c r="A7" s="5"/>
      <c r="B7" s="90" t="s">
        <v>226</v>
      </c>
      <c r="C7" s="9"/>
      <c r="D7" s="9"/>
      <c r="E7" s="9"/>
      <c r="F7" s="9"/>
      <c r="G7" s="739"/>
      <c r="H7" s="737"/>
      <c r="L7" s="737"/>
      <c r="M7" s="737"/>
      <c r="Q7" s="751"/>
      <c r="R7" s="737"/>
      <c r="V7" s="737"/>
      <c r="W7" s="737"/>
    </row>
    <row r="8" spans="1:23" s="2" customFormat="1" x14ac:dyDescent="0.3">
      <c r="A8" s="5"/>
      <c r="B8" s="90" t="s">
        <v>228</v>
      </c>
      <c r="C8" s="9"/>
      <c r="D8" s="9"/>
      <c r="E8" s="9"/>
      <c r="F8" s="9"/>
      <c r="G8" s="739"/>
      <c r="H8" s="737"/>
      <c r="L8" s="737"/>
      <c r="M8" s="737"/>
      <c r="Q8" s="737"/>
      <c r="R8" s="737"/>
      <c r="V8" s="737"/>
      <c r="W8" s="737"/>
    </row>
    <row r="9" spans="1:23" s="2" customFormat="1" x14ac:dyDescent="0.3">
      <c r="A9" s="5"/>
      <c r="B9" s="90" t="s">
        <v>259</v>
      </c>
      <c r="C9" s="9"/>
      <c r="D9" s="9"/>
      <c r="E9" s="9"/>
      <c r="F9" s="9"/>
      <c r="G9" s="739"/>
      <c r="H9" s="737"/>
      <c r="L9" s="737"/>
      <c r="M9" s="737"/>
      <c r="Q9" s="737"/>
      <c r="R9" s="737"/>
      <c r="V9" s="737"/>
      <c r="W9" s="737"/>
    </row>
    <row r="10" spans="1:23" s="2" customFormat="1" x14ac:dyDescent="0.3">
      <c r="A10" s="5"/>
      <c r="B10" s="177" t="s">
        <v>260</v>
      </c>
      <c r="C10" s="54"/>
      <c r="D10" s="54"/>
      <c r="E10" s="54"/>
      <c r="F10" s="54"/>
      <c r="G10" s="740"/>
      <c r="H10" s="737"/>
      <c r="L10" s="737"/>
      <c r="M10" s="737"/>
      <c r="Q10" s="737"/>
      <c r="R10" s="737"/>
      <c r="V10" s="737"/>
      <c r="W10" s="737"/>
    </row>
    <row r="11" spans="1:23" s="2" customFormat="1" x14ac:dyDescent="0.3">
      <c r="A11" s="5"/>
      <c r="B11" s="388"/>
      <c r="G11" s="737"/>
      <c r="H11" s="737"/>
      <c r="L11" s="737"/>
      <c r="M11" s="737"/>
      <c r="Q11" s="737"/>
      <c r="R11" s="737"/>
      <c r="V11" s="737"/>
      <c r="W11" s="737"/>
    </row>
    <row r="12" spans="1:23" ht="15" thickBot="1" x14ac:dyDescent="0.35">
      <c r="B12" s="379"/>
      <c r="C12" s="9"/>
      <c r="D12" s="9"/>
      <c r="E12" s="9"/>
      <c r="F12" s="9"/>
      <c r="G12" s="741"/>
      <c r="H12" s="741"/>
      <c r="I12" s="9"/>
      <c r="J12" s="9"/>
      <c r="K12" s="9"/>
      <c r="L12" s="741"/>
      <c r="M12" s="741"/>
      <c r="N12" s="9"/>
      <c r="O12" s="9"/>
      <c r="P12" s="9"/>
      <c r="Q12" s="741"/>
      <c r="R12" s="741"/>
      <c r="S12" s="9"/>
      <c r="T12" s="9"/>
      <c r="U12" s="9"/>
      <c r="V12" s="741"/>
      <c r="W12" s="741"/>
    </row>
    <row r="13" spans="1:23" ht="15" thickTop="1" x14ac:dyDescent="0.3">
      <c r="B13" s="383" t="s">
        <v>210</v>
      </c>
      <c r="C13" s="235">
        <v>1</v>
      </c>
      <c r="D13" s="9"/>
      <c r="E13" s="9"/>
      <c r="F13" s="9"/>
      <c r="G13" s="741"/>
      <c r="H13" s="741"/>
      <c r="I13" s="9"/>
      <c r="J13" s="9"/>
      <c r="K13" s="9"/>
      <c r="L13" s="741"/>
      <c r="M13" s="741"/>
      <c r="N13" s="9"/>
      <c r="O13" s="9"/>
      <c r="P13" s="9"/>
      <c r="Q13" s="741"/>
      <c r="R13" s="741"/>
      <c r="S13" s="9"/>
      <c r="T13" s="9"/>
      <c r="U13" s="9"/>
      <c r="V13" s="741"/>
      <c r="W13" s="741"/>
    </row>
    <row r="14" spans="1:23" ht="15" thickBot="1" x14ac:dyDescent="0.35">
      <c r="B14" s="385" t="s">
        <v>209</v>
      </c>
      <c r="C14" s="159">
        <v>587</v>
      </c>
      <c r="D14" s="9"/>
      <c r="E14" s="9"/>
      <c r="F14" s="9"/>
      <c r="G14" s="741"/>
      <c r="H14" s="741"/>
      <c r="I14" s="9"/>
      <c r="J14" s="9"/>
      <c r="K14" s="9"/>
      <c r="L14" s="741"/>
      <c r="M14" s="741"/>
      <c r="N14" s="9"/>
      <c r="O14" s="9"/>
      <c r="P14" s="9"/>
      <c r="Q14" s="741"/>
      <c r="R14" s="741"/>
      <c r="S14" s="9"/>
      <c r="T14" s="9"/>
      <c r="U14" s="9"/>
      <c r="V14" s="741"/>
      <c r="W14" s="741"/>
    </row>
    <row r="15" spans="1:23" ht="15.6" thickTop="1" thickBot="1" x14ac:dyDescent="0.35">
      <c r="B15" s="9"/>
      <c r="C15" s="9"/>
      <c r="D15" s="9"/>
      <c r="E15" s="9"/>
      <c r="F15" s="9"/>
      <c r="G15" s="741"/>
      <c r="H15" s="741"/>
      <c r="I15" s="9"/>
      <c r="J15" s="9"/>
      <c r="K15" s="9"/>
      <c r="L15" s="741"/>
      <c r="M15" s="741"/>
      <c r="N15" s="9"/>
      <c r="O15" s="9"/>
      <c r="P15" s="9"/>
      <c r="Q15" s="741"/>
      <c r="R15" s="741"/>
      <c r="S15" s="9"/>
      <c r="T15" s="9"/>
      <c r="U15" s="9"/>
      <c r="V15" s="741"/>
      <c r="W15" s="741"/>
    </row>
    <row r="16" spans="1:23" ht="15.6" thickTop="1" thickBot="1" x14ac:dyDescent="0.35">
      <c r="B16" s="9"/>
      <c r="C16" s="579" t="s">
        <v>2196</v>
      </c>
      <c r="D16" s="580" t="s">
        <v>1915</v>
      </c>
      <c r="E16" s="581" t="s">
        <v>1911</v>
      </c>
      <c r="F16" s="9"/>
      <c r="G16" s="741"/>
      <c r="H16" s="741"/>
      <c r="I16" s="9"/>
      <c r="J16" s="9"/>
      <c r="K16" s="9"/>
      <c r="L16" s="741"/>
      <c r="M16" s="741"/>
      <c r="N16" s="9"/>
      <c r="O16" s="9"/>
      <c r="P16" s="9"/>
      <c r="Q16" s="741"/>
      <c r="R16" s="741"/>
      <c r="S16" s="9"/>
      <c r="T16" s="9"/>
      <c r="U16" s="9"/>
      <c r="V16" s="741"/>
      <c r="W16" s="741"/>
    </row>
    <row r="17" spans="2:23" ht="15" thickTop="1" x14ac:dyDescent="0.3">
      <c r="B17" s="582" t="s">
        <v>1912</v>
      </c>
      <c r="C17" s="572">
        <v>0.05</v>
      </c>
      <c r="D17" s="573">
        <v>35</v>
      </c>
      <c r="E17" s="574">
        <v>0.1</v>
      </c>
      <c r="F17" s="9"/>
      <c r="G17" s="741"/>
      <c r="H17" s="741"/>
      <c r="I17" s="9"/>
      <c r="J17" s="9"/>
      <c r="K17" s="9"/>
      <c r="L17" s="741"/>
      <c r="M17" s="741"/>
      <c r="N17" s="9"/>
      <c r="O17" s="9"/>
      <c r="P17" s="9"/>
      <c r="Q17" s="741"/>
      <c r="R17" s="741"/>
      <c r="S17" s="9"/>
      <c r="T17" s="9"/>
      <c r="U17" s="9"/>
      <c r="V17" s="741"/>
      <c r="W17" s="741"/>
    </row>
    <row r="18" spans="2:23" x14ac:dyDescent="0.3">
      <c r="B18" s="583" t="s">
        <v>1913</v>
      </c>
      <c r="C18" s="225">
        <v>0.05</v>
      </c>
      <c r="D18" s="79">
        <v>25</v>
      </c>
      <c r="E18" s="575">
        <v>0.1</v>
      </c>
      <c r="F18" s="9"/>
      <c r="G18" s="741"/>
      <c r="H18" s="741"/>
      <c r="I18" s="9"/>
      <c r="J18" s="9"/>
      <c r="K18" s="9"/>
      <c r="L18" s="741"/>
      <c r="M18" s="741"/>
      <c r="N18" s="9"/>
      <c r="O18" s="9"/>
      <c r="P18" s="9"/>
      <c r="Q18" s="741"/>
      <c r="R18" s="741"/>
      <c r="S18" s="9"/>
      <c r="T18" s="9"/>
      <c r="U18" s="9"/>
      <c r="V18" s="741"/>
      <c r="W18" s="741"/>
    </row>
    <row r="19" spans="2:23" ht="15" thickBot="1" x14ac:dyDescent="0.35">
      <c r="B19" s="584" t="s">
        <v>1914</v>
      </c>
      <c r="C19" s="576">
        <v>0.05</v>
      </c>
      <c r="D19" s="577">
        <v>25</v>
      </c>
      <c r="E19" s="578">
        <v>0.1</v>
      </c>
      <c r="F19" s="9"/>
      <c r="G19" s="741"/>
      <c r="H19" s="741"/>
      <c r="I19" s="9"/>
      <c r="J19" s="9"/>
      <c r="K19" s="9"/>
      <c r="L19" s="741"/>
      <c r="M19" s="741"/>
      <c r="N19" s="9"/>
      <c r="O19" s="9"/>
      <c r="P19" s="9"/>
      <c r="Q19" s="741"/>
      <c r="R19" s="741"/>
      <c r="S19" s="9"/>
      <c r="T19" s="9"/>
      <c r="U19" s="9"/>
      <c r="V19" s="741"/>
      <c r="W19" s="741"/>
    </row>
    <row r="20" spans="2:23" ht="15.6" thickTop="1" thickBot="1" x14ac:dyDescent="0.35">
      <c r="B20" s="9"/>
      <c r="C20" s="9"/>
      <c r="D20" s="9"/>
      <c r="E20" s="9"/>
      <c r="F20" s="9"/>
      <c r="G20" s="741"/>
      <c r="H20" s="741"/>
      <c r="I20" s="9"/>
      <c r="J20" s="9"/>
      <c r="K20" s="9"/>
      <c r="L20" s="741"/>
      <c r="M20" s="741"/>
      <c r="N20" s="9"/>
      <c r="O20" s="9"/>
      <c r="P20" s="9"/>
      <c r="Q20" s="741"/>
      <c r="R20" s="741"/>
      <c r="S20" s="9"/>
      <c r="T20" s="9"/>
      <c r="U20" s="9"/>
      <c r="V20" s="741"/>
      <c r="W20" s="741"/>
    </row>
    <row r="21" spans="2:23" ht="15.6" thickTop="1" thickBot="1" x14ac:dyDescent="0.35">
      <c r="B21" s="379"/>
      <c r="C21" s="9"/>
      <c r="D21" s="160" t="s">
        <v>2192</v>
      </c>
      <c r="E21" s="161"/>
      <c r="F21" s="161"/>
      <c r="G21" s="742"/>
      <c r="H21" s="743"/>
      <c r="I21" s="160" t="s">
        <v>2193</v>
      </c>
      <c r="J21" s="161"/>
      <c r="K21" s="161"/>
      <c r="L21" s="742"/>
      <c r="M21" s="743"/>
      <c r="N21" s="160" t="s">
        <v>2194</v>
      </c>
      <c r="O21" s="161"/>
      <c r="P21" s="161"/>
      <c r="Q21" s="742"/>
      <c r="R21" s="743"/>
      <c r="S21" s="160" t="s">
        <v>2195</v>
      </c>
      <c r="T21" s="161"/>
      <c r="U21" s="161"/>
      <c r="V21" s="742"/>
      <c r="W21" s="752"/>
    </row>
    <row r="22" spans="2:23" ht="15" thickTop="1" x14ac:dyDescent="0.3">
      <c r="B22" s="384" t="s">
        <v>221</v>
      </c>
      <c r="C22" s="170"/>
      <c r="D22" s="171" t="s">
        <v>213</v>
      </c>
      <c r="E22" s="165" t="s">
        <v>227</v>
      </c>
      <c r="F22" s="165" t="s">
        <v>219</v>
      </c>
      <c r="G22" s="744" t="s">
        <v>214</v>
      </c>
      <c r="H22" s="745" t="s">
        <v>215</v>
      </c>
      <c r="I22" s="171" t="s">
        <v>213</v>
      </c>
      <c r="J22" s="165" t="s">
        <v>227</v>
      </c>
      <c r="K22" s="165" t="s">
        <v>219</v>
      </c>
      <c r="L22" s="744" t="s">
        <v>214</v>
      </c>
      <c r="M22" s="745" t="s">
        <v>215</v>
      </c>
      <c r="N22" s="171" t="s">
        <v>213</v>
      </c>
      <c r="O22" s="165" t="s">
        <v>227</v>
      </c>
      <c r="P22" s="165" t="s">
        <v>219</v>
      </c>
      <c r="Q22" s="744" t="s">
        <v>214</v>
      </c>
      <c r="R22" s="745" t="s">
        <v>215</v>
      </c>
      <c r="S22" s="171" t="s">
        <v>213</v>
      </c>
      <c r="T22" s="165" t="s">
        <v>227</v>
      </c>
      <c r="U22" s="165" t="s">
        <v>219</v>
      </c>
      <c r="V22" s="744" t="s">
        <v>214</v>
      </c>
      <c r="W22" s="753" t="s">
        <v>215</v>
      </c>
    </row>
    <row r="23" spans="2:23" ht="15" thickBot="1" x14ac:dyDescent="0.35">
      <c r="B23" s="382" t="s">
        <v>211</v>
      </c>
      <c r="C23" s="172" t="s">
        <v>212</v>
      </c>
      <c r="D23" s="173" t="s">
        <v>216</v>
      </c>
      <c r="E23" s="167" t="s">
        <v>217</v>
      </c>
      <c r="F23" s="167" t="s">
        <v>218</v>
      </c>
      <c r="G23" s="746" t="s">
        <v>391</v>
      </c>
      <c r="H23" s="747" t="s">
        <v>391</v>
      </c>
      <c r="I23" s="173" t="s">
        <v>216</v>
      </c>
      <c r="J23" s="167" t="s">
        <v>217</v>
      </c>
      <c r="K23" s="167" t="s">
        <v>218</v>
      </c>
      <c r="L23" s="746" t="s">
        <v>391</v>
      </c>
      <c r="M23" s="747" t="s">
        <v>391</v>
      </c>
      <c r="N23" s="173" t="s">
        <v>216</v>
      </c>
      <c r="O23" s="167" t="s">
        <v>217</v>
      </c>
      <c r="P23" s="167" t="s">
        <v>218</v>
      </c>
      <c r="Q23" s="746" t="s">
        <v>391</v>
      </c>
      <c r="R23" s="747" t="s">
        <v>391</v>
      </c>
      <c r="S23" s="173" t="s">
        <v>216</v>
      </c>
      <c r="T23" s="167" t="s">
        <v>217</v>
      </c>
      <c r="U23" s="167" t="s">
        <v>218</v>
      </c>
      <c r="V23" s="746" t="s">
        <v>391</v>
      </c>
      <c r="W23" s="754" t="s">
        <v>391</v>
      </c>
    </row>
    <row r="24" spans="2:23" x14ac:dyDescent="0.3">
      <c r="B24" s="381" t="s">
        <v>353</v>
      </c>
      <c r="C24" s="178" t="s">
        <v>495</v>
      </c>
      <c r="D24" s="180">
        <v>9.2580000000000006E-3</v>
      </c>
      <c r="E24" s="181">
        <v>0</v>
      </c>
      <c r="F24" s="181">
        <v>0</v>
      </c>
      <c r="G24" s="728">
        <v>0</v>
      </c>
      <c r="H24" s="748">
        <v>0</v>
      </c>
      <c r="I24" s="43">
        <v>9.2580000000000006E-3</v>
      </c>
      <c r="J24" s="43">
        <v>0</v>
      </c>
      <c r="K24" s="43">
        <v>0</v>
      </c>
      <c r="L24" s="729">
        <v>0</v>
      </c>
      <c r="M24" s="748">
        <v>0</v>
      </c>
      <c r="N24" s="42">
        <v>6.2088999999999998E-2</v>
      </c>
      <c r="O24" s="43">
        <v>0</v>
      </c>
      <c r="P24" s="43">
        <v>0</v>
      </c>
      <c r="Q24" s="729">
        <v>0</v>
      </c>
      <c r="R24" s="748">
        <v>0</v>
      </c>
      <c r="S24" s="42">
        <v>6.2088999999999998E-2</v>
      </c>
      <c r="T24" s="43">
        <v>0</v>
      </c>
      <c r="U24" s="43">
        <v>0</v>
      </c>
      <c r="V24" s="729">
        <v>0</v>
      </c>
      <c r="W24" s="616">
        <v>0</v>
      </c>
    </row>
    <row r="25" spans="2:23" x14ac:dyDescent="0.3">
      <c r="B25" s="380" t="s">
        <v>354</v>
      </c>
      <c r="C25" s="179" t="s">
        <v>496</v>
      </c>
      <c r="D25" s="182">
        <v>0.111472</v>
      </c>
      <c r="E25" s="43">
        <v>0</v>
      </c>
      <c r="F25" s="43">
        <v>0</v>
      </c>
      <c r="G25" s="749">
        <v>0.141592</v>
      </c>
      <c r="H25" s="750">
        <v>0</v>
      </c>
      <c r="I25" s="43">
        <v>0.107145</v>
      </c>
      <c r="J25" s="43">
        <v>0</v>
      </c>
      <c r="K25" s="43">
        <v>0</v>
      </c>
      <c r="L25" s="729">
        <v>0</v>
      </c>
      <c r="M25" s="750">
        <v>0</v>
      </c>
      <c r="N25" s="45">
        <v>0.14282600000000001</v>
      </c>
      <c r="O25" s="43">
        <v>0.52794099999999999</v>
      </c>
      <c r="P25" s="43">
        <v>0.5</v>
      </c>
      <c r="Q25" s="729">
        <v>0</v>
      </c>
      <c r="R25" s="750">
        <v>0</v>
      </c>
      <c r="S25" s="45">
        <v>0.14282600000000001</v>
      </c>
      <c r="T25" s="43">
        <v>0.52794099999999999</v>
      </c>
      <c r="U25" s="43">
        <v>0.5</v>
      </c>
      <c r="V25" s="729">
        <v>0</v>
      </c>
      <c r="W25" s="616">
        <v>0</v>
      </c>
    </row>
    <row r="26" spans="2:23" x14ac:dyDescent="0.3">
      <c r="B26" s="380" t="s">
        <v>1324</v>
      </c>
      <c r="C26" s="179" t="s">
        <v>497</v>
      </c>
      <c r="D26" s="182">
        <v>2.2600169999999999</v>
      </c>
      <c r="E26" s="43">
        <v>0.86383100000000002</v>
      </c>
      <c r="F26" s="43">
        <v>2.4379999999999999E-2</v>
      </c>
      <c r="G26" s="729">
        <v>0.61693600000000004</v>
      </c>
      <c r="H26" s="750">
        <v>1</v>
      </c>
      <c r="I26" s="43">
        <v>0.69337099999999996</v>
      </c>
      <c r="J26" s="43">
        <v>0</v>
      </c>
      <c r="K26" s="43">
        <v>0</v>
      </c>
      <c r="L26" s="729">
        <v>0.999946</v>
      </c>
      <c r="M26" s="750">
        <v>1</v>
      </c>
      <c r="N26" s="45">
        <v>0.529694</v>
      </c>
      <c r="O26" s="43">
        <v>0</v>
      </c>
      <c r="P26" s="43">
        <v>0</v>
      </c>
      <c r="Q26" s="729">
        <v>0.99955499999999997</v>
      </c>
      <c r="R26" s="750">
        <v>1</v>
      </c>
      <c r="S26" s="45">
        <v>0.89609399999999995</v>
      </c>
      <c r="T26" s="43">
        <v>0</v>
      </c>
      <c r="U26" s="43">
        <v>0</v>
      </c>
      <c r="V26" s="729">
        <v>0.999946</v>
      </c>
      <c r="W26" s="616">
        <v>1</v>
      </c>
    </row>
    <row r="27" spans="2:23" x14ac:dyDescent="0.3">
      <c r="B27" s="380" t="s">
        <v>1325</v>
      </c>
      <c r="C27" s="179" t="s">
        <v>498</v>
      </c>
      <c r="D27" s="182">
        <v>0.6411</v>
      </c>
      <c r="E27" s="43">
        <v>0</v>
      </c>
      <c r="F27" s="43">
        <v>0</v>
      </c>
      <c r="G27" s="729">
        <v>0.101771</v>
      </c>
      <c r="H27" s="750">
        <v>0.875</v>
      </c>
      <c r="I27" s="43">
        <v>0.22722100000000001</v>
      </c>
      <c r="J27" s="43">
        <v>0</v>
      </c>
      <c r="K27" s="43">
        <v>0</v>
      </c>
      <c r="L27" s="729">
        <v>0.99958899999999995</v>
      </c>
      <c r="M27" s="750">
        <v>0.38150000000000001</v>
      </c>
      <c r="N27" s="45">
        <v>0.305479</v>
      </c>
      <c r="O27" s="43">
        <v>0</v>
      </c>
      <c r="P27" s="43">
        <v>0</v>
      </c>
      <c r="Q27" s="729">
        <v>0.99819500000000005</v>
      </c>
      <c r="R27" s="750">
        <v>0.66696200000000005</v>
      </c>
      <c r="S27" s="45">
        <v>0.41893200000000003</v>
      </c>
      <c r="T27" s="43">
        <v>0</v>
      </c>
      <c r="U27" s="43">
        <v>0</v>
      </c>
      <c r="V27" s="729">
        <v>0.99907900000000005</v>
      </c>
      <c r="W27" s="616">
        <v>0.59992800000000002</v>
      </c>
    </row>
    <row r="28" spans="2:23" x14ac:dyDescent="0.3">
      <c r="B28" s="380" t="s">
        <v>1326</v>
      </c>
      <c r="C28" s="179" t="s">
        <v>499</v>
      </c>
      <c r="D28" s="182">
        <v>0.19645000000000001</v>
      </c>
      <c r="E28" s="43">
        <v>0</v>
      </c>
      <c r="F28" s="43">
        <v>0</v>
      </c>
      <c r="G28" s="729">
        <v>0.33998200000000001</v>
      </c>
      <c r="H28" s="750">
        <v>0.83333299999999999</v>
      </c>
      <c r="I28" s="43">
        <v>0.143729</v>
      </c>
      <c r="J28" s="43">
        <v>0.54855500000000001</v>
      </c>
      <c r="K28" s="43">
        <v>0.52</v>
      </c>
      <c r="L28" s="729">
        <v>0</v>
      </c>
      <c r="M28" s="750">
        <v>0</v>
      </c>
      <c r="N28" s="45">
        <v>0.14938299999999999</v>
      </c>
      <c r="O28" s="43">
        <v>0.82179400000000002</v>
      </c>
      <c r="P28" s="43">
        <v>0.52</v>
      </c>
      <c r="Q28" s="729">
        <v>0</v>
      </c>
      <c r="R28" s="750">
        <v>0</v>
      </c>
      <c r="S28" s="45">
        <v>0.226328</v>
      </c>
      <c r="T28" s="43">
        <v>0.51328799999999997</v>
      </c>
      <c r="U28" s="43">
        <v>0.5</v>
      </c>
      <c r="V28" s="729">
        <v>0</v>
      </c>
      <c r="W28" s="616">
        <v>0</v>
      </c>
    </row>
    <row r="29" spans="2:23" x14ac:dyDescent="0.3">
      <c r="B29" s="380" t="s">
        <v>1327</v>
      </c>
      <c r="C29" s="179" t="s">
        <v>500</v>
      </c>
      <c r="D29" s="182">
        <v>2.4451000000000001E-2</v>
      </c>
      <c r="E29" s="43">
        <v>0</v>
      </c>
      <c r="F29" s="43">
        <v>0</v>
      </c>
      <c r="G29" s="729">
        <v>0.98700399999999999</v>
      </c>
      <c r="H29" s="750">
        <v>0</v>
      </c>
      <c r="I29" s="43">
        <v>2.2728000000000002E-2</v>
      </c>
      <c r="J29" s="43">
        <v>0</v>
      </c>
      <c r="K29" s="43">
        <v>0</v>
      </c>
      <c r="L29" s="729">
        <v>0.99424100000000004</v>
      </c>
      <c r="M29" s="750">
        <v>0</v>
      </c>
      <c r="N29" s="45">
        <v>4.1214000000000001E-2</v>
      </c>
      <c r="O29" s="43">
        <v>0</v>
      </c>
      <c r="P29" s="43">
        <v>0</v>
      </c>
      <c r="Q29" s="729">
        <v>0.97432099999999999</v>
      </c>
      <c r="R29" s="750">
        <v>0</v>
      </c>
      <c r="S29" s="45">
        <v>5.1774000000000001E-2</v>
      </c>
      <c r="T29" s="43">
        <v>0</v>
      </c>
      <c r="U29" s="43">
        <v>0</v>
      </c>
      <c r="V29" s="729">
        <v>0.97432099999999999</v>
      </c>
      <c r="W29" s="616">
        <v>0</v>
      </c>
    </row>
    <row r="30" spans="2:23" ht="14.4" customHeight="1" x14ac:dyDescent="0.3">
      <c r="B30" s="380" t="s">
        <v>1328</v>
      </c>
      <c r="C30" s="179" t="s">
        <v>501</v>
      </c>
      <c r="D30" s="182">
        <v>0.44342199999999998</v>
      </c>
      <c r="E30" s="43">
        <v>0</v>
      </c>
      <c r="F30" s="43">
        <v>0</v>
      </c>
      <c r="G30" s="729">
        <v>5.5695000000000001E-2</v>
      </c>
      <c r="H30" s="750">
        <v>0.377778</v>
      </c>
      <c r="I30" s="43">
        <v>0.93736200000000003</v>
      </c>
      <c r="J30" s="43">
        <v>0</v>
      </c>
      <c r="K30" s="43">
        <v>0</v>
      </c>
      <c r="L30" s="729">
        <v>0</v>
      </c>
      <c r="M30" s="750">
        <v>0</v>
      </c>
      <c r="N30" s="45">
        <v>0.244473</v>
      </c>
      <c r="O30" s="43">
        <v>0</v>
      </c>
      <c r="P30" s="43">
        <v>0</v>
      </c>
      <c r="Q30" s="729">
        <v>0.98768999999999996</v>
      </c>
      <c r="R30" s="750">
        <v>0.76205599999999996</v>
      </c>
      <c r="S30" s="45">
        <v>0.590499</v>
      </c>
      <c r="T30" s="43">
        <v>0.47523399999999999</v>
      </c>
      <c r="U30" s="43">
        <v>0.49</v>
      </c>
      <c r="V30" s="729">
        <v>0</v>
      </c>
      <c r="W30" s="616">
        <v>0</v>
      </c>
    </row>
    <row r="31" spans="2:23" ht="14.4" customHeight="1" x14ac:dyDescent="0.3">
      <c r="B31" s="380" t="s">
        <v>1329</v>
      </c>
      <c r="C31" s="179" t="s">
        <v>502</v>
      </c>
      <c r="D31" s="182">
        <v>0.49707099999999999</v>
      </c>
      <c r="E31" s="43">
        <v>1.1980519999999999</v>
      </c>
      <c r="F31" s="43">
        <v>0</v>
      </c>
      <c r="G31" s="729">
        <v>0.29375899999999999</v>
      </c>
      <c r="H31" s="750">
        <v>0.16666700000000001</v>
      </c>
      <c r="I31" s="43">
        <v>1.1283049999999999</v>
      </c>
      <c r="J31" s="43">
        <v>0</v>
      </c>
      <c r="K31" s="43">
        <v>0</v>
      </c>
      <c r="L31" s="729">
        <v>0</v>
      </c>
      <c r="M31" s="750">
        <v>0</v>
      </c>
      <c r="N31" s="45">
        <v>0.47001300000000001</v>
      </c>
      <c r="O31" s="43">
        <v>0</v>
      </c>
      <c r="P31" s="43">
        <v>0</v>
      </c>
      <c r="Q31" s="729">
        <v>0.95094999999999996</v>
      </c>
      <c r="R31" s="750">
        <v>0.74912100000000004</v>
      </c>
      <c r="S31" s="45">
        <v>0.54736399999999996</v>
      </c>
      <c r="T31" s="43">
        <v>0</v>
      </c>
      <c r="U31" s="43">
        <v>0</v>
      </c>
      <c r="V31" s="729">
        <v>0.95883700000000005</v>
      </c>
      <c r="W31" s="616">
        <v>0.21177799999999999</v>
      </c>
    </row>
    <row r="32" spans="2:23" ht="14.4" customHeight="1" x14ac:dyDescent="0.3">
      <c r="B32" s="380" t="s">
        <v>1330</v>
      </c>
      <c r="C32" s="179" t="s">
        <v>503</v>
      </c>
      <c r="D32" s="182">
        <v>0.506135</v>
      </c>
      <c r="E32" s="43">
        <v>0</v>
      </c>
      <c r="F32" s="43">
        <v>0</v>
      </c>
      <c r="G32" s="729">
        <v>0.122155</v>
      </c>
      <c r="H32" s="750">
        <v>0</v>
      </c>
      <c r="I32" s="43">
        <v>0.870008</v>
      </c>
      <c r="J32" s="43">
        <v>0</v>
      </c>
      <c r="K32" s="43">
        <v>0</v>
      </c>
      <c r="L32" s="729">
        <v>0</v>
      </c>
      <c r="M32" s="750">
        <v>0</v>
      </c>
      <c r="N32" s="45">
        <v>0.284138</v>
      </c>
      <c r="O32" s="43">
        <v>0</v>
      </c>
      <c r="P32" s="43">
        <v>0</v>
      </c>
      <c r="Q32" s="729">
        <v>0.99999700000000002</v>
      </c>
      <c r="R32" s="750">
        <v>0.28766900000000001</v>
      </c>
      <c r="S32" s="45">
        <v>0.35876200000000003</v>
      </c>
      <c r="T32" s="43">
        <v>0</v>
      </c>
      <c r="U32" s="43">
        <v>0</v>
      </c>
      <c r="V32" s="729">
        <v>1</v>
      </c>
      <c r="W32" s="616">
        <v>0.12307</v>
      </c>
    </row>
    <row r="33" spans="2:23" ht="14.4" customHeight="1" x14ac:dyDescent="0.3">
      <c r="B33" s="380" t="s">
        <v>1331</v>
      </c>
      <c r="C33" s="179" t="s">
        <v>504</v>
      </c>
      <c r="D33" s="182">
        <v>1.014543</v>
      </c>
      <c r="E33" s="43">
        <v>0.91755399999999998</v>
      </c>
      <c r="F33" s="43">
        <v>2.8159999999999999E-3</v>
      </c>
      <c r="G33" s="729">
        <v>0.38234200000000002</v>
      </c>
      <c r="H33" s="750">
        <v>0.74907299999999999</v>
      </c>
      <c r="I33" s="43">
        <v>0.28755599999999998</v>
      </c>
      <c r="J33" s="43">
        <v>0</v>
      </c>
      <c r="K33" s="43">
        <v>0</v>
      </c>
      <c r="L33" s="729">
        <v>0.99776200000000004</v>
      </c>
      <c r="M33" s="750">
        <v>0.31304500000000002</v>
      </c>
      <c r="N33" s="45">
        <v>0.30964000000000003</v>
      </c>
      <c r="O33" s="43">
        <v>0</v>
      </c>
      <c r="P33" s="43">
        <v>0</v>
      </c>
      <c r="Q33" s="729">
        <v>0.98291899999999999</v>
      </c>
      <c r="R33" s="750">
        <v>0.94405099999999997</v>
      </c>
      <c r="S33" s="45">
        <v>0.44887899999999997</v>
      </c>
      <c r="T33" s="43">
        <v>0</v>
      </c>
      <c r="U33" s="43">
        <v>0</v>
      </c>
      <c r="V33" s="729">
        <v>0.98350499999999996</v>
      </c>
      <c r="W33" s="616">
        <v>0.68284599999999995</v>
      </c>
    </row>
    <row r="34" spans="2:23" ht="14.4" customHeight="1" x14ac:dyDescent="0.3">
      <c r="B34" s="380" t="s">
        <v>1332</v>
      </c>
      <c r="C34" s="179" t="s">
        <v>505</v>
      </c>
      <c r="D34" s="182">
        <v>0.42243000000000003</v>
      </c>
      <c r="E34" s="43">
        <v>0</v>
      </c>
      <c r="F34" s="43">
        <v>0</v>
      </c>
      <c r="G34" s="729">
        <v>0.106084</v>
      </c>
      <c r="H34" s="750">
        <v>0</v>
      </c>
      <c r="I34" s="43">
        <v>0.488956</v>
      </c>
      <c r="J34" s="43">
        <v>0</v>
      </c>
      <c r="K34" s="43">
        <v>0</v>
      </c>
      <c r="L34" s="729">
        <v>0</v>
      </c>
      <c r="M34" s="750">
        <v>0</v>
      </c>
      <c r="N34" s="45">
        <v>0.25156600000000001</v>
      </c>
      <c r="O34" s="43">
        <v>0</v>
      </c>
      <c r="P34" s="43">
        <v>0</v>
      </c>
      <c r="Q34" s="729">
        <v>0.97118000000000004</v>
      </c>
      <c r="R34" s="750">
        <v>0</v>
      </c>
      <c r="S34" s="45">
        <v>0.30136299999999999</v>
      </c>
      <c r="T34" s="43">
        <v>0</v>
      </c>
      <c r="U34" s="43">
        <v>0</v>
      </c>
      <c r="V34" s="729">
        <v>0.97118000000000004</v>
      </c>
      <c r="W34" s="616">
        <v>0</v>
      </c>
    </row>
    <row r="35" spans="2:23" ht="14.4" customHeight="1" x14ac:dyDescent="0.3">
      <c r="B35" s="380" t="s">
        <v>1333</v>
      </c>
      <c r="C35" s="179" t="s">
        <v>506</v>
      </c>
      <c r="D35" s="182">
        <v>0.37861499999999998</v>
      </c>
      <c r="E35" s="43">
        <v>0.30925000000000002</v>
      </c>
      <c r="F35" s="43">
        <v>0</v>
      </c>
      <c r="G35" s="729">
        <v>0.16822999999999999</v>
      </c>
      <c r="H35" s="750">
        <v>0</v>
      </c>
      <c r="I35" s="43">
        <v>0.49002800000000002</v>
      </c>
      <c r="J35" s="43">
        <v>0</v>
      </c>
      <c r="K35" s="43">
        <v>0</v>
      </c>
      <c r="L35" s="729">
        <v>0</v>
      </c>
      <c r="M35" s="750">
        <v>0</v>
      </c>
      <c r="N35" s="45">
        <v>0.36280400000000002</v>
      </c>
      <c r="O35" s="43">
        <v>0</v>
      </c>
      <c r="P35" s="43">
        <v>0</v>
      </c>
      <c r="Q35" s="729">
        <v>0.98914899999999994</v>
      </c>
      <c r="R35" s="750">
        <v>0.11623799999999999</v>
      </c>
      <c r="S35" s="45">
        <v>0.42595699999999997</v>
      </c>
      <c r="T35" s="43">
        <v>0</v>
      </c>
      <c r="U35" s="43">
        <v>0</v>
      </c>
      <c r="V35" s="729">
        <v>0.98930399999999996</v>
      </c>
      <c r="W35" s="616">
        <v>1.2024999999999999E-2</v>
      </c>
    </row>
    <row r="36" spans="2:23" ht="14.4" customHeight="1" x14ac:dyDescent="0.3">
      <c r="B36" s="380" t="s">
        <v>1188</v>
      </c>
      <c r="C36" s="179" t="s">
        <v>507</v>
      </c>
      <c r="D36" s="182">
        <v>2.0808960000000001</v>
      </c>
      <c r="E36" s="43">
        <v>0.60465899999999995</v>
      </c>
      <c r="F36" s="43">
        <v>2.8445000000000002E-2</v>
      </c>
      <c r="G36" s="729">
        <v>0.217138</v>
      </c>
      <c r="H36" s="750">
        <v>0.77699499999999999</v>
      </c>
      <c r="I36" s="43">
        <v>0.96227300000000004</v>
      </c>
      <c r="J36" s="43">
        <v>0.40039200000000003</v>
      </c>
      <c r="K36" s="43">
        <v>0.53</v>
      </c>
      <c r="L36" s="729">
        <v>0.73086899999999999</v>
      </c>
      <c r="M36" s="750">
        <v>0.37860300000000002</v>
      </c>
      <c r="N36" s="45">
        <v>0.80586000000000002</v>
      </c>
      <c r="O36" s="43">
        <v>0.44112200000000001</v>
      </c>
      <c r="P36" s="43">
        <v>0.34</v>
      </c>
      <c r="Q36" s="729">
        <v>0.94713499999999995</v>
      </c>
      <c r="R36" s="750">
        <v>0.97367400000000004</v>
      </c>
      <c r="S36" s="45">
        <v>1.361639</v>
      </c>
      <c r="T36" s="43">
        <v>0.368647</v>
      </c>
      <c r="U36" s="43">
        <v>0.51</v>
      </c>
      <c r="V36" s="729">
        <v>0.72930399999999995</v>
      </c>
      <c r="W36" s="616">
        <v>0.8085</v>
      </c>
    </row>
    <row r="37" spans="2:23" ht="14.4" customHeight="1" x14ac:dyDescent="0.3">
      <c r="B37" s="380" t="s">
        <v>1189</v>
      </c>
      <c r="C37" s="179" t="s">
        <v>508</v>
      </c>
      <c r="D37" s="182">
        <v>0.86315299999999995</v>
      </c>
      <c r="E37" s="43">
        <v>0.443465</v>
      </c>
      <c r="F37" s="43">
        <v>0</v>
      </c>
      <c r="G37" s="729">
        <v>0.24135599999999999</v>
      </c>
      <c r="H37" s="750">
        <v>0.50485400000000002</v>
      </c>
      <c r="I37" s="43">
        <v>0.436778</v>
      </c>
      <c r="J37" s="43">
        <v>0</v>
      </c>
      <c r="K37" s="43">
        <v>0</v>
      </c>
      <c r="L37" s="729">
        <v>0.99426700000000001</v>
      </c>
      <c r="M37" s="750">
        <v>9.3866000000000005E-2</v>
      </c>
      <c r="N37" s="45">
        <v>0.51436999999999999</v>
      </c>
      <c r="O37" s="43">
        <v>0</v>
      </c>
      <c r="P37" s="43">
        <v>0</v>
      </c>
      <c r="Q37" s="729">
        <v>0.98024699999999998</v>
      </c>
      <c r="R37" s="750">
        <v>0.92697300000000005</v>
      </c>
      <c r="S37" s="45">
        <v>0.65348499999999998</v>
      </c>
      <c r="T37" s="43">
        <v>0</v>
      </c>
      <c r="U37" s="43">
        <v>0</v>
      </c>
      <c r="V37" s="729">
        <v>0.99107800000000001</v>
      </c>
      <c r="W37" s="616">
        <v>0.51712800000000003</v>
      </c>
    </row>
    <row r="38" spans="2:23" ht="14.4" customHeight="1" x14ac:dyDescent="0.3">
      <c r="B38" s="380" t="s">
        <v>1190</v>
      </c>
      <c r="C38" s="179" t="s">
        <v>509</v>
      </c>
      <c r="D38" s="182">
        <v>1.2303249999999999</v>
      </c>
      <c r="E38" s="43">
        <v>0.52508900000000003</v>
      </c>
      <c r="F38" s="43">
        <v>7.8619999999999992E-3</v>
      </c>
      <c r="G38" s="729">
        <v>0.245757</v>
      </c>
      <c r="H38" s="750">
        <v>0.83209</v>
      </c>
      <c r="I38" s="43">
        <v>0.51347799999999999</v>
      </c>
      <c r="J38" s="43">
        <v>0</v>
      </c>
      <c r="K38" s="43">
        <v>0</v>
      </c>
      <c r="L38" s="729">
        <v>0.99316800000000005</v>
      </c>
      <c r="M38" s="750">
        <v>0.11026</v>
      </c>
      <c r="N38" s="45">
        <v>0.665435</v>
      </c>
      <c r="O38" s="43">
        <v>0</v>
      </c>
      <c r="P38" s="43">
        <v>0</v>
      </c>
      <c r="Q38" s="729">
        <v>0.98309199999999997</v>
      </c>
      <c r="R38" s="750">
        <v>0.92272500000000002</v>
      </c>
      <c r="S38" s="45">
        <v>0.89786200000000005</v>
      </c>
      <c r="T38" s="43">
        <v>0</v>
      </c>
      <c r="U38" s="43">
        <v>0</v>
      </c>
      <c r="V38" s="729">
        <v>0.98711899999999997</v>
      </c>
      <c r="W38" s="616">
        <v>0.60723899999999997</v>
      </c>
    </row>
    <row r="39" spans="2:23" ht="14.4" customHeight="1" x14ac:dyDescent="0.3">
      <c r="B39" s="380" t="s">
        <v>1191</v>
      </c>
      <c r="C39" s="179" t="s">
        <v>510</v>
      </c>
      <c r="D39" s="182">
        <v>0.50839500000000004</v>
      </c>
      <c r="E39" s="43">
        <v>0.33882099999999998</v>
      </c>
      <c r="F39" s="43">
        <v>0.01</v>
      </c>
      <c r="G39" s="729">
        <v>3.9281999999999997E-2</v>
      </c>
      <c r="H39" s="750">
        <v>0</v>
      </c>
      <c r="I39" s="43">
        <v>0.66663099999999997</v>
      </c>
      <c r="J39" s="43">
        <v>0</v>
      </c>
      <c r="K39" s="43">
        <v>0</v>
      </c>
      <c r="L39" s="729">
        <v>0</v>
      </c>
      <c r="M39" s="750">
        <v>0</v>
      </c>
      <c r="N39" s="45">
        <v>0.343393</v>
      </c>
      <c r="O39" s="43">
        <v>0</v>
      </c>
      <c r="P39" s="43">
        <v>0</v>
      </c>
      <c r="Q39" s="729">
        <v>0.98958900000000005</v>
      </c>
      <c r="R39" s="750">
        <v>0.18618599999999999</v>
      </c>
      <c r="S39" s="45">
        <v>0.40524900000000003</v>
      </c>
      <c r="T39" s="43">
        <v>0</v>
      </c>
      <c r="U39" s="43">
        <v>0</v>
      </c>
      <c r="V39" s="729">
        <v>0.98902500000000004</v>
      </c>
      <c r="W39" s="616">
        <v>4.0987999999999997E-2</v>
      </c>
    </row>
    <row r="40" spans="2:23" ht="14.4" customHeight="1" x14ac:dyDescent="0.3">
      <c r="B40" s="380" t="s">
        <v>1192</v>
      </c>
      <c r="C40" s="179" t="s">
        <v>511</v>
      </c>
      <c r="D40" s="182">
        <v>1.4748060000000001</v>
      </c>
      <c r="E40" s="43">
        <v>0.73519900000000005</v>
      </c>
      <c r="F40" s="43">
        <v>2.2499999999999998E-3</v>
      </c>
      <c r="G40" s="729">
        <v>0.233935</v>
      </c>
      <c r="H40" s="750">
        <v>0.74934699999999999</v>
      </c>
      <c r="I40" s="43">
        <v>0.318019</v>
      </c>
      <c r="J40" s="43">
        <v>0</v>
      </c>
      <c r="K40" s="43">
        <v>0</v>
      </c>
      <c r="L40" s="729">
        <v>0.99771200000000004</v>
      </c>
      <c r="M40" s="750">
        <v>9.2912999999999996E-2</v>
      </c>
      <c r="N40" s="45">
        <v>0.50038300000000002</v>
      </c>
      <c r="O40" s="43">
        <v>0.471916</v>
      </c>
      <c r="P40" s="43">
        <v>0.51</v>
      </c>
      <c r="Q40" s="729">
        <v>0.53643200000000002</v>
      </c>
      <c r="R40" s="750">
        <v>0.92931399999999997</v>
      </c>
      <c r="S40" s="45">
        <v>0.62295500000000004</v>
      </c>
      <c r="T40" s="43">
        <v>0.42498999999999998</v>
      </c>
      <c r="U40" s="43">
        <v>0.5</v>
      </c>
      <c r="V40" s="729">
        <v>0.68765799999999999</v>
      </c>
      <c r="W40" s="616">
        <v>0.67405899999999996</v>
      </c>
    </row>
    <row r="41" spans="2:23" ht="14.4" customHeight="1" x14ac:dyDescent="0.3">
      <c r="B41" s="380" t="s">
        <v>1334</v>
      </c>
      <c r="C41" s="179" t="s">
        <v>512</v>
      </c>
      <c r="D41" s="182">
        <v>1.7257819999999999</v>
      </c>
      <c r="E41" s="43">
        <v>0.64105299999999998</v>
      </c>
      <c r="F41" s="43">
        <v>5.5820000000000002E-3</v>
      </c>
      <c r="G41" s="729">
        <v>0.64379200000000003</v>
      </c>
      <c r="H41" s="750">
        <v>0.94127000000000005</v>
      </c>
      <c r="I41" s="43">
        <v>0.47980499999999998</v>
      </c>
      <c r="J41" s="43">
        <v>0</v>
      </c>
      <c r="K41" s="43">
        <v>0</v>
      </c>
      <c r="L41" s="729">
        <v>0.99721300000000002</v>
      </c>
      <c r="M41" s="750">
        <v>0.70362800000000003</v>
      </c>
      <c r="N41" s="45">
        <v>0.442498</v>
      </c>
      <c r="O41" s="43">
        <v>0</v>
      </c>
      <c r="P41" s="43">
        <v>0</v>
      </c>
      <c r="Q41" s="729">
        <v>0.98862899999999998</v>
      </c>
      <c r="R41" s="750">
        <v>0.93992900000000001</v>
      </c>
      <c r="S41" s="45">
        <v>0.66094799999999998</v>
      </c>
      <c r="T41" s="43">
        <v>0</v>
      </c>
      <c r="U41" s="43">
        <v>0</v>
      </c>
      <c r="V41" s="729">
        <v>0.99428399999999995</v>
      </c>
      <c r="W41" s="616">
        <v>0.86630700000000005</v>
      </c>
    </row>
    <row r="42" spans="2:23" ht="14.4" customHeight="1" x14ac:dyDescent="0.3">
      <c r="B42" s="380" t="s">
        <v>1335</v>
      </c>
      <c r="C42" s="179" t="s">
        <v>513</v>
      </c>
      <c r="D42" s="182">
        <v>2.158976</v>
      </c>
      <c r="E42" s="43">
        <v>0.33057700000000001</v>
      </c>
      <c r="F42" s="43">
        <v>0</v>
      </c>
      <c r="G42" s="729">
        <v>0.137825</v>
      </c>
      <c r="H42" s="750">
        <v>2.5000000000000001E-4</v>
      </c>
      <c r="I42" s="43">
        <v>2.1493220000000002</v>
      </c>
      <c r="J42" s="43">
        <v>0</v>
      </c>
      <c r="K42" s="43">
        <v>0</v>
      </c>
      <c r="L42" s="729">
        <v>0.39424599999999999</v>
      </c>
      <c r="M42" s="750">
        <v>0</v>
      </c>
      <c r="N42" s="45">
        <v>0.88021000000000005</v>
      </c>
      <c r="O42" s="43">
        <v>0</v>
      </c>
      <c r="P42" s="43">
        <v>0</v>
      </c>
      <c r="Q42" s="729">
        <v>0.99787599999999999</v>
      </c>
      <c r="R42" s="750">
        <v>7.3588000000000001E-2</v>
      </c>
      <c r="S42" s="45">
        <v>1.1350549999999999</v>
      </c>
      <c r="T42" s="43">
        <v>0</v>
      </c>
      <c r="U42" s="43">
        <v>0</v>
      </c>
      <c r="V42" s="729">
        <v>0.997973</v>
      </c>
      <c r="W42" s="616">
        <v>3.9251000000000001E-2</v>
      </c>
    </row>
    <row r="43" spans="2:23" ht="14.4" customHeight="1" x14ac:dyDescent="0.3">
      <c r="B43" s="380" t="s">
        <v>1336</v>
      </c>
      <c r="C43" s="179" t="s">
        <v>514</v>
      </c>
      <c r="D43" s="182">
        <v>1.9714419999999999</v>
      </c>
      <c r="E43" s="43">
        <v>0.57321299999999997</v>
      </c>
      <c r="F43" s="43">
        <v>0.122902</v>
      </c>
      <c r="G43" s="729">
        <v>0.41802600000000001</v>
      </c>
      <c r="H43" s="750">
        <v>0.62326400000000004</v>
      </c>
      <c r="I43" s="43">
        <v>0.64792700000000003</v>
      </c>
      <c r="J43" s="43">
        <v>0</v>
      </c>
      <c r="K43" s="43">
        <v>0</v>
      </c>
      <c r="L43" s="729">
        <v>0.99607900000000005</v>
      </c>
      <c r="M43" s="750">
        <v>0.13240199999999999</v>
      </c>
      <c r="N43" s="45">
        <v>0.85883399999999999</v>
      </c>
      <c r="O43" s="43">
        <v>0</v>
      </c>
      <c r="P43" s="43">
        <v>0</v>
      </c>
      <c r="Q43" s="729">
        <v>0.98713700000000004</v>
      </c>
      <c r="R43" s="750">
        <v>0.70263699999999996</v>
      </c>
      <c r="S43" s="45">
        <v>1.099669</v>
      </c>
      <c r="T43" s="43">
        <v>0</v>
      </c>
      <c r="U43" s="43">
        <v>0</v>
      </c>
      <c r="V43" s="729">
        <v>0.99044500000000002</v>
      </c>
      <c r="W43" s="616">
        <v>0.38608900000000002</v>
      </c>
    </row>
    <row r="44" spans="2:23" ht="14.4" customHeight="1" x14ac:dyDescent="0.3">
      <c r="B44" s="380" t="s">
        <v>1337</v>
      </c>
      <c r="C44" s="179" t="s">
        <v>515</v>
      </c>
      <c r="D44" s="182">
        <v>0.86388799999999999</v>
      </c>
      <c r="E44" s="43">
        <v>0.46904400000000002</v>
      </c>
      <c r="F44" s="43">
        <v>0</v>
      </c>
      <c r="G44" s="729">
        <v>0.41928900000000002</v>
      </c>
      <c r="H44" s="750">
        <v>0.79602399999999995</v>
      </c>
      <c r="I44" s="43">
        <v>0.26352700000000001</v>
      </c>
      <c r="J44" s="43">
        <v>0</v>
      </c>
      <c r="K44" s="43">
        <v>0</v>
      </c>
      <c r="L44" s="729">
        <v>0.99821800000000005</v>
      </c>
      <c r="M44" s="750">
        <v>0.13761399999999999</v>
      </c>
      <c r="N44" s="45">
        <v>0.37944299999999997</v>
      </c>
      <c r="O44" s="43">
        <v>0</v>
      </c>
      <c r="P44" s="43">
        <v>0</v>
      </c>
      <c r="Q44" s="729">
        <v>0.99668400000000001</v>
      </c>
      <c r="R44" s="750">
        <v>0.81594999999999995</v>
      </c>
      <c r="S44" s="45">
        <v>0.45292300000000002</v>
      </c>
      <c r="T44" s="43">
        <v>0</v>
      </c>
      <c r="U44" s="43">
        <v>0</v>
      </c>
      <c r="V44" s="729">
        <v>0.99734599999999995</v>
      </c>
      <c r="W44" s="616">
        <v>0.232151</v>
      </c>
    </row>
    <row r="45" spans="2:23" ht="14.4" customHeight="1" x14ac:dyDescent="0.3">
      <c r="B45" s="380" t="s">
        <v>1338</v>
      </c>
      <c r="C45" s="179" t="s">
        <v>516</v>
      </c>
      <c r="D45" s="182">
        <v>0.72975500000000004</v>
      </c>
      <c r="E45" s="43">
        <v>0.61207199999999995</v>
      </c>
      <c r="F45" s="43">
        <v>6.9709999999999998E-3</v>
      </c>
      <c r="G45" s="729">
        <v>0.60924100000000003</v>
      </c>
      <c r="H45" s="750">
        <v>0.917431</v>
      </c>
      <c r="I45" s="43">
        <v>0.38172899999999998</v>
      </c>
      <c r="J45" s="43">
        <v>0</v>
      </c>
      <c r="K45" s="43">
        <v>0</v>
      </c>
      <c r="L45" s="729">
        <v>0.99339200000000005</v>
      </c>
      <c r="M45" s="750">
        <v>0.228274</v>
      </c>
      <c r="N45" s="45">
        <v>0.57201900000000006</v>
      </c>
      <c r="O45" s="43">
        <v>0</v>
      </c>
      <c r="P45" s="43">
        <v>0</v>
      </c>
      <c r="Q45" s="729">
        <v>0.97371399999999997</v>
      </c>
      <c r="R45" s="750">
        <v>0.62763400000000003</v>
      </c>
      <c r="S45" s="45">
        <v>0.70854799999999996</v>
      </c>
      <c r="T45" s="43">
        <v>0</v>
      </c>
      <c r="U45" s="43">
        <v>0</v>
      </c>
      <c r="V45" s="729">
        <v>0.97841699999999998</v>
      </c>
      <c r="W45" s="616">
        <v>0.42152000000000001</v>
      </c>
    </row>
    <row r="46" spans="2:23" ht="14.4" customHeight="1" x14ac:dyDescent="0.3">
      <c r="B46" s="380" t="s">
        <v>1339</v>
      </c>
      <c r="C46" s="179" t="s">
        <v>517</v>
      </c>
      <c r="D46" s="182">
        <v>1.1684479999999999</v>
      </c>
      <c r="E46" s="43">
        <v>0.25700499999999998</v>
      </c>
      <c r="F46" s="43">
        <v>0</v>
      </c>
      <c r="G46" s="729">
        <v>0.73067400000000005</v>
      </c>
      <c r="H46" s="750">
        <v>0.28909099999999999</v>
      </c>
      <c r="I46" s="43">
        <v>0.69751799999999997</v>
      </c>
      <c r="J46" s="43">
        <v>0</v>
      </c>
      <c r="K46" s="43">
        <v>0</v>
      </c>
      <c r="L46" s="729">
        <v>0.99686900000000001</v>
      </c>
      <c r="M46" s="750">
        <v>3.6032000000000002E-2</v>
      </c>
      <c r="N46" s="45">
        <v>1.0170939999999999</v>
      </c>
      <c r="O46" s="43">
        <v>0</v>
      </c>
      <c r="P46" s="43">
        <v>0</v>
      </c>
      <c r="Q46" s="729">
        <v>0.98925600000000002</v>
      </c>
      <c r="R46" s="750">
        <v>0.40083999999999997</v>
      </c>
      <c r="S46" s="45">
        <v>1.3333360000000001</v>
      </c>
      <c r="T46" s="43">
        <v>0</v>
      </c>
      <c r="U46" s="43">
        <v>0</v>
      </c>
      <c r="V46" s="729">
        <v>0.99534800000000001</v>
      </c>
      <c r="W46" s="616">
        <v>0.22736000000000001</v>
      </c>
    </row>
    <row r="47" spans="2:23" ht="14.4" customHeight="1" x14ac:dyDescent="0.3">
      <c r="B47" s="380" t="s">
        <v>1340</v>
      </c>
      <c r="C47" s="179" t="s">
        <v>518</v>
      </c>
      <c r="D47" s="182">
        <v>1.255776</v>
      </c>
      <c r="E47" s="43">
        <v>0.73056900000000002</v>
      </c>
      <c r="F47" s="43">
        <v>0</v>
      </c>
      <c r="G47" s="729">
        <v>0.249723</v>
      </c>
      <c r="H47" s="750">
        <v>0.16366600000000001</v>
      </c>
      <c r="I47" s="43">
        <v>0.48199500000000001</v>
      </c>
      <c r="J47" s="43">
        <v>0</v>
      </c>
      <c r="K47" s="43">
        <v>0</v>
      </c>
      <c r="L47" s="729">
        <v>0.99666299999999997</v>
      </c>
      <c r="M47" s="750">
        <v>0.10014099999999999</v>
      </c>
      <c r="N47" s="45">
        <v>0.64149800000000001</v>
      </c>
      <c r="O47" s="43">
        <v>0</v>
      </c>
      <c r="P47" s="43">
        <v>0</v>
      </c>
      <c r="Q47" s="729">
        <v>0.99570199999999998</v>
      </c>
      <c r="R47" s="750">
        <v>0.89656000000000002</v>
      </c>
      <c r="S47" s="45">
        <v>0.86203300000000005</v>
      </c>
      <c r="T47" s="43">
        <v>0</v>
      </c>
      <c r="U47" s="43">
        <v>0</v>
      </c>
      <c r="V47" s="729">
        <v>0.99526899999999996</v>
      </c>
      <c r="W47" s="616">
        <v>0.42008600000000001</v>
      </c>
    </row>
    <row r="48" spans="2:23" ht="14.4" customHeight="1" x14ac:dyDescent="0.3">
      <c r="B48" s="380" t="s">
        <v>1341</v>
      </c>
      <c r="C48" s="179" t="s">
        <v>519</v>
      </c>
      <c r="D48" s="182">
        <v>0.62448700000000001</v>
      </c>
      <c r="E48" s="43">
        <v>0</v>
      </c>
      <c r="F48" s="43">
        <v>0</v>
      </c>
      <c r="G48" s="729">
        <v>0.20588699999999999</v>
      </c>
      <c r="H48" s="750">
        <v>0</v>
      </c>
      <c r="I48" s="43">
        <v>0.78703199999999995</v>
      </c>
      <c r="J48" s="43">
        <v>0</v>
      </c>
      <c r="K48" s="43">
        <v>0</v>
      </c>
      <c r="L48" s="729">
        <v>0</v>
      </c>
      <c r="M48" s="750">
        <v>0</v>
      </c>
      <c r="N48" s="45">
        <v>0.46246700000000002</v>
      </c>
      <c r="O48" s="43">
        <v>0</v>
      </c>
      <c r="P48" s="43">
        <v>0</v>
      </c>
      <c r="Q48" s="729">
        <v>0.99736000000000002</v>
      </c>
      <c r="R48" s="750">
        <v>0</v>
      </c>
      <c r="S48" s="45">
        <v>0.56847599999999998</v>
      </c>
      <c r="T48" s="43">
        <v>0</v>
      </c>
      <c r="U48" s="43">
        <v>0</v>
      </c>
      <c r="V48" s="729">
        <v>0.99736000000000002</v>
      </c>
      <c r="W48" s="616">
        <v>0</v>
      </c>
    </row>
    <row r="49" spans="2:23" ht="14.4" customHeight="1" x14ac:dyDescent="0.3">
      <c r="B49" s="380" t="s">
        <v>1342</v>
      </c>
      <c r="C49" s="179" t="s">
        <v>520</v>
      </c>
      <c r="D49" s="182">
        <v>0.31122699999999998</v>
      </c>
      <c r="E49" s="43">
        <v>0</v>
      </c>
      <c r="F49" s="43">
        <v>0</v>
      </c>
      <c r="G49" s="729">
        <v>0.45787699999999998</v>
      </c>
      <c r="H49" s="750">
        <v>0</v>
      </c>
      <c r="I49" s="43">
        <v>0.51235600000000003</v>
      </c>
      <c r="J49" s="43">
        <v>0</v>
      </c>
      <c r="K49" s="43">
        <v>0</v>
      </c>
      <c r="L49" s="729">
        <v>0</v>
      </c>
      <c r="M49" s="750">
        <v>0</v>
      </c>
      <c r="N49" s="45">
        <v>0.41748499999999999</v>
      </c>
      <c r="O49" s="43">
        <v>0</v>
      </c>
      <c r="P49" s="43">
        <v>0</v>
      </c>
      <c r="Q49" s="729">
        <v>0.97406199999999998</v>
      </c>
      <c r="R49" s="750">
        <v>0.146097</v>
      </c>
      <c r="S49" s="45">
        <v>0.48668400000000001</v>
      </c>
      <c r="T49" s="43">
        <v>0</v>
      </c>
      <c r="U49" s="43">
        <v>0</v>
      </c>
      <c r="V49" s="729">
        <v>0.97565500000000005</v>
      </c>
      <c r="W49" s="616">
        <v>4.8021000000000001E-2</v>
      </c>
    </row>
    <row r="50" spans="2:23" ht="14.4" customHeight="1" x14ac:dyDescent="0.3">
      <c r="B50" s="380" t="s">
        <v>1343</v>
      </c>
      <c r="C50" s="179" t="s">
        <v>521</v>
      </c>
      <c r="D50" s="182">
        <v>0.518146</v>
      </c>
      <c r="E50" s="43">
        <v>0</v>
      </c>
      <c r="F50" s="43">
        <v>0</v>
      </c>
      <c r="G50" s="729">
        <v>0.57471000000000005</v>
      </c>
      <c r="H50" s="750">
        <v>0</v>
      </c>
      <c r="I50" s="43">
        <v>0.78173999999999999</v>
      </c>
      <c r="J50" s="43">
        <v>0</v>
      </c>
      <c r="K50" s="43">
        <v>0</v>
      </c>
      <c r="L50" s="729">
        <v>0</v>
      </c>
      <c r="M50" s="750">
        <v>0</v>
      </c>
      <c r="N50" s="45">
        <v>0.49093199999999998</v>
      </c>
      <c r="O50" s="43">
        <v>0</v>
      </c>
      <c r="P50" s="43">
        <v>0</v>
      </c>
      <c r="Q50" s="729">
        <v>0.99865599999999999</v>
      </c>
      <c r="R50" s="750">
        <v>0</v>
      </c>
      <c r="S50" s="45">
        <v>0.607653</v>
      </c>
      <c r="T50" s="43">
        <v>0</v>
      </c>
      <c r="U50" s="43">
        <v>0</v>
      </c>
      <c r="V50" s="729">
        <v>0.99865599999999999</v>
      </c>
      <c r="W50" s="616">
        <v>0</v>
      </c>
    </row>
    <row r="51" spans="2:23" ht="14.4" customHeight="1" x14ac:dyDescent="0.3">
      <c r="B51" s="380" t="s">
        <v>1344</v>
      </c>
      <c r="C51" s="179" t="s">
        <v>522</v>
      </c>
      <c r="D51" s="182">
        <v>0.17526800000000001</v>
      </c>
      <c r="E51" s="43">
        <v>0</v>
      </c>
      <c r="F51" s="43">
        <v>0</v>
      </c>
      <c r="G51" s="729">
        <v>0.41744799999999999</v>
      </c>
      <c r="H51" s="750">
        <v>0</v>
      </c>
      <c r="I51" s="43">
        <v>0.240786</v>
      </c>
      <c r="J51" s="43">
        <v>0</v>
      </c>
      <c r="K51" s="43">
        <v>0</v>
      </c>
      <c r="L51" s="729">
        <v>0</v>
      </c>
      <c r="M51" s="750">
        <v>0</v>
      </c>
      <c r="N51" s="45">
        <v>0.179093</v>
      </c>
      <c r="O51" s="43">
        <v>0</v>
      </c>
      <c r="P51" s="43">
        <v>0</v>
      </c>
      <c r="Q51" s="729">
        <v>0.99781200000000003</v>
      </c>
      <c r="R51" s="750">
        <v>0</v>
      </c>
      <c r="S51" s="45">
        <v>0.21915000000000001</v>
      </c>
      <c r="T51" s="43">
        <v>0</v>
      </c>
      <c r="U51" s="43">
        <v>0</v>
      </c>
      <c r="V51" s="729">
        <v>0.99781200000000003</v>
      </c>
      <c r="W51" s="616">
        <v>0</v>
      </c>
    </row>
    <row r="52" spans="2:23" x14ac:dyDescent="0.3">
      <c r="B52" s="380" t="s">
        <v>1345</v>
      </c>
      <c r="C52" s="179" t="s">
        <v>523</v>
      </c>
      <c r="D52" s="182">
        <v>0.30416399999999999</v>
      </c>
      <c r="E52" s="43">
        <v>0</v>
      </c>
      <c r="F52" s="43">
        <v>0</v>
      </c>
      <c r="G52" s="729">
        <v>0.59350599999999998</v>
      </c>
      <c r="H52" s="750">
        <v>0</v>
      </c>
      <c r="I52" s="43">
        <v>0.40747100000000003</v>
      </c>
      <c r="J52" s="43">
        <v>0</v>
      </c>
      <c r="K52" s="43">
        <v>0</v>
      </c>
      <c r="L52" s="729">
        <v>0</v>
      </c>
      <c r="M52" s="750">
        <v>0</v>
      </c>
      <c r="N52" s="45">
        <v>0.31772499999999998</v>
      </c>
      <c r="O52" s="43">
        <v>0</v>
      </c>
      <c r="P52" s="43">
        <v>0</v>
      </c>
      <c r="Q52" s="729">
        <v>0.98729299999999998</v>
      </c>
      <c r="R52" s="750">
        <v>0</v>
      </c>
      <c r="S52" s="45">
        <v>0.370614</v>
      </c>
      <c r="T52" s="43">
        <v>0</v>
      </c>
      <c r="U52" s="43">
        <v>0</v>
      </c>
      <c r="V52" s="729">
        <v>0.98729299999999998</v>
      </c>
      <c r="W52" s="616">
        <v>0</v>
      </c>
    </row>
    <row r="53" spans="2:23" x14ac:dyDescent="0.3">
      <c r="B53" s="380" t="s">
        <v>1346</v>
      </c>
      <c r="C53" s="179" t="s">
        <v>524</v>
      </c>
      <c r="D53" s="182">
        <v>0.26212099999999999</v>
      </c>
      <c r="E53" s="43">
        <v>0</v>
      </c>
      <c r="F53" s="43">
        <v>0</v>
      </c>
      <c r="G53" s="729">
        <v>0.520509</v>
      </c>
      <c r="H53" s="750">
        <v>0</v>
      </c>
      <c r="I53" s="43">
        <v>0.29680800000000002</v>
      </c>
      <c r="J53" s="43">
        <v>0</v>
      </c>
      <c r="K53" s="43">
        <v>0</v>
      </c>
      <c r="L53" s="729">
        <v>0</v>
      </c>
      <c r="M53" s="750">
        <v>0</v>
      </c>
      <c r="N53" s="45">
        <v>0.37063000000000001</v>
      </c>
      <c r="O53" s="43">
        <v>0.47160000000000002</v>
      </c>
      <c r="P53" s="43">
        <v>0.49</v>
      </c>
      <c r="Q53" s="729">
        <v>0</v>
      </c>
      <c r="R53" s="750">
        <v>0</v>
      </c>
      <c r="S53" s="45">
        <v>0.37063000000000001</v>
      </c>
      <c r="T53" s="43">
        <v>0.47160000000000002</v>
      </c>
      <c r="U53" s="43">
        <v>0.49</v>
      </c>
      <c r="V53" s="729">
        <v>0</v>
      </c>
      <c r="W53" s="616">
        <v>0</v>
      </c>
    </row>
    <row r="54" spans="2:23" x14ac:dyDescent="0.3">
      <c r="B54" s="380" t="s">
        <v>1347</v>
      </c>
      <c r="C54" s="179" t="s">
        <v>525</v>
      </c>
      <c r="D54" s="182">
        <v>0.95153600000000005</v>
      </c>
      <c r="E54" s="43">
        <v>0</v>
      </c>
      <c r="F54" s="43">
        <v>0</v>
      </c>
      <c r="G54" s="729">
        <v>0.255496</v>
      </c>
      <c r="H54" s="750">
        <v>0.19636400000000001</v>
      </c>
      <c r="I54" s="43">
        <v>1.3094129999999999</v>
      </c>
      <c r="J54" s="43">
        <v>0</v>
      </c>
      <c r="K54" s="43">
        <v>0</v>
      </c>
      <c r="L54" s="729">
        <v>0</v>
      </c>
      <c r="M54" s="750">
        <v>0</v>
      </c>
      <c r="N54" s="45">
        <v>0.73880999999999997</v>
      </c>
      <c r="O54" s="43">
        <v>0</v>
      </c>
      <c r="P54" s="43">
        <v>0</v>
      </c>
      <c r="Q54" s="729">
        <v>0.99390800000000001</v>
      </c>
      <c r="R54" s="750">
        <v>0.15760299999999999</v>
      </c>
      <c r="S54" s="45">
        <v>0.90638399999999997</v>
      </c>
      <c r="T54" s="43">
        <v>0</v>
      </c>
      <c r="U54" s="43">
        <v>0</v>
      </c>
      <c r="V54" s="729">
        <v>0.99411400000000005</v>
      </c>
      <c r="W54" s="616">
        <v>3.8837999999999998E-2</v>
      </c>
    </row>
    <row r="55" spans="2:23" x14ac:dyDescent="0.3">
      <c r="B55" s="380" t="s">
        <v>1348</v>
      </c>
      <c r="C55" s="179" t="s">
        <v>526</v>
      </c>
      <c r="D55" s="182">
        <v>1.11337</v>
      </c>
      <c r="E55" s="43">
        <v>0.54133500000000001</v>
      </c>
      <c r="F55" s="43">
        <v>0</v>
      </c>
      <c r="G55" s="729">
        <v>0.49308999999999997</v>
      </c>
      <c r="H55" s="750">
        <v>0</v>
      </c>
      <c r="I55" s="43">
        <v>1.676779</v>
      </c>
      <c r="J55" s="43">
        <v>0</v>
      </c>
      <c r="K55" s="43">
        <v>0</v>
      </c>
      <c r="L55" s="729">
        <v>0</v>
      </c>
      <c r="M55" s="750">
        <v>0</v>
      </c>
      <c r="N55" s="45">
        <v>0.83102399999999998</v>
      </c>
      <c r="O55" s="43">
        <v>0</v>
      </c>
      <c r="P55" s="43">
        <v>0</v>
      </c>
      <c r="Q55" s="729">
        <v>0.99626899999999996</v>
      </c>
      <c r="R55" s="750">
        <v>3.2259000000000003E-2</v>
      </c>
      <c r="S55" s="45">
        <v>1.0227999999999999</v>
      </c>
      <c r="T55" s="43">
        <v>0</v>
      </c>
      <c r="U55" s="43">
        <v>0</v>
      </c>
      <c r="V55" s="729">
        <v>0.99630600000000002</v>
      </c>
      <c r="W55" s="616">
        <v>9.4479999999999998E-3</v>
      </c>
    </row>
    <row r="56" spans="2:23" x14ac:dyDescent="0.3">
      <c r="B56" s="380" t="s">
        <v>1349</v>
      </c>
      <c r="C56" s="179" t="s">
        <v>527</v>
      </c>
      <c r="D56" s="182">
        <v>0.73834200000000005</v>
      </c>
      <c r="E56" s="43">
        <v>0</v>
      </c>
      <c r="F56" s="43">
        <v>0</v>
      </c>
      <c r="G56" s="729">
        <v>0.22054000000000001</v>
      </c>
      <c r="H56" s="750">
        <v>0</v>
      </c>
      <c r="I56" s="43">
        <v>0.9052</v>
      </c>
      <c r="J56" s="43">
        <v>0</v>
      </c>
      <c r="K56" s="43">
        <v>0</v>
      </c>
      <c r="L56" s="729">
        <v>0</v>
      </c>
      <c r="M56" s="750">
        <v>0</v>
      </c>
      <c r="N56" s="45">
        <v>0.55836600000000003</v>
      </c>
      <c r="O56" s="43">
        <v>0</v>
      </c>
      <c r="P56" s="43">
        <v>0</v>
      </c>
      <c r="Q56" s="729">
        <v>0.98318399999999995</v>
      </c>
      <c r="R56" s="750">
        <v>0</v>
      </c>
      <c r="S56" s="45">
        <v>0.65800999999999998</v>
      </c>
      <c r="T56" s="43">
        <v>0</v>
      </c>
      <c r="U56" s="43">
        <v>0</v>
      </c>
      <c r="V56" s="729">
        <v>0.98318399999999995</v>
      </c>
      <c r="W56" s="616">
        <v>0</v>
      </c>
    </row>
    <row r="57" spans="2:23" x14ac:dyDescent="0.3">
      <c r="B57" s="380" t="s">
        <v>1350</v>
      </c>
      <c r="C57" s="179" t="s">
        <v>528</v>
      </c>
      <c r="D57" s="182">
        <v>1.135996</v>
      </c>
      <c r="E57" s="43">
        <v>0.57399199999999995</v>
      </c>
      <c r="F57" s="43">
        <v>0</v>
      </c>
      <c r="G57" s="729">
        <v>0.367898</v>
      </c>
      <c r="H57" s="750">
        <v>0.31300800000000001</v>
      </c>
      <c r="I57" s="43">
        <v>0.54104399999999997</v>
      </c>
      <c r="J57" s="43">
        <v>0</v>
      </c>
      <c r="K57" s="43">
        <v>0</v>
      </c>
      <c r="L57" s="729">
        <v>0.99590199999999995</v>
      </c>
      <c r="M57" s="750">
        <v>3.8942999999999998E-2</v>
      </c>
      <c r="N57" s="45">
        <v>0.814944</v>
      </c>
      <c r="O57" s="43">
        <v>0</v>
      </c>
      <c r="P57" s="43">
        <v>0</v>
      </c>
      <c r="Q57" s="729">
        <v>0.98736400000000002</v>
      </c>
      <c r="R57" s="750">
        <v>0.76356599999999997</v>
      </c>
      <c r="S57" s="45">
        <v>1.0229239999999999</v>
      </c>
      <c r="T57" s="43">
        <v>0</v>
      </c>
      <c r="U57" s="43">
        <v>0</v>
      </c>
      <c r="V57" s="729">
        <v>0.99</v>
      </c>
      <c r="W57" s="616">
        <v>0.27390999999999999</v>
      </c>
    </row>
    <row r="58" spans="2:23" x14ac:dyDescent="0.3">
      <c r="B58" s="380" t="s">
        <v>1351</v>
      </c>
      <c r="C58" s="179" t="s">
        <v>529</v>
      </c>
      <c r="D58" s="182">
        <v>0.28220899999999999</v>
      </c>
      <c r="E58" s="43">
        <v>0</v>
      </c>
      <c r="F58" s="43">
        <v>0</v>
      </c>
      <c r="G58" s="729">
        <v>0.51212199999999997</v>
      </c>
      <c r="H58" s="750">
        <v>4.5198000000000002E-2</v>
      </c>
      <c r="I58" s="43">
        <v>0.37879699999999999</v>
      </c>
      <c r="J58" s="43">
        <v>0</v>
      </c>
      <c r="K58" s="43">
        <v>0</v>
      </c>
      <c r="L58" s="729">
        <v>0</v>
      </c>
      <c r="M58" s="750">
        <v>0</v>
      </c>
      <c r="N58" s="45">
        <v>0.34348699999999999</v>
      </c>
      <c r="O58" s="43">
        <v>0.44170900000000002</v>
      </c>
      <c r="P58" s="43">
        <v>0.49</v>
      </c>
      <c r="Q58" s="729">
        <v>0</v>
      </c>
      <c r="R58" s="750">
        <v>0</v>
      </c>
      <c r="S58" s="45">
        <v>0.35178700000000002</v>
      </c>
      <c r="T58" s="43">
        <v>0.436002</v>
      </c>
      <c r="U58" s="43">
        <v>0.49</v>
      </c>
      <c r="V58" s="729">
        <v>0</v>
      </c>
      <c r="W58" s="616">
        <v>0</v>
      </c>
    </row>
    <row r="59" spans="2:23" x14ac:dyDescent="0.3">
      <c r="B59" s="380" t="s">
        <v>1352</v>
      </c>
      <c r="C59" s="179" t="s">
        <v>530</v>
      </c>
      <c r="D59" s="182">
        <v>0.68580399999999997</v>
      </c>
      <c r="E59" s="43">
        <v>0</v>
      </c>
      <c r="F59" s="43">
        <v>0</v>
      </c>
      <c r="G59" s="729">
        <v>0.347026</v>
      </c>
      <c r="H59" s="750">
        <v>3.0769000000000001E-2</v>
      </c>
      <c r="I59" s="43">
        <v>0.97501700000000002</v>
      </c>
      <c r="J59" s="43">
        <v>0</v>
      </c>
      <c r="K59" s="43">
        <v>0</v>
      </c>
      <c r="L59" s="729">
        <v>0</v>
      </c>
      <c r="M59" s="750">
        <v>0</v>
      </c>
      <c r="N59" s="45">
        <v>0.59736900000000004</v>
      </c>
      <c r="O59" s="43">
        <v>0</v>
      </c>
      <c r="P59" s="43">
        <v>0</v>
      </c>
      <c r="Q59" s="729">
        <v>0.99446299999999999</v>
      </c>
      <c r="R59" s="750">
        <v>0.181751</v>
      </c>
      <c r="S59" s="45">
        <v>0.72586899999999999</v>
      </c>
      <c r="T59" s="43">
        <v>0</v>
      </c>
      <c r="U59" s="43">
        <v>0</v>
      </c>
      <c r="V59" s="729">
        <v>0.99388600000000005</v>
      </c>
      <c r="W59" s="616">
        <v>3.1026000000000001E-2</v>
      </c>
    </row>
    <row r="60" spans="2:23" x14ac:dyDescent="0.3">
      <c r="B60" s="380" t="s">
        <v>1353</v>
      </c>
      <c r="C60" s="179" t="s">
        <v>531</v>
      </c>
      <c r="D60" s="182">
        <v>1.42685</v>
      </c>
      <c r="E60" s="43">
        <v>0.31977699999999998</v>
      </c>
      <c r="F60" s="43">
        <v>0</v>
      </c>
      <c r="G60" s="729">
        <v>0.31797199999999998</v>
      </c>
      <c r="H60" s="750">
        <v>0.35416700000000001</v>
      </c>
      <c r="I60" s="43">
        <v>0.82221699999999998</v>
      </c>
      <c r="J60" s="43">
        <v>0</v>
      </c>
      <c r="K60" s="43">
        <v>0</v>
      </c>
      <c r="L60" s="729">
        <v>0.99701600000000001</v>
      </c>
      <c r="M60" s="750">
        <v>6.5158999999999995E-2</v>
      </c>
      <c r="N60" s="45">
        <v>1.165324</v>
      </c>
      <c r="O60" s="43">
        <v>0</v>
      </c>
      <c r="P60" s="43">
        <v>0</v>
      </c>
      <c r="Q60" s="729">
        <v>0.98994400000000005</v>
      </c>
      <c r="R60" s="750">
        <v>0.84945700000000002</v>
      </c>
      <c r="S60" s="45">
        <v>1.542808</v>
      </c>
      <c r="T60" s="43">
        <v>0</v>
      </c>
      <c r="U60" s="43">
        <v>0</v>
      </c>
      <c r="V60" s="729">
        <v>0.9919</v>
      </c>
      <c r="W60" s="616">
        <v>0.36600199999999999</v>
      </c>
    </row>
    <row r="61" spans="2:23" x14ac:dyDescent="0.3">
      <c r="B61" s="380" t="s">
        <v>1354</v>
      </c>
      <c r="C61" s="179" t="s">
        <v>532</v>
      </c>
      <c r="D61" s="182">
        <v>0.16081400000000001</v>
      </c>
      <c r="E61" s="43">
        <v>0</v>
      </c>
      <c r="F61" s="43">
        <v>0</v>
      </c>
      <c r="G61" s="729">
        <v>0.35641200000000001</v>
      </c>
      <c r="H61" s="750">
        <v>0</v>
      </c>
      <c r="I61" s="43">
        <v>0.173481</v>
      </c>
      <c r="J61" s="43">
        <v>0</v>
      </c>
      <c r="K61" s="43">
        <v>0</v>
      </c>
      <c r="L61" s="729">
        <v>0</v>
      </c>
      <c r="M61" s="750">
        <v>0</v>
      </c>
      <c r="N61" s="45">
        <v>0.22659699999999999</v>
      </c>
      <c r="O61" s="43">
        <v>0.53160700000000005</v>
      </c>
      <c r="P61" s="43">
        <v>0.5</v>
      </c>
      <c r="Q61" s="729">
        <v>0</v>
      </c>
      <c r="R61" s="750">
        <v>0</v>
      </c>
      <c r="S61" s="45">
        <v>0.22659699999999999</v>
      </c>
      <c r="T61" s="43">
        <v>0.53160700000000005</v>
      </c>
      <c r="U61" s="43">
        <v>0.5</v>
      </c>
      <c r="V61" s="729">
        <v>0</v>
      </c>
      <c r="W61" s="616">
        <v>0</v>
      </c>
    </row>
    <row r="62" spans="2:23" x14ac:dyDescent="0.3">
      <c r="B62" s="380" t="s">
        <v>1355</v>
      </c>
      <c r="C62" s="179" t="s">
        <v>533</v>
      </c>
      <c r="D62" s="182">
        <v>0.36223499999999997</v>
      </c>
      <c r="E62" s="43">
        <v>0</v>
      </c>
      <c r="F62" s="43">
        <v>0</v>
      </c>
      <c r="G62" s="729">
        <v>0.33779500000000001</v>
      </c>
      <c r="H62" s="750">
        <v>0</v>
      </c>
      <c r="I62" s="43">
        <v>0.480794</v>
      </c>
      <c r="J62" s="43">
        <v>0</v>
      </c>
      <c r="K62" s="43">
        <v>0</v>
      </c>
      <c r="L62" s="729">
        <v>0</v>
      </c>
      <c r="M62" s="750">
        <v>0</v>
      </c>
      <c r="N62" s="45">
        <v>0.38380999999999998</v>
      </c>
      <c r="O62" s="43">
        <v>0</v>
      </c>
      <c r="P62" s="43">
        <v>0</v>
      </c>
      <c r="Q62" s="729">
        <v>0.997089</v>
      </c>
      <c r="R62" s="750">
        <v>0</v>
      </c>
      <c r="S62" s="45">
        <v>0.47189700000000001</v>
      </c>
      <c r="T62" s="43">
        <v>0</v>
      </c>
      <c r="U62" s="43">
        <v>0</v>
      </c>
      <c r="V62" s="729">
        <v>0.997089</v>
      </c>
      <c r="W62" s="616">
        <v>0</v>
      </c>
    </row>
    <row r="63" spans="2:23" x14ac:dyDescent="0.3">
      <c r="B63" s="380" t="s">
        <v>1356</v>
      </c>
      <c r="C63" s="179" t="s">
        <v>534</v>
      </c>
      <c r="D63" s="182">
        <v>2.3268960000000001</v>
      </c>
      <c r="E63" s="43">
        <v>0.51309300000000002</v>
      </c>
      <c r="F63" s="43">
        <v>9.8399999999999998E-3</v>
      </c>
      <c r="G63" s="729">
        <v>0.79222700000000001</v>
      </c>
      <c r="H63" s="750">
        <v>1</v>
      </c>
      <c r="I63" s="43">
        <v>0.80786999999999998</v>
      </c>
      <c r="J63" s="43">
        <v>0</v>
      </c>
      <c r="K63" s="43">
        <v>0</v>
      </c>
      <c r="L63" s="729">
        <v>0.99988999999999995</v>
      </c>
      <c r="M63" s="750">
        <v>0.95762000000000003</v>
      </c>
      <c r="N63" s="45">
        <v>0.73964700000000005</v>
      </c>
      <c r="O63" s="43">
        <v>0</v>
      </c>
      <c r="P63" s="43">
        <v>0</v>
      </c>
      <c r="Q63" s="729">
        <v>0.99985299999999999</v>
      </c>
      <c r="R63" s="750">
        <v>0.99444500000000002</v>
      </c>
      <c r="S63" s="45">
        <v>1.193065</v>
      </c>
      <c r="T63" s="43">
        <v>0</v>
      </c>
      <c r="U63" s="43">
        <v>0</v>
      </c>
      <c r="V63" s="729">
        <v>0.99959900000000002</v>
      </c>
      <c r="W63" s="616">
        <v>0.98716999999999999</v>
      </c>
    </row>
    <row r="64" spans="2:23" x14ac:dyDescent="0.3">
      <c r="B64" s="380" t="s">
        <v>1357</v>
      </c>
      <c r="C64" s="179" t="s">
        <v>535</v>
      </c>
      <c r="D64" s="182">
        <v>0.36620000000000003</v>
      </c>
      <c r="E64" s="43">
        <v>0</v>
      </c>
      <c r="F64" s="43">
        <v>0</v>
      </c>
      <c r="G64" s="729">
        <v>0.232459</v>
      </c>
      <c r="H64" s="750">
        <v>0.80898899999999996</v>
      </c>
      <c r="I64" s="43">
        <v>0.14188500000000001</v>
      </c>
      <c r="J64" s="43">
        <v>0.59819699999999998</v>
      </c>
      <c r="K64" s="43">
        <v>0.6</v>
      </c>
      <c r="L64" s="729">
        <v>0</v>
      </c>
      <c r="M64" s="750">
        <v>0</v>
      </c>
      <c r="N64" s="45">
        <v>0.218551</v>
      </c>
      <c r="O64" s="43">
        <v>0.53894600000000004</v>
      </c>
      <c r="P64" s="43">
        <v>0.57999999999999996</v>
      </c>
      <c r="Q64" s="729">
        <v>0</v>
      </c>
      <c r="R64" s="750">
        <v>0</v>
      </c>
      <c r="S64" s="45">
        <v>0.27726499999999998</v>
      </c>
      <c r="T64" s="43">
        <v>0.43694899999999998</v>
      </c>
      <c r="U64" s="43">
        <v>0.56000000000000005</v>
      </c>
      <c r="V64" s="729">
        <v>0</v>
      </c>
      <c r="W64" s="616">
        <v>0</v>
      </c>
    </row>
    <row r="65" spans="2:23" x14ac:dyDescent="0.3">
      <c r="B65" s="380" t="s">
        <v>1358</v>
      </c>
      <c r="C65" s="179" t="s">
        <v>536</v>
      </c>
      <c r="D65" s="182">
        <v>1.571955</v>
      </c>
      <c r="E65" s="43">
        <v>0.89671199999999995</v>
      </c>
      <c r="F65" s="43">
        <v>4.7470000000000004E-3</v>
      </c>
      <c r="G65" s="729">
        <v>0.461287</v>
      </c>
      <c r="H65" s="750">
        <v>0.99211499999999997</v>
      </c>
      <c r="I65" s="43">
        <v>0.703511</v>
      </c>
      <c r="J65" s="43">
        <v>0.31618800000000002</v>
      </c>
      <c r="K65" s="43">
        <v>0.49</v>
      </c>
      <c r="L65" s="729">
        <v>0.66813800000000001</v>
      </c>
      <c r="M65" s="750">
        <v>0.98283799999999999</v>
      </c>
      <c r="N65" s="45">
        <v>0.28307500000000002</v>
      </c>
      <c r="O65" s="43">
        <v>0</v>
      </c>
      <c r="P65" s="43">
        <v>0</v>
      </c>
      <c r="Q65" s="729">
        <v>0.99677700000000002</v>
      </c>
      <c r="R65" s="750">
        <v>0.99935799999999997</v>
      </c>
      <c r="S65" s="45">
        <v>0.92380399999999996</v>
      </c>
      <c r="T65" s="43">
        <v>0.32100400000000001</v>
      </c>
      <c r="U65" s="43">
        <v>0.50227500000000003</v>
      </c>
      <c r="V65" s="729">
        <v>0.457094</v>
      </c>
      <c r="W65" s="616">
        <v>0.99336800000000003</v>
      </c>
    </row>
    <row r="66" spans="2:23" x14ac:dyDescent="0.3">
      <c r="B66" s="380" t="s">
        <v>1359</v>
      </c>
      <c r="C66" s="179" t="s">
        <v>537</v>
      </c>
      <c r="D66" s="182">
        <v>0.31883299999999998</v>
      </c>
      <c r="E66" s="43">
        <v>0</v>
      </c>
      <c r="F66" s="43">
        <v>0</v>
      </c>
      <c r="G66" s="729">
        <v>0.41610599999999998</v>
      </c>
      <c r="H66" s="750">
        <v>0</v>
      </c>
      <c r="I66" s="43">
        <v>0.359572</v>
      </c>
      <c r="J66" s="43">
        <v>0</v>
      </c>
      <c r="K66" s="43">
        <v>0</v>
      </c>
      <c r="L66" s="729">
        <v>0</v>
      </c>
      <c r="M66" s="750">
        <v>0</v>
      </c>
      <c r="N66" s="45">
        <v>0.38294299999999998</v>
      </c>
      <c r="O66" s="43">
        <v>0.53161700000000001</v>
      </c>
      <c r="P66" s="43">
        <v>0.5</v>
      </c>
      <c r="Q66" s="729">
        <v>0</v>
      </c>
      <c r="R66" s="750">
        <v>0</v>
      </c>
      <c r="S66" s="45">
        <v>0.38324799999999998</v>
      </c>
      <c r="T66" s="43">
        <v>0.53074900000000003</v>
      </c>
      <c r="U66" s="43">
        <v>0.5</v>
      </c>
      <c r="V66" s="729">
        <v>0</v>
      </c>
      <c r="W66" s="616">
        <v>0</v>
      </c>
    </row>
    <row r="67" spans="2:23" x14ac:dyDescent="0.3">
      <c r="B67" s="380" t="s">
        <v>1360</v>
      </c>
      <c r="C67" s="179" t="s">
        <v>538</v>
      </c>
      <c r="D67" s="182">
        <v>0.38540099999999999</v>
      </c>
      <c r="E67" s="43">
        <v>0</v>
      </c>
      <c r="F67" s="43">
        <v>0</v>
      </c>
      <c r="G67" s="729">
        <v>7.8489000000000003E-2</v>
      </c>
      <c r="H67" s="750">
        <v>0</v>
      </c>
      <c r="I67" s="43">
        <v>0.41380899999999998</v>
      </c>
      <c r="J67" s="43">
        <v>0</v>
      </c>
      <c r="K67" s="43">
        <v>0</v>
      </c>
      <c r="L67" s="729">
        <v>0</v>
      </c>
      <c r="M67" s="750">
        <v>0</v>
      </c>
      <c r="N67" s="45">
        <v>0.117703</v>
      </c>
      <c r="O67" s="43">
        <v>0</v>
      </c>
      <c r="P67" s="43">
        <v>0</v>
      </c>
      <c r="Q67" s="729">
        <v>0.99837200000000004</v>
      </c>
      <c r="R67" s="750">
        <v>0</v>
      </c>
      <c r="S67" s="45">
        <v>0.13142100000000001</v>
      </c>
      <c r="T67" s="43">
        <v>0</v>
      </c>
      <c r="U67" s="43">
        <v>0</v>
      </c>
      <c r="V67" s="729">
        <v>0.99837200000000004</v>
      </c>
      <c r="W67" s="616">
        <v>0</v>
      </c>
    </row>
    <row r="68" spans="2:23" x14ac:dyDescent="0.3">
      <c r="B68" s="380" t="s">
        <v>1361</v>
      </c>
      <c r="C68" s="179" t="s">
        <v>539</v>
      </c>
      <c r="D68" s="182">
        <v>0.54249199999999997</v>
      </c>
      <c r="E68" s="43">
        <v>0.31497599999999998</v>
      </c>
      <c r="F68" s="43">
        <v>0.01</v>
      </c>
      <c r="G68" s="729">
        <v>0.19692399999999999</v>
      </c>
      <c r="H68" s="750">
        <v>0</v>
      </c>
      <c r="I68" s="43">
        <v>0.74237799999999998</v>
      </c>
      <c r="J68" s="43">
        <v>0</v>
      </c>
      <c r="K68" s="43">
        <v>0</v>
      </c>
      <c r="L68" s="729">
        <v>0</v>
      </c>
      <c r="M68" s="750">
        <v>0</v>
      </c>
      <c r="N68" s="45">
        <v>0.39523799999999998</v>
      </c>
      <c r="O68" s="43">
        <v>0</v>
      </c>
      <c r="P68" s="43">
        <v>0</v>
      </c>
      <c r="Q68" s="729">
        <v>0.98616499999999996</v>
      </c>
      <c r="R68" s="750">
        <v>0.34631600000000001</v>
      </c>
      <c r="S68" s="45">
        <v>0.44644200000000001</v>
      </c>
      <c r="T68" s="43">
        <v>0</v>
      </c>
      <c r="U68" s="43">
        <v>0</v>
      </c>
      <c r="V68" s="729">
        <v>0.98678399999999999</v>
      </c>
      <c r="W68" s="616">
        <v>5.1152999999999997E-2</v>
      </c>
    </row>
    <row r="69" spans="2:23" x14ac:dyDescent="0.3">
      <c r="B69" s="380" t="s">
        <v>1362</v>
      </c>
      <c r="C69" s="179" t="s">
        <v>540</v>
      </c>
      <c r="D69" s="182">
        <v>0.23005100000000001</v>
      </c>
      <c r="E69" s="43">
        <v>0</v>
      </c>
      <c r="F69" s="43">
        <v>0</v>
      </c>
      <c r="G69" s="729">
        <v>0.42640800000000001</v>
      </c>
      <c r="H69" s="750">
        <v>0</v>
      </c>
      <c r="I69" s="43">
        <v>0.25467899999999999</v>
      </c>
      <c r="J69" s="43">
        <v>0</v>
      </c>
      <c r="K69" s="43">
        <v>0</v>
      </c>
      <c r="L69" s="729">
        <v>0</v>
      </c>
      <c r="M69" s="750">
        <v>0</v>
      </c>
      <c r="N69" s="45">
        <v>0.29816399999999998</v>
      </c>
      <c r="O69" s="43">
        <v>0.51184700000000005</v>
      </c>
      <c r="P69" s="43">
        <v>0.5</v>
      </c>
      <c r="Q69" s="729">
        <v>0</v>
      </c>
      <c r="R69" s="750">
        <v>0</v>
      </c>
      <c r="S69" s="45">
        <v>0.29816399999999998</v>
      </c>
      <c r="T69" s="43">
        <v>0.51184700000000005</v>
      </c>
      <c r="U69" s="43">
        <v>0.5</v>
      </c>
      <c r="V69" s="729">
        <v>0</v>
      </c>
      <c r="W69" s="616">
        <v>0</v>
      </c>
    </row>
    <row r="70" spans="2:23" x14ac:dyDescent="0.3">
      <c r="B70" s="380" t="s">
        <v>1363</v>
      </c>
      <c r="C70" s="179" t="s">
        <v>541</v>
      </c>
      <c r="D70" s="182">
        <v>0.134487</v>
      </c>
      <c r="E70" s="43">
        <v>0</v>
      </c>
      <c r="F70" s="43">
        <v>0</v>
      </c>
      <c r="G70" s="729">
        <v>0.56112799999999996</v>
      </c>
      <c r="H70" s="750">
        <v>0</v>
      </c>
      <c r="I70" s="43">
        <v>0.16694200000000001</v>
      </c>
      <c r="J70" s="43">
        <v>0</v>
      </c>
      <c r="K70" s="43">
        <v>0</v>
      </c>
      <c r="L70" s="729">
        <v>0</v>
      </c>
      <c r="M70" s="750">
        <v>0</v>
      </c>
      <c r="N70" s="45">
        <v>0.21173900000000001</v>
      </c>
      <c r="O70" s="43">
        <v>0.53611500000000001</v>
      </c>
      <c r="P70" s="43">
        <v>0.5</v>
      </c>
      <c r="Q70" s="729">
        <v>0</v>
      </c>
      <c r="R70" s="750">
        <v>0</v>
      </c>
      <c r="S70" s="45">
        <v>0.21199799999999999</v>
      </c>
      <c r="T70" s="43">
        <v>0.53492200000000001</v>
      </c>
      <c r="U70" s="43">
        <v>0.5</v>
      </c>
      <c r="V70" s="729">
        <v>0</v>
      </c>
      <c r="W70" s="616">
        <v>0</v>
      </c>
    </row>
    <row r="71" spans="2:23" x14ac:dyDescent="0.3">
      <c r="B71" s="380" t="s">
        <v>1364</v>
      </c>
      <c r="C71" s="179" t="s">
        <v>542</v>
      </c>
      <c r="D71" s="182">
        <v>0.39625199999999999</v>
      </c>
      <c r="E71" s="43">
        <v>0</v>
      </c>
      <c r="F71" s="43">
        <v>0</v>
      </c>
      <c r="G71" s="729">
        <v>0.44364300000000001</v>
      </c>
      <c r="H71" s="750">
        <v>0</v>
      </c>
      <c r="I71" s="43">
        <v>0.51768999999999998</v>
      </c>
      <c r="J71" s="43">
        <v>0</v>
      </c>
      <c r="K71" s="43">
        <v>0</v>
      </c>
      <c r="L71" s="729">
        <v>0</v>
      </c>
      <c r="M71" s="750">
        <v>0</v>
      </c>
      <c r="N71" s="45">
        <v>0.36444900000000002</v>
      </c>
      <c r="O71" s="43">
        <v>0</v>
      </c>
      <c r="P71" s="43">
        <v>0</v>
      </c>
      <c r="Q71" s="729">
        <v>0.97457300000000002</v>
      </c>
      <c r="R71" s="750">
        <v>0</v>
      </c>
      <c r="S71" s="45">
        <v>0.40833199999999997</v>
      </c>
      <c r="T71" s="43">
        <v>0</v>
      </c>
      <c r="U71" s="43">
        <v>0</v>
      </c>
      <c r="V71" s="729">
        <v>0.97457300000000002</v>
      </c>
      <c r="W71" s="616">
        <v>0</v>
      </c>
    </row>
    <row r="72" spans="2:23" x14ac:dyDescent="0.3">
      <c r="B72" s="380" t="s">
        <v>1365</v>
      </c>
      <c r="C72" s="179" t="s">
        <v>543</v>
      </c>
      <c r="D72" s="182">
        <v>0.39210499999999998</v>
      </c>
      <c r="E72" s="43">
        <v>0</v>
      </c>
      <c r="F72" s="43">
        <v>0</v>
      </c>
      <c r="G72" s="729">
        <v>0.28467599999999998</v>
      </c>
      <c r="H72" s="750">
        <v>0</v>
      </c>
      <c r="I72" s="43">
        <v>0.48080499999999998</v>
      </c>
      <c r="J72" s="43">
        <v>0</v>
      </c>
      <c r="K72" s="43">
        <v>0</v>
      </c>
      <c r="L72" s="729">
        <v>0</v>
      </c>
      <c r="M72" s="750">
        <v>0</v>
      </c>
      <c r="N72" s="45">
        <v>0.284358</v>
      </c>
      <c r="O72" s="43">
        <v>0</v>
      </c>
      <c r="P72" s="43">
        <v>0</v>
      </c>
      <c r="Q72" s="729">
        <v>0.99241800000000002</v>
      </c>
      <c r="R72" s="750">
        <v>3.2000000000000002E-3</v>
      </c>
      <c r="S72" s="45">
        <v>0.32716299999999998</v>
      </c>
      <c r="T72" s="43">
        <v>0</v>
      </c>
      <c r="U72" s="43">
        <v>0</v>
      </c>
      <c r="V72" s="729">
        <v>0.99242399999999997</v>
      </c>
      <c r="W72" s="616">
        <v>6.9200000000000002E-4</v>
      </c>
    </row>
    <row r="73" spans="2:23" x14ac:dyDescent="0.3">
      <c r="B73" s="380" t="s">
        <v>1366</v>
      </c>
      <c r="C73" s="179" t="s">
        <v>544</v>
      </c>
      <c r="D73" s="182">
        <v>0.61274200000000001</v>
      </c>
      <c r="E73" s="43">
        <v>0</v>
      </c>
      <c r="F73" s="43">
        <v>0</v>
      </c>
      <c r="G73" s="729">
        <v>0.27759099999999998</v>
      </c>
      <c r="H73" s="750">
        <v>0</v>
      </c>
      <c r="I73" s="43">
        <v>0.710565</v>
      </c>
      <c r="J73" s="43">
        <v>0</v>
      </c>
      <c r="K73" s="43">
        <v>0</v>
      </c>
      <c r="L73" s="729">
        <v>0</v>
      </c>
      <c r="M73" s="750">
        <v>0</v>
      </c>
      <c r="N73" s="45">
        <v>0.55462199999999995</v>
      </c>
      <c r="O73" s="43">
        <v>0</v>
      </c>
      <c r="P73" s="43">
        <v>0</v>
      </c>
      <c r="Q73" s="729">
        <v>0.98349900000000001</v>
      </c>
      <c r="R73" s="750">
        <v>0</v>
      </c>
      <c r="S73" s="45">
        <v>0.62710900000000003</v>
      </c>
      <c r="T73" s="43">
        <v>0</v>
      </c>
      <c r="U73" s="43">
        <v>0</v>
      </c>
      <c r="V73" s="729">
        <v>0.98349900000000001</v>
      </c>
      <c r="W73" s="616">
        <v>0</v>
      </c>
    </row>
    <row r="74" spans="2:23" x14ac:dyDescent="0.3">
      <c r="B74" s="380" t="s">
        <v>1367</v>
      </c>
      <c r="C74" s="179" t="s">
        <v>545</v>
      </c>
      <c r="D74" s="182">
        <v>0.23589399999999999</v>
      </c>
      <c r="E74" s="43">
        <v>0</v>
      </c>
      <c r="F74" s="43">
        <v>0</v>
      </c>
      <c r="G74" s="729">
        <v>0.49102899999999999</v>
      </c>
      <c r="H74" s="750">
        <v>0</v>
      </c>
      <c r="I74" s="43">
        <v>0.27289799999999997</v>
      </c>
      <c r="J74" s="43">
        <v>0</v>
      </c>
      <c r="K74" s="43">
        <v>0</v>
      </c>
      <c r="L74" s="729">
        <v>0</v>
      </c>
      <c r="M74" s="750">
        <v>0</v>
      </c>
      <c r="N74" s="45">
        <v>0.40542699999999998</v>
      </c>
      <c r="O74" s="43">
        <v>0.54950600000000005</v>
      </c>
      <c r="P74" s="43">
        <v>0.48</v>
      </c>
      <c r="Q74" s="729">
        <v>0</v>
      </c>
      <c r="R74" s="750">
        <v>0</v>
      </c>
      <c r="S74" s="45">
        <v>0.40542699999999998</v>
      </c>
      <c r="T74" s="43">
        <v>0.54950600000000005</v>
      </c>
      <c r="U74" s="43">
        <v>0.48</v>
      </c>
      <c r="V74" s="729">
        <v>0</v>
      </c>
      <c r="W74" s="616">
        <v>0</v>
      </c>
    </row>
    <row r="75" spans="2:23" x14ac:dyDescent="0.3">
      <c r="B75" s="380" t="s">
        <v>1368</v>
      </c>
      <c r="C75" s="179" t="s">
        <v>546</v>
      </c>
      <c r="D75" s="182">
        <v>0.30331999999999998</v>
      </c>
      <c r="E75" s="43">
        <v>0.25889099999999998</v>
      </c>
      <c r="F75" s="43">
        <v>0</v>
      </c>
      <c r="G75" s="729">
        <v>0.111623</v>
      </c>
      <c r="H75" s="750">
        <v>0</v>
      </c>
      <c r="I75" s="43">
        <v>0.306058</v>
      </c>
      <c r="J75" s="43">
        <v>0</v>
      </c>
      <c r="K75" s="43">
        <v>0</v>
      </c>
      <c r="L75" s="729">
        <v>0</v>
      </c>
      <c r="M75" s="750">
        <v>0</v>
      </c>
      <c r="N75" s="45">
        <v>0.38415500000000002</v>
      </c>
      <c r="O75" s="43">
        <v>0.55517899999999998</v>
      </c>
      <c r="P75" s="43">
        <v>0.49</v>
      </c>
      <c r="Q75" s="729">
        <v>0</v>
      </c>
      <c r="R75" s="750">
        <v>0</v>
      </c>
      <c r="S75" s="45">
        <v>0.38415500000000002</v>
      </c>
      <c r="T75" s="43">
        <v>0.55517899999999998</v>
      </c>
      <c r="U75" s="43">
        <v>0.49</v>
      </c>
      <c r="V75" s="729">
        <v>0</v>
      </c>
      <c r="W75" s="616">
        <v>0</v>
      </c>
    </row>
    <row r="76" spans="2:23" x14ac:dyDescent="0.3">
      <c r="B76" s="380" t="s">
        <v>1369</v>
      </c>
      <c r="C76" s="179" t="s">
        <v>547</v>
      </c>
      <c r="D76" s="182">
        <v>0.35708400000000001</v>
      </c>
      <c r="E76" s="43">
        <v>1.1948780000000001</v>
      </c>
      <c r="F76" s="43">
        <v>0</v>
      </c>
      <c r="G76" s="729">
        <v>0.70354899999999998</v>
      </c>
      <c r="H76" s="750">
        <v>0.45890399999999998</v>
      </c>
      <c r="I76" s="43">
        <v>0.19221299999999999</v>
      </c>
      <c r="J76" s="43">
        <v>0.87814899999999996</v>
      </c>
      <c r="K76" s="43">
        <v>0.64</v>
      </c>
      <c r="L76" s="729">
        <v>0</v>
      </c>
      <c r="M76" s="750">
        <v>0</v>
      </c>
      <c r="N76" s="45">
        <v>0.359595</v>
      </c>
      <c r="O76" s="43">
        <v>0.51783699999999999</v>
      </c>
      <c r="P76" s="43">
        <v>0.56999999999999995</v>
      </c>
      <c r="Q76" s="729">
        <v>0</v>
      </c>
      <c r="R76" s="750">
        <v>0</v>
      </c>
      <c r="S76" s="45">
        <v>0.40648299999999998</v>
      </c>
      <c r="T76" s="43">
        <v>0.47182099999999999</v>
      </c>
      <c r="U76" s="43">
        <v>0.56000000000000005</v>
      </c>
      <c r="V76" s="729">
        <v>0</v>
      </c>
      <c r="W76" s="616">
        <v>0</v>
      </c>
    </row>
    <row r="77" spans="2:23" x14ac:dyDescent="0.3">
      <c r="B77" s="380" t="s">
        <v>1370</v>
      </c>
      <c r="C77" s="179" t="s">
        <v>548</v>
      </c>
      <c r="D77" s="182">
        <v>0.61663599999999996</v>
      </c>
      <c r="E77" s="43">
        <v>0</v>
      </c>
      <c r="F77" s="43">
        <v>0</v>
      </c>
      <c r="G77" s="729">
        <v>0.70305300000000004</v>
      </c>
      <c r="H77" s="750">
        <v>0</v>
      </c>
      <c r="I77" s="43">
        <v>1.0014460000000001</v>
      </c>
      <c r="J77" s="43">
        <v>0</v>
      </c>
      <c r="K77" s="43">
        <v>0</v>
      </c>
      <c r="L77" s="729">
        <v>0</v>
      </c>
      <c r="M77" s="750">
        <v>0</v>
      </c>
      <c r="N77" s="45">
        <v>0.57899299999999998</v>
      </c>
      <c r="O77" s="43">
        <v>0</v>
      </c>
      <c r="P77" s="43">
        <v>0</v>
      </c>
      <c r="Q77" s="729">
        <v>0.99356599999999995</v>
      </c>
      <c r="R77" s="750">
        <v>0</v>
      </c>
      <c r="S77" s="45">
        <v>0.68063700000000005</v>
      </c>
      <c r="T77" s="43">
        <v>0</v>
      </c>
      <c r="U77" s="43">
        <v>0</v>
      </c>
      <c r="V77" s="729">
        <v>0.99356599999999995</v>
      </c>
      <c r="W77" s="616">
        <v>0</v>
      </c>
    </row>
    <row r="78" spans="2:23" x14ac:dyDescent="0.3">
      <c r="B78" s="380" t="s">
        <v>1371</v>
      </c>
      <c r="C78" s="179" t="s">
        <v>549</v>
      </c>
      <c r="D78" s="182">
        <v>0.21985199999999999</v>
      </c>
      <c r="E78" s="43">
        <v>0</v>
      </c>
      <c r="F78" s="43">
        <v>0</v>
      </c>
      <c r="G78" s="729">
        <v>0.465416</v>
      </c>
      <c r="H78" s="750">
        <v>0</v>
      </c>
      <c r="I78" s="43">
        <v>0.26164599999999999</v>
      </c>
      <c r="J78" s="43">
        <v>0</v>
      </c>
      <c r="K78" s="43">
        <v>0</v>
      </c>
      <c r="L78" s="729">
        <v>0</v>
      </c>
      <c r="M78" s="750">
        <v>0</v>
      </c>
      <c r="N78" s="45">
        <v>0.29362199999999999</v>
      </c>
      <c r="O78" s="43">
        <v>0.51166800000000001</v>
      </c>
      <c r="P78" s="43">
        <v>0.5</v>
      </c>
      <c r="Q78" s="729">
        <v>0</v>
      </c>
      <c r="R78" s="750">
        <v>0</v>
      </c>
      <c r="S78" s="45">
        <v>0.29362199999999999</v>
      </c>
      <c r="T78" s="43">
        <v>0.51166800000000001</v>
      </c>
      <c r="U78" s="43">
        <v>0.5</v>
      </c>
      <c r="V78" s="729">
        <v>0</v>
      </c>
      <c r="W78" s="616">
        <v>0</v>
      </c>
    </row>
    <row r="79" spans="2:23" x14ac:dyDescent="0.3">
      <c r="B79" s="380" t="s">
        <v>1372</v>
      </c>
      <c r="C79" s="179" t="s">
        <v>550</v>
      </c>
      <c r="D79" s="182">
        <v>0.39367600000000003</v>
      </c>
      <c r="E79" s="43">
        <v>0</v>
      </c>
      <c r="F79" s="43">
        <v>0</v>
      </c>
      <c r="G79" s="729">
        <v>0.11955399999999999</v>
      </c>
      <c r="H79" s="750">
        <v>0</v>
      </c>
      <c r="I79" s="43">
        <v>0.43598100000000001</v>
      </c>
      <c r="J79" s="43">
        <v>0</v>
      </c>
      <c r="K79" s="43">
        <v>0</v>
      </c>
      <c r="L79" s="729">
        <v>0</v>
      </c>
      <c r="M79" s="750">
        <v>0</v>
      </c>
      <c r="N79" s="45">
        <v>0.30095300000000003</v>
      </c>
      <c r="O79" s="43">
        <v>0.516046</v>
      </c>
      <c r="P79" s="43">
        <v>0.61</v>
      </c>
      <c r="Q79" s="729">
        <v>0</v>
      </c>
      <c r="R79" s="750">
        <v>0</v>
      </c>
      <c r="S79" s="45">
        <v>0.30412099999999997</v>
      </c>
      <c r="T79" s="43">
        <v>0.51263099999999995</v>
      </c>
      <c r="U79" s="43">
        <v>0.61</v>
      </c>
      <c r="V79" s="729">
        <v>0</v>
      </c>
      <c r="W79" s="616">
        <v>0</v>
      </c>
    </row>
    <row r="80" spans="2:23" x14ac:dyDescent="0.3">
      <c r="B80" s="380" t="s">
        <v>1373</v>
      </c>
      <c r="C80" s="179" t="s">
        <v>551</v>
      </c>
      <c r="D80" s="182">
        <v>0.43856099999999998</v>
      </c>
      <c r="E80" s="43">
        <v>0</v>
      </c>
      <c r="F80" s="43">
        <v>0</v>
      </c>
      <c r="G80" s="729">
        <v>0.34320099999999998</v>
      </c>
      <c r="H80" s="750">
        <v>0</v>
      </c>
      <c r="I80" s="43">
        <v>0.53821200000000002</v>
      </c>
      <c r="J80" s="43">
        <v>0</v>
      </c>
      <c r="K80" s="43">
        <v>0</v>
      </c>
      <c r="L80" s="729">
        <v>0</v>
      </c>
      <c r="M80" s="750">
        <v>0</v>
      </c>
      <c r="N80" s="45">
        <v>0.43157200000000001</v>
      </c>
      <c r="O80" s="43">
        <v>0</v>
      </c>
      <c r="P80" s="43">
        <v>0</v>
      </c>
      <c r="Q80" s="729">
        <v>0.98347799999999996</v>
      </c>
      <c r="R80" s="750">
        <v>3.8408999999999999E-2</v>
      </c>
      <c r="S80" s="45">
        <v>0.47601100000000002</v>
      </c>
      <c r="T80" s="43">
        <v>0</v>
      </c>
      <c r="U80" s="43">
        <v>0</v>
      </c>
      <c r="V80" s="729">
        <v>0.99146599999999996</v>
      </c>
      <c r="W80" s="616">
        <v>4.1570000000000001E-3</v>
      </c>
    </row>
    <row r="81" spans="2:23" x14ac:dyDescent="0.3">
      <c r="B81" s="380" t="s">
        <v>1374</v>
      </c>
      <c r="C81" s="179" t="s">
        <v>552</v>
      </c>
      <c r="D81" s="182">
        <v>0.20610700000000001</v>
      </c>
      <c r="E81" s="43">
        <v>0</v>
      </c>
      <c r="F81" s="43">
        <v>0</v>
      </c>
      <c r="G81" s="729">
        <v>7.5916999999999998E-2</v>
      </c>
      <c r="H81" s="750">
        <v>0</v>
      </c>
      <c r="I81" s="43">
        <v>0.23346500000000001</v>
      </c>
      <c r="J81" s="43">
        <v>0</v>
      </c>
      <c r="K81" s="43">
        <v>0</v>
      </c>
      <c r="L81" s="729">
        <v>0</v>
      </c>
      <c r="M81" s="750">
        <v>0</v>
      </c>
      <c r="N81" s="45">
        <v>0.184308</v>
      </c>
      <c r="O81" s="43">
        <v>0</v>
      </c>
      <c r="P81" s="43">
        <v>0</v>
      </c>
      <c r="Q81" s="729">
        <v>0.99624500000000005</v>
      </c>
      <c r="R81" s="750">
        <v>0</v>
      </c>
      <c r="S81" s="45">
        <v>0.21034800000000001</v>
      </c>
      <c r="T81" s="43">
        <v>0</v>
      </c>
      <c r="U81" s="43">
        <v>0</v>
      </c>
      <c r="V81" s="729">
        <v>0.99624500000000005</v>
      </c>
      <c r="W81" s="616">
        <v>0</v>
      </c>
    </row>
    <row r="82" spans="2:23" x14ac:dyDescent="0.3">
      <c r="B82" s="380" t="s">
        <v>1375</v>
      </c>
      <c r="C82" s="179" t="s">
        <v>553</v>
      </c>
      <c r="D82" s="182">
        <v>8.8775999999999994E-2</v>
      </c>
      <c r="E82" s="43">
        <v>0</v>
      </c>
      <c r="F82" s="43">
        <v>0</v>
      </c>
      <c r="G82" s="729">
        <v>0.86431400000000003</v>
      </c>
      <c r="H82" s="750">
        <v>0</v>
      </c>
      <c r="I82" s="43">
        <v>8.924E-2</v>
      </c>
      <c r="J82" s="43">
        <v>0.50278599999999996</v>
      </c>
      <c r="K82" s="43">
        <v>0.17</v>
      </c>
      <c r="L82" s="729">
        <v>0</v>
      </c>
      <c r="M82" s="750">
        <v>0</v>
      </c>
      <c r="N82" s="45">
        <v>0.14516100000000001</v>
      </c>
      <c r="O82" s="43">
        <v>0.565419</v>
      </c>
      <c r="P82" s="43">
        <v>0.56000000000000005</v>
      </c>
      <c r="Q82" s="729">
        <v>0</v>
      </c>
      <c r="R82" s="750">
        <v>0</v>
      </c>
      <c r="S82" s="45">
        <v>0.14516100000000001</v>
      </c>
      <c r="T82" s="43">
        <v>0.565419</v>
      </c>
      <c r="U82" s="43">
        <v>0.56000000000000005</v>
      </c>
      <c r="V82" s="729">
        <v>0</v>
      </c>
      <c r="W82" s="616">
        <v>0</v>
      </c>
    </row>
    <row r="83" spans="2:23" x14ac:dyDescent="0.3">
      <c r="B83" s="380" t="s">
        <v>1376</v>
      </c>
      <c r="C83" s="179" t="s">
        <v>554</v>
      </c>
      <c r="D83" s="182">
        <v>0.50107000000000002</v>
      </c>
      <c r="E83" s="43">
        <v>0.40451500000000001</v>
      </c>
      <c r="F83" s="43">
        <v>0</v>
      </c>
      <c r="G83" s="729">
        <v>0.58692599999999995</v>
      </c>
      <c r="H83" s="750">
        <v>0</v>
      </c>
      <c r="I83" s="43">
        <v>0.77786299999999997</v>
      </c>
      <c r="J83" s="43">
        <v>0</v>
      </c>
      <c r="K83" s="43">
        <v>0</v>
      </c>
      <c r="L83" s="729">
        <v>0</v>
      </c>
      <c r="M83" s="750">
        <v>0</v>
      </c>
      <c r="N83" s="45">
        <v>0.35668699999999998</v>
      </c>
      <c r="O83" s="43">
        <v>0</v>
      </c>
      <c r="P83" s="43">
        <v>0</v>
      </c>
      <c r="Q83" s="729">
        <v>0.98490599999999995</v>
      </c>
      <c r="R83" s="750">
        <v>0</v>
      </c>
      <c r="S83" s="45">
        <v>0.38994400000000001</v>
      </c>
      <c r="T83" s="43">
        <v>0</v>
      </c>
      <c r="U83" s="43">
        <v>0</v>
      </c>
      <c r="V83" s="729">
        <v>0.98490599999999995</v>
      </c>
      <c r="W83" s="616">
        <v>0</v>
      </c>
    </row>
    <row r="84" spans="2:23" x14ac:dyDescent="0.3">
      <c r="B84" s="380" t="s">
        <v>1377</v>
      </c>
      <c r="C84" s="179" t="s">
        <v>555</v>
      </c>
      <c r="D84" s="182">
        <v>0.388436</v>
      </c>
      <c r="E84" s="43">
        <v>0</v>
      </c>
      <c r="F84" s="43">
        <v>0</v>
      </c>
      <c r="G84" s="729">
        <v>0.74295</v>
      </c>
      <c r="H84" s="750">
        <v>0.61764699999999995</v>
      </c>
      <c r="I84" s="43">
        <v>0.225911</v>
      </c>
      <c r="J84" s="43">
        <v>0.794983</v>
      </c>
      <c r="K84" s="43">
        <v>0.62</v>
      </c>
      <c r="L84" s="729">
        <v>0</v>
      </c>
      <c r="M84" s="750">
        <v>0</v>
      </c>
      <c r="N84" s="45">
        <v>0.39496199999999998</v>
      </c>
      <c r="O84" s="43">
        <v>0.50965800000000006</v>
      </c>
      <c r="P84" s="43">
        <v>0.56000000000000005</v>
      </c>
      <c r="Q84" s="729">
        <v>0</v>
      </c>
      <c r="R84" s="750">
        <v>0</v>
      </c>
      <c r="S84" s="45">
        <v>0.474831</v>
      </c>
      <c r="T84" s="43">
        <v>0.433029</v>
      </c>
      <c r="U84" s="43">
        <v>0.54</v>
      </c>
      <c r="V84" s="729">
        <v>0</v>
      </c>
      <c r="W84" s="616">
        <v>0</v>
      </c>
    </row>
    <row r="85" spans="2:23" x14ac:dyDescent="0.3">
      <c r="B85" s="380" t="s">
        <v>1378</v>
      </c>
      <c r="C85" s="179" t="s">
        <v>556</v>
      </c>
      <c r="D85" s="182">
        <v>0.30395699999999998</v>
      </c>
      <c r="E85" s="43">
        <v>0</v>
      </c>
      <c r="F85" s="43">
        <v>0</v>
      </c>
      <c r="G85" s="729">
        <v>0.44202200000000003</v>
      </c>
      <c r="H85" s="750">
        <v>0</v>
      </c>
      <c r="I85" s="43">
        <v>0.37245699999999998</v>
      </c>
      <c r="J85" s="43">
        <v>0</v>
      </c>
      <c r="K85" s="43">
        <v>0</v>
      </c>
      <c r="L85" s="729">
        <v>0</v>
      </c>
      <c r="M85" s="750">
        <v>0</v>
      </c>
      <c r="N85" s="45">
        <v>0.263739</v>
      </c>
      <c r="O85" s="43">
        <v>0</v>
      </c>
      <c r="P85" s="43">
        <v>0</v>
      </c>
      <c r="Q85" s="729">
        <v>0.99261999999999995</v>
      </c>
      <c r="R85" s="750">
        <v>0</v>
      </c>
      <c r="S85" s="45">
        <v>0.29246</v>
      </c>
      <c r="T85" s="43">
        <v>0</v>
      </c>
      <c r="U85" s="43">
        <v>0</v>
      </c>
      <c r="V85" s="729">
        <v>0.99261999999999995</v>
      </c>
      <c r="W85" s="616">
        <v>0</v>
      </c>
    </row>
    <row r="86" spans="2:23" x14ac:dyDescent="0.3">
      <c r="B86" s="380" t="s">
        <v>1379</v>
      </c>
      <c r="C86" s="179" t="s">
        <v>557</v>
      </c>
      <c r="D86" s="182">
        <v>0.56207399999999996</v>
      </c>
      <c r="E86" s="43">
        <v>0</v>
      </c>
      <c r="F86" s="43">
        <v>0</v>
      </c>
      <c r="G86" s="729">
        <v>0.40635399999999999</v>
      </c>
      <c r="H86" s="750">
        <v>0.16306499999999999</v>
      </c>
      <c r="I86" s="43">
        <v>0.97726100000000005</v>
      </c>
      <c r="J86" s="43">
        <v>0</v>
      </c>
      <c r="K86" s="43">
        <v>0</v>
      </c>
      <c r="L86" s="729">
        <v>0</v>
      </c>
      <c r="M86" s="750">
        <v>0</v>
      </c>
      <c r="N86" s="45">
        <v>0.415161</v>
      </c>
      <c r="O86" s="43">
        <v>0</v>
      </c>
      <c r="P86" s="43">
        <v>0</v>
      </c>
      <c r="Q86" s="729">
        <v>0.97796899999999998</v>
      </c>
      <c r="R86" s="750">
        <v>0.55565399999999998</v>
      </c>
      <c r="S86" s="45">
        <v>0.462843</v>
      </c>
      <c r="T86" s="43">
        <v>0</v>
      </c>
      <c r="U86" s="43">
        <v>0</v>
      </c>
      <c r="V86" s="729">
        <v>0.98209500000000005</v>
      </c>
      <c r="W86" s="616">
        <v>0.13569500000000001</v>
      </c>
    </row>
    <row r="87" spans="2:23" x14ac:dyDescent="0.3">
      <c r="B87" s="380" t="s">
        <v>1380</v>
      </c>
      <c r="C87" s="179" t="s">
        <v>558</v>
      </c>
      <c r="D87" s="182">
        <v>1.0305610000000001</v>
      </c>
      <c r="E87" s="43">
        <v>0.41059699999999999</v>
      </c>
      <c r="F87" s="43">
        <v>0.01</v>
      </c>
      <c r="G87" s="729">
        <v>0.45550400000000002</v>
      </c>
      <c r="H87" s="750">
        <v>0.71111100000000005</v>
      </c>
      <c r="I87" s="43">
        <v>0.73440399999999995</v>
      </c>
      <c r="J87" s="43">
        <v>0</v>
      </c>
      <c r="K87" s="43">
        <v>0</v>
      </c>
      <c r="L87" s="729">
        <v>0.77431000000000005</v>
      </c>
      <c r="M87" s="750">
        <v>0.269347</v>
      </c>
      <c r="N87" s="45">
        <v>0.41614499999999999</v>
      </c>
      <c r="O87" s="43">
        <v>0</v>
      </c>
      <c r="P87" s="43">
        <v>0</v>
      </c>
      <c r="Q87" s="729">
        <v>0.98343199999999997</v>
      </c>
      <c r="R87" s="750">
        <v>0.66605099999999995</v>
      </c>
      <c r="S87" s="45">
        <v>0.47609800000000002</v>
      </c>
      <c r="T87" s="43">
        <v>0</v>
      </c>
      <c r="U87" s="43">
        <v>0</v>
      </c>
      <c r="V87" s="729">
        <v>0.98661500000000002</v>
      </c>
      <c r="W87" s="616">
        <v>0.26659300000000002</v>
      </c>
    </row>
    <row r="88" spans="2:23" x14ac:dyDescent="0.3">
      <c r="B88" s="380" t="s">
        <v>1381</v>
      </c>
      <c r="C88" s="179" t="s">
        <v>559</v>
      </c>
      <c r="D88" s="182">
        <v>0.55662500000000004</v>
      </c>
      <c r="E88" s="43">
        <v>0</v>
      </c>
      <c r="F88" s="43">
        <v>0</v>
      </c>
      <c r="G88" s="729">
        <v>0.39711000000000002</v>
      </c>
      <c r="H88" s="750">
        <v>0</v>
      </c>
      <c r="I88" s="43">
        <v>0.63504000000000005</v>
      </c>
      <c r="J88" s="43">
        <v>0</v>
      </c>
      <c r="K88" s="43">
        <v>0</v>
      </c>
      <c r="L88" s="729">
        <v>0</v>
      </c>
      <c r="M88" s="750">
        <v>0</v>
      </c>
      <c r="N88" s="45">
        <v>0.588198</v>
      </c>
      <c r="O88" s="43">
        <v>0</v>
      </c>
      <c r="P88" s="43">
        <v>0</v>
      </c>
      <c r="Q88" s="729">
        <v>0.93385799999999997</v>
      </c>
      <c r="R88" s="750">
        <v>0</v>
      </c>
      <c r="S88" s="45">
        <v>0.62887300000000002</v>
      </c>
      <c r="T88" s="43">
        <v>0</v>
      </c>
      <c r="U88" s="43">
        <v>0</v>
      </c>
      <c r="V88" s="729">
        <v>0.93385799999999997</v>
      </c>
      <c r="W88" s="616">
        <v>0</v>
      </c>
    </row>
    <row r="89" spans="2:23" x14ac:dyDescent="0.3">
      <c r="B89" s="380" t="s">
        <v>1382</v>
      </c>
      <c r="C89" s="179" t="s">
        <v>560</v>
      </c>
      <c r="D89" s="182">
        <v>0.45960899999999999</v>
      </c>
      <c r="E89" s="43">
        <v>0</v>
      </c>
      <c r="F89" s="43">
        <v>0</v>
      </c>
      <c r="G89" s="729">
        <v>0.49752400000000002</v>
      </c>
      <c r="H89" s="750">
        <v>0</v>
      </c>
      <c r="I89" s="43">
        <v>0.66415800000000003</v>
      </c>
      <c r="J89" s="43">
        <v>0</v>
      </c>
      <c r="K89" s="43">
        <v>0</v>
      </c>
      <c r="L89" s="729">
        <v>0</v>
      </c>
      <c r="M89" s="750">
        <v>0</v>
      </c>
      <c r="N89" s="45">
        <v>0.34193699999999999</v>
      </c>
      <c r="O89" s="43">
        <v>0</v>
      </c>
      <c r="P89" s="43">
        <v>0</v>
      </c>
      <c r="Q89" s="729">
        <v>0.98133199999999998</v>
      </c>
      <c r="R89" s="750">
        <v>0</v>
      </c>
      <c r="S89" s="45">
        <v>0.38304100000000002</v>
      </c>
      <c r="T89" s="43">
        <v>0</v>
      </c>
      <c r="U89" s="43">
        <v>0</v>
      </c>
      <c r="V89" s="729">
        <v>0.98133199999999998</v>
      </c>
      <c r="W89" s="616">
        <v>0</v>
      </c>
    </row>
    <row r="90" spans="2:23" x14ac:dyDescent="0.3">
      <c r="B90" s="380" t="s">
        <v>1383</v>
      </c>
      <c r="C90" s="179" t="s">
        <v>561</v>
      </c>
      <c r="D90" s="182">
        <v>0.55142000000000002</v>
      </c>
      <c r="E90" s="43">
        <v>0.45910299999999998</v>
      </c>
      <c r="F90" s="43">
        <v>1.2486000000000001E-2</v>
      </c>
      <c r="G90" s="729">
        <v>0.82497500000000001</v>
      </c>
      <c r="H90" s="750">
        <v>1</v>
      </c>
      <c r="I90" s="43">
        <v>0.238564</v>
      </c>
      <c r="J90" s="43">
        <v>0</v>
      </c>
      <c r="K90" s="43">
        <v>0</v>
      </c>
      <c r="L90" s="729">
        <v>0.99948999999999999</v>
      </c>
      <c r="M90" s="750">
        <v>1</v>
      </c>
      <c r="N90" s="45">
        <v>0.197407</v>
      </c>
      <c r="O90" s="43">
        <v>0</v>
      </c>
      <c r="P90" s="43">
        <v>0</v>
      </c>
      <c r="Q90" s="729">
        <v>0.99923499999999998</v>
      </c>
      <c r="R90" s="750">
        <v>1</v>
      </c>
      <c r="S90" s="45">
        <v>0.32732600000000001</v>
      </c>
      <c r="T90" s="43">
        <v>0</v>
      </c>
      <c r="U90" s="43">
        <v>0</v>
      </c>
      <c r="V90" s="729">
        <v>0.99948999999999999</v>
      </c>
      <c r="W90" s="616">
        <v>1</v>
      </c>
    </row>
    <row r="91" spans="2:23" x14ac:dyDescent="0.3">
      <c r="B91" s="380" t="s">
        <v>1384</v>
      </c>
      <c r="C91" s="179" t="s">
        <v>562</v>
      </c>
      <c r="D91" s="182">
        <v>0.55509900000000001</v>
      </c>
      <c r="E91" s="43">
        <v>0.41038200000000002</v>
      </c>
      <c r="F91" s="43">
        <v>0</v>
      </c>
      <c r="G91" s="729">
        <v>0.185027</v>
      </c>
      <c r="H91" s="750">
        <v>0.12820500000000001</v>
      </c>
      <c r="I91" s="43">
        <v>0.95307399999999998</v>
      </c>
      <c r="J91" s="43">
        <v>0</v>
      </c>
      <c r="K91" s="43">
        <v>0</v>
      </c>
      <c r="L91" s="729">
        <v>0</v>
      </c>
      <c r="M91" s="750">
        <v>0</v>
      </c>
      <c r="N91" s="45">
        <v>0.34026800000000001</v>
      </c>
      <c r="O91" s="43">
        <v>0</v>
      </c>
      <c r="P91" s="43">
        <v>0</v>
      </c>
      <c r="Q91" s="729">
        <v>0.99371600000000004</v>
      </c>
      <c r="R91" s="750">
        <v>0.644617</v>
      </c>
      <c r="S91" s="45">
        <v>0.40704800000000002</v>
      </c>
      <c r="T91" s="43">
        <v>0</v>
      </c>
      <c r="U91" s="43">
        <v>0</v>
      </c>
      <c r="V91" s="729">
        <v>0.99589700000000003</v>
      </c>
      <c r="W91" s="616">
        <v>0.161553</v>
      </c>
    </row>
    <row r="92" spans="2:23" x14ac:dyDescent="0.3">
      <c r="B92" s="380" t="s">
        <v>1385</v>
      </c>
      <c r="C92" s="179" t="s">
        <v>563</v>
      </c>
      <c r="D92" s="182">
        <v>0.55174599999999996</v>
      </c>
      <c r="E92" s="43">
        <v>0.50575899999999996</v>
      </c>
      <c r="F92" s="43">
        <v>0</v>
      </c>
      <c r="G92" s="729">
        <v>0.26812200000000003</v>
      </c>
      <c r="H92" s="750">
        <v>0.89</v>
      </c>
      <c r="I92" s="43">
        <v>0.23930699999999999</v>
      </c>
      <c r="J92" s="43">
        <v>0</v>
      </c>
      <c r="K92" s="43">
        <v>0</v>
      </c>
      <c r="L92" s="729">
        <v>0.99964500000000001</v>
      </c>
      <c r="M92" s="750">
        <v>0.35566700000000001</v>
      </c>
      <c r="N92" s="45">
        <v>0.237734</v>
      </c>
      <c r="O92" s="43">
        <v>0</v>
      </c>
      <c r="P92" s="43">
        <v>0</v>
      </c>
      <c r="Q92" s="729">
        <v>0.99966900000000003</v>
      </c>
      <c r="R92" s="750">
        <v>0.97849299999999995</v>
      </c>
      <c r="S92" s="45">
        <v>0.357491</v>
      </c>
      <c r="T92" s="43">
        <v>0</v>
      </c>
      <c r="U92" s="43">
        <v>0</v>
      </c>
      <c r="V92" s="729">
        <v>0.99685000000000001</v>
      </c>
      <c r="W92" s="616">
        <v>0.80263399999999996</v>
      </c>
    </row>
    <row r="93" spans="2:23" x14ac:dyDescent="0.3">
      <c r="B93" s="380" t="s">
        <v>1386</v>
      </c>
      <c r="C93" s="179" t="s">
        <v>564</v>
      </c>
      <c r="D93" s="182">
        <v>1.5274970000000001</v>
      </c>
      <c r="E93" s="43">
        <v>0.73369799999999996</v>
      </c>
      <c r="F93" s="43">
        <v>4.875E-3</v>
      </c>
      <c r="G93" s="729">
        <v>0.50921700000000003</v>
      </c>
      <c r="H93" s="750">
        <v>1</v>
      </c>
      <c r="I93" s="43">
        <v>0.464783</v>
      </c>
      <c r="J93" s="43">
        <v>0</v>
      </c>
      <c r="K93" s="43">
        <v>0</v>
      </c>
      <c r="L93" s="729">
        <v>0.99973400000000001</v>
      </c>
      <c r="M93" s="750">
        <v>1</v>
      </c>
      <c r="N93" s="45">
        <v>0.39523000000000003</v>
      </c>
      <c r="O93" s="43">
        <v>0</v>
      </c>
      <c r="P93" s="43">
        <v>0</v>
      </c>
      <c r="Q93" s="729">
        <v>0.998282</v>
      </c>
      <c r="R93" s="750">
        <v>1</v>
      </c>
      <c r="S93" s="45">
        <v>0.65488400000000002</v>
      </c>
      <c r="T93" s="43">
        <v>0</v>
      </c>
      <c r="U93" s="43">
        <v>0</v>
      </c>
      <c r="V93" s="729">
        <v>0.99973400000000001</v>
      </c>
      <c r="W93" s="616">
        <v>1</v>
      </c>
    </row>
    <row r="94" spans="2:23" x14ac:dyDescent="0.3">
      <c r="B94" s="380" t="s">
        <v>1387</v>
      </c>
      <c r="C94" s="179" t="s">
        <v>565</v>
      </c>
      <c r="D94" s="182">
        <v>1.5220610000000001</v>
      </c>
      <c r="E94" s="43">
        <v>0.63734999999999997</v>
      </c>
      <c r="F94" s="43">
        <v>0</v>
      </c>
      <c r="G94" s="729">
        <v>0.51250200000000001</v>
      </c>
      <c r="H94" s="750">
        <v>0.99309199999999997</v>
      </c>
      <c r="I94" s="43">
        <v>0.42016700000000001</v>
      </c>
      <c r="J94" s="43">
        <v>0</v>
      </c>
      <c r="K94" s="43">
        <v>0</v>
      </c>
      <c r="L94" s="729">
        <v>0.99924400000000002</v>
      </c>
      <c r="M94" s="750">
        <v>0.97540099999999996</v>
      </c>
      <c r="N94" s="45">
        <v>0.358823</v>
      </c>
      <c r="O94" s="43">
        <v>0</v>
      </c>
      <c r="P94" s="43">
        <v>0</v>
      </c>
      <c r="Q94" s="729">
        <v>0.99960599999999999</v>
      </c>
      <c r="R94" s="750">
        <v>0.99951299999999998</v>
      </c>
      <c r="S94" s="45">
        <v>0.58237399999999995</v>
      </c>
      <c r="T94" s="43">
        <v>0</v>
      </c>
      <c r="U94" s="43">
        <v>0</v>
      </c>
      <c r="V94" s="729">
        <v>1</v>
      </c>
      <c r="W94" s="616">
        <v>0.99319199999999996</v>
      </c>
    </row>
    <row r="95" spans="2:23" x14ac:dyDescent="0.3">
      <c r="B95" s="380" t="s">
        <v>1388</v>
      </c>
      <c r="C95" s="179" t="s">
        <v>566</v>
      </c>
      <c r="D95" s="182">
        <v>1.1643399999999999</v>
      </c>
      <c r="E95" s="43">
        <v>0.37738899999999997</v>
      </c>
      <c r="F95" s="43">
        <v>0</v>
      </c>
      <c r="G95" s="729">
        <v>0.279974</v>
      </c>
      <c r="H95" s="750">
        <v>1</v>
      </c>
      <c r="I95" s="43">
        <v>0.51668199999999997</v>
      </c>
      <c r="J95" s="43">
        <v>0.35053000000000001</v>
      </c>
      <c r="K95" s="43">
        <v>0.5</v>
      </c>
      <c r="L95" s="729">
        <v>0.59021900000000005</v>
      </c>
      <c r="M95" s="750">
        <v>1</v>
      </c>
      <c r="N95" s="45">
        <v>0.24787600000000001</v>
      </c>
      <c r="O95" s="43">
        <v>0</v>
      </c>
      <c r="P95" s="43">
        <v>0</v>
      </c>
      <c r="Q95" s="729">
        <v>0.99914800000000004</v>
      </c>
      <c r="R95" s="750">
        <v>0.998081</v>
      </c>
      <c r="S95" s="45">
        <v>0.61755700000000002</v>
      </c>
      <c r="T95" s="43">
        <v>0.347692</v>
      </c>
      <c r="U95" s="43">
        <v>0.5</v>
      </c>
      <c r="V95" s="729">
        <v>0.58302100000000001</v>
      </c>
      <c r="W95" s="616">
        <v>1</v>
      </c>
    </row>
    <row r="96" spans="2:23" x14ac:dyDescent="0.3">
      <c r="B96" s="380" t="s">
        <v>1389</v>
      </c>
      <c r="C96" s="179" t="s">
        <v>567</v>
      </c>
      <c r="D96" s="182">
        <v>1.9839169999999999</v>
      </c>
      <c r="E96" s="43">
        <v>0.42642200000000002</v>
      </c>
      <c r="F96" s="43">
        <v>1.879E-3</v>
      </c>
      <c r="G96" s="729">
        <v>0.68735900000000005</v>
      </c>
      <c r="H96" s="750">
        <v>1</v>
      </c>
      <c r="I96" s="43">
        <v>0.59997900000000004</v>
      </c>
      <c r="J96" s="43">
        <v>0</v>
      </c>
      <c r="K96" s="43">
        <v>0</v>
      </c>
      <c r="L96" s="729">
        <v>1</v>
      </c>
      <c r="M96" s="750">
        <v>1</v>
      </c>
      <c r="N96" s="45">
        <v>0.50863000000000003</v>
      </c>
      <c r="O96" s="43">
        <v>0</v>
      </c>
      <c r="P96" s="43">
        <v>0</v>
      </c>
      <c r="Q96" s="729">
        <v>0.99997000000000003</v>
      </c>
      <c r="R96" s="750">
        <v>1</v>
      </c>
      <c r="S96" s="45">
        <v>0.84230499999999997</v>
      </c>
      <c r="T96" s="43">
        <v>0</v>
      </c>
      <c r="U96" s="43">
        <v>0</v>
      </c>
      <c r="V96" s="729">
        <v>1</v>
      </c>
      <c r="W96" s="616">
        <v>1</v>
      </c>
    </row>
    <row r="97" spans="2:23" x14ac:dyDescent="0.3">
      <c r="B97" s="380" t="s">
        <v>1390</v>
      </c>
      <c r="C97" s="179" t="s">
        <v>568</v>
      </c>
      <c r="D97" s="182">
        <v>1.653246</v>
      </c>
      <c r="E97" s="43">
        <v>0.44521300000000003</v>
      </c>
      <c r="F97" s="43">
        <v>1.0732999999999999E-2</v>
      </c>
      <c r="G97" s="729">
        <v>0.62279099999999998</v>
      </c>
      <c r="H97" s="750">
        <v>1</v>
      </c>
      <c r="I97" s="43">
        <v>0.50098299999999996</v>
      </c>
      <c r="J97" s="43">
        <v>0</v>
      </c>
      <c r="K97" s="43">
        <v>0</v>
      </c>
      <c r="L97" s="729">
        <v>0.99993100000000001</v>
      </c>
      <c r="M97" s="750">
        <v>1</v>
      </c>
      <c r="N97" s="45">
        <v>0.42131999999999997</v>
      </c>
      <c r="O97" s="43">
        <v>0</v>
      </c>
      <c r="P97" s="43">
        <v>0</v>
      </c>
      <c r="Q97" s="729">
        <v>0.99990299999999999</v>
      </c>
      <c r="R97" s="750">
        <v>1</v>
      </c>
      <c r="S97" s="45">
        <v>0.69986999999999999</v>
      </c>
      <c r="T97" s="43">
        <v>0</v>
      </c>
      <c r="U97" s="43">
        <v>0</v>
      </c>
      <c r="V97" s="729">
        <v>0.99993100000000001</v>
      </c>
      <c r="W97" s="616">
        <v>1</v>
      </c>
    </row>
    <row r="98" spans="2:23" x14ac:dyDescent="0.3">
      <c r="B98" s="380" t="s">
        <v>1391</v>
      </c>
      <c r="C98" s="179" t="s">
        <v>569</v>
      </c>
      <c r="D98" s="182">
        <v>1.5440050000000001</v>
      </c>
      <c r="E98" s="43">
        <v>0.59879499999999997</v>
      </c>
      <c r="F98" s="43">
        <v>0</v>
      </c>
      <c r="G98" s="729">
        <v>0.178868</v>
      </c>
      <c r="H98" s="750">
        <v>0.86310100000000001</v>
      </c>
      <c r="I98" s="43">
        <v>0.56029799999999996</v>
      </c>
      <c r="J98" s="43">
        <v>0</v>
      </c>
      <c r="K98" s="43">
        <v>0</v>
      </c>
      <c r="L98" s="729">
        <v>0.99548499999999995</v>
      </c>
      <c r="M98" s="750">
        <v>0.235651</v>
      </c>
      <c r="N98" s="45">
        <v>0.58155599999999996</v>
      </c>
      <c r="O98" s="43">
        <v>0</v>
      </c>
      <c r="P98" s="43">
        <v>0</v>
      </c>
      <c r="Q98" s="729">
        <v>0.980352</v>
      </c>
      <c r="R98" s="750">
        <v>0.95749600000000001</v>
      </c>
      <c r="S98" s="45">
        <v>1.0380910000000001</v>
      </c>
      <c r="T98" s="43">
        <v>0.33667399999999997</v>
      </c>
      <c r="U98" s="43">
        <v>0.49</v>
      </c>
      <c r="V98" s="729">
        <v>0.70644499999999999</v>
      </c>
      <c r="W98" s="616">
        <v>0.63231700000000002</v>
      </c>
    </row>
    <row r="99" spans="2:23" x14ac:dyDescent="0.3">
      <c r="B99" s="380" t="s">
        <v>1392</v>
      </c>
      <c r="C99" s="179" t="s">
        <v>570</v>
      </c>
      <c r="D99" s="182">
        <v>3.055707</v>
      </c>
      <c r="E99" s="43">
        <v>0.550732</v>
      </c>
      <c r="F99" s="43">
        <v>5.9249999999999997E-3</v>
      </c>
      <c r="G99" s="729">
        <v>0.384654</v>
      </c>
      <c r="H99" s="750">
        <v>1</v>
      </c>
      <c r="I99" s="43">
        <v>0.775953</v>
      </c>
      <c r="J99" s="43">
        <v>0</v>
      </c>
      <c r="K99" s="43">
        <v>0</v>
      </c>
      <c r="L99" s="729">
        <v>0.99995000000000001</v>
      </c>
      <c r="M99" s="750">
        <v>1</v>
      </c>
      <c r="N99" s="45">
        <v>0.647034</v>
      </c>
      <c r="O99" s="43">
        <v>0</v>
      </c>
      <c r="P99" s="43">
        <v>0</v>
      </c>
      <c r="Q99" s="729">
        <v>0.99959600000000004</v>
      </c>
      <c r="R99" s="750">
        <v>1</v>
      </c>
      <c r="S99" s="45">
        <v>1.0671900000000001</v>
      </c>
      <c r="T99" s="43">
        <v>0</v>
      </c>
      <c r="U99" s="43">
        <v>0</v>
      </c>
      <c r="V99" s="729">
        <v>0.99995000000000001</v>
      </c>
      <c r="W99" s="616">
        <v>1</v>
      </c>
    </row>
    <row r="100" spans="2:23" x14ac:dyDescent="0.3">
      <c r="B100" s="380" t="s">
        <v>1393</v>
      </c>
      <c r="C100" s="179" t="s">
        <v>571</v>
      </c>
      <c r="D100" s="182">
        <v>0.74333000000000005</v>
      </c>
      <c r="E100" s="43">
        <v>0.51900000000000002</v>
      </c>
      <c r="F100" s="43">
        <v>1.1511E-2</v>
      </c>
      <c r="G100" s="729">
        <v>0.77851899999999996</v>
      </c>
      <c r="H100" s="750">
        <v>1</v>
      </c>
      <c r="I100" s="43">
        <v>0.27860499999999999</v>
      </c>
      <c r="J100" s="43">
        <v>0</v>
      </c>
      <c r="K100" s="43">
        <v>0</v>
      </c>
      <c r="L100" s="729">
        <v>1</v>
      </c>
      <c r="M100" s="750">
        <v>1</v>
      </c>
      <c r="N100" s="45">
        <v>0.214</v>
      </c>
      <c r="O100" s="43">
        <v>0</v>
      </c>
      <c r="P100" s="43">
        <v>0</v>
      </c>
      <c r="Q100" s="729">
        <v>0.99998799999999999</v>
      </c>
      <c r="R100" s="750">
        <v>1</v>
      </c>
      <c r="S100" s="45">
        <v>0.36833300000000002</v>
      </c>
      <c r="T100" s="43">
        <v>0</v>
      </c>
      <c r="U100" s="43">
        <v>0</v>
      </c>
      <c r="V100" s="729">
        <v>1</v>
      </c>
      <c r="W100" s="616">
        <v>1</v>
      </c>
    </row>
    <row r="101" spans="2:23" x14ac:dyDescent="0.3">
      <c r="B101" s="380" t="s">
        <v>1394</v>
      </c>
      <c r="C101" s="179" t="s">
        <v>572</v>
      </c>
      <c r="D101" s="182">
        <v>0.84402299999999997</v>
      </c>
      <c r="E101" s="43">
        <v>0.60652200000000001</v>
      </c>
      <c r="F101" s="43">
        <v>0</v>
      </c>
      <c r="G101" s="729">
        <v>0.75541800000000003</v>
      </c>
      <c r="H101" s="750">
        <v>1</v>
      </c>
      <c r="I101" s="43">
        <v>0.31190800000000002</v>
      </c>
      <c r="J101" s="43">
        <v>0</v>
      </c>
      <c r="K101" s="43">
        <v>0</v>
      </c>
      <c r="L101" s="729">
        <v>1</v>
      </c>
      <c r="M101" s="750">
        <v>1</v>
      </c>
      <c r="N101" s="45">
        <v>0.24453900000000001</v>
      </c>
      <c r="O101" s="43">
        <v>0</v>
      </c>
      <c r="P101" s="43">
        <v>0</v>
      </c>
      <c r="Q101" s="729">
        <v>0.99993399999999999</v>
      </c>
      <c r="R101" s="750">
        <v>1</v>
      </c>
      <c r="S101" s="45">
        <v>0.42148400000000003</v>
      </c>
      <c r="T101" s="43">
        <v>0</v>
      </c>
      <c r="U101" s="43">
        <v>0</v>
      </c>
      <c r="V101" s="729">
        <v>1</v>
      </c>
      <c r="W101" s="616">
        <v>1</v>
      </c>
    </row>
    <row r="102" spans="2:23" x14ac:dyDescent="0.3">
      <c r="B102" s="380" t="s">
        <v>1395</v>
      </c>
      <c r="C102" s="179" t="s">
        <v>573</v>
      </c>
      <c r="D102" s="182">
        <v>0.96923499999999996</v>
      </c>
      <c r="E102" s="43">
        <v>0.82682199999999995</v>
      </c>
      <c r="F102" s="43">
        <v>2.1294E-2</v>
      </c>
      <c r="G102" s="729">
        <v>0.73294400000000004</v>
      </c>
      <c r="H102" s="750">
        <v>1</v>
      </c>
      <c r="I102" s="43">
        <v>0.36424299999999998</v>
      </c>
      <c r="J102" s="43">
        <v>0</v>
      </c>
      <c r="K102" s="43">
        <v>0</v>
      </c>
      <c r="L102" s="729">
        <v>0.99991600000000003</v>
      </c>
      <c r="M102" s="750">
        <v>1</v>
      </c>
      <c r="N102" s="45">
        <v>0.29402200000000001</v>
      </c>
      <c r="O102" s="43">
        <v>0</v>
      </c>
      <c r="P102" s="43">
        <v>0</v>
      </c>
      <c r="Q102" s="729">
        <v>0.99984799999999996</v>
      </c>
      <c r="R102" s="750">
        <v>1</v>
      </c>
      <c r="S102" s="45">
        <v>0.496226</v>
      </c>
      <c r="T102" s="43">
        <v>0</v>
      </c>
      <c r="U102" s="43">
        <v>0</v>
      </c>
      <c r="V102" s="729">
        <v>0.99991600000000003</v>
      </c>
      <c r="W102" s="616">
        <v>1</v>
      </c>
    </row>
    <row r="103" spans="2:23" x14ac:dyDescent="0.3">
      <c r="B103" s="380" t="s">
        <v>1396</v>
      </c>
      <c r="C103" s="179" t="s">
        <v>574</v>
      </c>
      <c r="D103" s="182">
        <v>0.59673100000000001</v>
      </c>
      <c r="E103" s="43">
        <v>0.44945499999999999</v>
      </c>
      <c r="F103" s="43">
        <v>2.1679999999999998E-3</v>
      </c>
      <c r="G103" s="729">
        <v>0.85607699999999998</v>
      </c>
      <c r="H103" s="750">
        <v>1</v>
      </c>
      <c r="I103" s="43">
        <v>0.27567700000000001</v>
      </c>
      <c r="J103" s="43">
        <v>0</v>
      </c>
      <c r="K103" s="43">
        <v>0</v>
      </c>
      <c r="L103" s="729">
        <v>1</v>
      </c>
      <c r="M103" s="750">
        <v>1</v>
      </c>
      <c r="N103" s="45">
        <v>0.201235</v>
      </c>
      <c r="O103" s="43">
        <v>0</v>
      </c>
      <c r="P103" s="43">
        <v>0</v>
      </c>
      <c r="Q103" s="729">
        <v>0.99999899999999997</v>
      </c>
      <c r="R103" s="750">
        <v>1</v>
      </c>
      <c r="S103" s="45">
        <v>0.35202800000000001</v>
      </c>
      <c r="T103" s="43">
        <v>0</v>
      </c>
      <c r="U103" s="43">
        <v>0</v>
      </c>
      <c r="V103" s="729">
        <v>1</v>
      </c>
      <c r="W103" s="616">
        <v>1</v>
      </c>
    </row>
    <row r="104" spans="2:23" x14ac:dyDescent="0.3">
      <c r="B104" s="380" t="s">
        <v>1397</v>
      </c>
      <c r="C104" s="179" t="s">
        <v>575</v>
      </c>
      <c r="D104" s="182">
        <v>0.46408100000000002</v>
      </c>
      <c r="E104" s="43">
        <v>0.63723399999999997</v>
      </c>
      <c r="F104" s="43">
        <v>1.3734E-2</v>
      </c>
      <c r="G104" s="729">
        <v>0.91973800000000006</v>
      </c>
      <c r="H104" s="750">
        <v>1</v>
      </c>
      <c r="I104" s="43">
        <v>0.26516800000000001</v>
      </c>
      <c r="J104" s="43">
        <v>0</v>
      </c>
      <c r="K104" s="43">
        <v>0</v>
      </c>
      <c r="L104" s="729">
        <v>1</v>
      </c>
      <c r="M104" s="750">
        <v>1</v>
      </c>
      <c r="N104" s="45">
        <v>0.19902700000000001</v>
      </c>
      <c r="O104" s="43">
        <v>0</v>
      </c>
      <c r="P104" s="43">
        <v>0</v>
      </c>
      <c r="Q104" s="729">
        <v>1</v>
      </c>
      <c r="R104" s="750">
        <v>1</v>
      </c>
      <c r="S104" s="45">
        <v>0.34020400000000001</v>
      </c>
      <c r="T104" s="43">
        <v>0</v>
      </c>
      <c r="U104" s="43">
        <v>0</v>
      </c>
      <c r="V104" s="729">
        <v>1</v>
      </c>
      <c r="W104" s="616">
        <v>1</v>
      </c>
    </row>
    <row r="105" spans="2:23" x14ac:dyDescent="0.3">
      <c r="B105" s="380" t="s">
        <v>1398</v>
      </c>
      <c r="C105" s="179" t="s">
        <v>576</v>
      </c>
      <c r="D105" s="182">
        <v>1.0085390000000001</v>
      </c>
      <c r="E105" s="43">
        <v>0.38431199999999999</v>
      </c>
      <c r="F105" s="43">
        <v>4.3229999999999996E-3</v>
      </c>
      <c r="G105" s="729">
        <v>0.66127499999999995</v>
      </c>
      <c r="H105" s="750">
        <v>1</v>
      </c>
      <c r="I105" s="43">
        <v>0.27140199999999998</v>
      </c>
      <c r="J105" s="43">
        <v>0</v>
      </c>
      <c r="K105" s="43">
        <v>0</v>
      </c>
      <c r="L105" s="729">
        <v>0.99989600000000001</v>
      </c>
      <c r="M105" s="750">
        <v>1</v>
      </c>
      <c r="N105" s="45">
        <v>0.191501</v>
      </c>
      <c r="O105" s="43">
        <v>0</v>
      </c>
      <c r="P105" s="43">
        <v>0</v>
      </c>
      <c r="Q105" s="729">
        <v>0.99998699999999996</v>
      </c>
      <c r="R105" s="750">
        <v>1</v>
      </c>
      <c r="S105" s="45">
        <v>0.33748299999999998</v>
      </c>
      <c r="T105" s="43">
        <v>0</v>
      </c>
      <c r="U105" s="43">
        <v>0</v>
      </c>
      <c r="V105" s="729">
        <v>0.99989600000000001</v>
      </c>
      <c r="W105" s="616">
        <v>1</v>
      </c>
    </row>
    <row r="106" spans="2:23" x14ac:dyDescent="0.3">
      <c r="B106" s="380" t="s">
        <v>1399</v>
      </c>
      <c r="C106" s="179" t="s">
        <v>577</v>
      </c>
      <c r="D106" s="182">
        <v>0.92341899999999999</v>
      </c>
      <c r="E106" s="43">
        <v>0.453932</v>
      </c>
      <c r="F106" s="43">
        <v>1.2409E-2</v>
      </c>
      <c r="G106" s="729">
        <v>0.87203699999999995</v>
      </c>
      <c r="H106" s="750">
        <v>1</v>
      </c>
      <c r="I106" s="43">
        <v>0.39955200000000002</v>
      </c>
      <c r="J106" s="43">
        <v>0</v>
      </c>
      <c r="K106" s="43">
        <v>0</v>
      </c>
      <c r="L106" s="729">
        <v>1</v>
      </c>
      <c r="M106" s="750">
        <v>1</v>
      </c>
      <c r="N106" s="45">
        <v>0.29612899999999998</v>
      </c>
      <c r="O106" s="43">
        <v>0</v>
      </c>
      <c r="P106" s="43">
        <v>0</v>
      </c>
      <c r="Q106" s="729">
        <v>0.99999700000000002</v>
      </c>
      <c r="R106" s="750">
        <v>1</v>
      </c>
      <c r="S106" s="45">
        <v>0.49526900000000001</v>
      </c>
      <c r="T106" s="43">
        <v>0</v>
      </c>
      <c r="U106" s="43">
        <v>0</v>
      </c>
      <c r="V106" s="729">
        <v>1</v>
      </c>
      <c r="W106" s="616">
        <v>1</v>
      </c>
    </row>
    <row r="107" spans="2:23" x14ac:dyDescent="0.3">
      <c r="B107" s="380" t="s">
        <v>1400</v>
      </c>
      <c r="C107" s="179" t="s">
        <v>578</v>
      </c>
      <c r="D107" s="182">
        <v>0.349804</v>
      </c>
      <c r="E107" s="43">
        <v>0.546821</v>
      </c>
      <c r="F107" s="43">
        <v>0</v>
      </c>
      <c r="G107" s="729">
        <v>0.21856100000000001</v>
      </c>
      <c r="H107" s="750">
        <v>0.17934800000000001</v>
      </c>
      <c r="I107" s="43">
        <v>0.38090099999999999</v>
      </c>
      <c r="J107" s="43">
        <v>0</v>
      </c>
      <c r="K107" s="43">
        <v>0</v>
      </c>
      <c r="L107" s="729">
        <v>0</v>
      </c>
      <c r="M107" s="750">
        <v>0</v>
      </c>
      <c r="N107" s="45">
        <v>0.27324399999999999</v>
      </c>
      <c r="O107" s="43">
        <v>0.44022600000000001</v>
      </c>
      <c r="P107" s="43">
        <v>0.51</v>
      </c>
      <c r="Q107" s="729">
        <v>0</v>
      </c>
      <c r="R107" s="750">
        <v>0</v>
      </c>
      <c r="S107" s="45">
        <v>0.280833</v>
      </c>
      <c r="T107" s="43">
        <v>0.43464700000000001</v>
      </c>
      <c r="U107" s="43">
        <v>0.51</v>
      </c>
      <c r="V107" s="729">
        <v>0</v>
      </c>
      <c r="W107" s="616">
        <v>0</v>
      </c>
    </row>
    <row r="108" spans="2:23" x14ac:dyDescent="0.3">
      <c r="B108" s="380" t="s">
        <v>1401</v>
      </c>
      <c r="C108" s="179" t="s">
        <v>579</v>
      </c>
      <c r="D108" s="182">
        <v>1.0397259999999999</v>
      </c>
      <c r="E108" s="43">
        <v>0.42926599999999998</v>
      </c>
      <c r="F108" s="43">
        <v>2.3040000000000001E-3</v>
      </c>
      <c r="G108" s="729">
        <v>0.86107199999999995</v>
      </c>
      <c r="H108" s="750">
        <v>1</v>
      </c>
      <c r="I108" s="43">
        <v>0.49531399999999998</v>
      </c>
      <c r="J108" s="43">
        <v>0</v>
      </c>
      <c r="K108" s="43">
        <v>0</v>
      </c>
      <c r="L108" s="729">
        <v>1</v>
      </c>
      <c r="M108" s="750">
        <v>1</v>
      </c>
      <c r="N108" s="45">
        <v>0.357346</v>
      </c>
      <c r="O108" s="43">
        <v>0</v>
      </c>
      <c r="P108" s="43">
        <v>0</v>
      </c>
      <c r="Q108" s="729">
        <v>0.99999700000000002</v>
      </c>
      <c r="R108" s="750">
        <v>1</v>
      </c>
      <c r="S108" s="45">
        <v>0.62365499999999996</v>
      </c>
      <c r="T108" s="43">
        <v>0</v>
      </c>
      <c r="U108" s="43">
        <v>0</v>
      </c>
      <c r="V108" s="729">
        <v>1</v>
      </c>
      <c r="W108" s="616">
        <v>1</v>
      </c>
    </row>
    <row r="109" spans="2:23" x14ac:dyDescent="0.3">
      <c r="B109" s="380" t="s">
        <v>1402</v>
      </c>
      <c r="C109" s="179" t="s">
        <v>580</v>
      </c>
      <c r="D109" s="182">
        <v>0.45168799999999998</v>
      </c>
      <c r="E109" s="43">
        <v>0</v>
      </c>
      <c r="F109" s="43">
        <v>0</v>
      </c>
      <c r="G109" s="729">
        <v>0.16006999999999999</v>
      </c>
      <c r="H109" s="750">
        <v>0.25925900000000002</v>
      </c>
      <c r="I109" s="43">
        <v>0.70441500000000001</v>
      </c>
      <c r="J109" s="43">
        <v>0</v>
      </c>
      <c r="K109" s="43">
        <v>0</v>
      </c>
      <c r="L109" s="729">
        <v>0</v>
      </c>
      <c r="M109" s="750">
        <v>0</v>
      </c>
      <c r="N109" s="45">
        <v>0.36194799999999999</v>
      </c>
      <c r="O109" s="43">
        <v>0</v>
      </c>
      <c r="P109" s="43">
        <v>0</v>
      </c>
      <c r="Q109" s="729">
        <v>0.97658699999999998</v>
      </c>
      <c r="R109" s="750">
        <v>0.529671</v>
      </c>
      <c r="S109" s="45">
        <v>0.41682799999999998</v>
      </c>
      <c r="T109" s="43">
        <v>0</v>
      </c>
      <c r="U109" s="43">
        <v>0</v>
      </c>
      <c r="V109" s="729">
        <v>0.97869399999999995</v>
      </c>
      <c r="W109" s="616">
        <v>9.4123999999999999E-2</v>
      </c>
    </row>
    <row r="110" spans="2:23" x14ac:dyDescent="0.3">
      <c r="B110" s="380" t="s">
        <v>1403</v>
      </c>
      <c r="C110" s="179" t="s">
        <v>581</v>
      </c>
      <c r="D110" s="182">
        <v>1.2080660000000001</v>
      </c>
      <c r="E110" s="43">
        <v>0.79411100000000001</v>
      </c>
      <c r="F110" s="43">
        <v>0</v>
      </c>
      <c r="G110" s="729">
        <v>0.334009</v>
      </c>
      <c r="H110" s="750">
        <v>1</v>
      </c>
      <c r="I110" s="43">
        <v>0.313029</v>
      </c>
      <c r="J110" s="43">
        <v>0</v>
      </c>
      <c r="K110" s="43">
        <v>0</v>
      </c>
      <c r="L110" s="729">
        <v>0.99962600000000001</v>
      </c>
      <c r="M110" s="750">
        <v>1</v>
      </c>
      <c r="N110" s="45">
        <v>0.214254</v>
      </c>
      <c r="O110" s="43">
        <v>0</v>
      </c>
      <c r="P110" s="43">
        <v>0</v>
      </c>
      <c r="Q110" s="729">
        <v>0.998865</v>
      </c>
      <c r="R110" s="750">
        <v>1</v>
      </c>
      <c r="S110" s="45">
        <v>0.367232</v>
      </c>
      <c r="T110" s="43">
        <v>0</v>
      </c>
      <c r="U110" s="43">
        <v>0</v>
      </c>
      <c r="V110" s="729">
        <v>0.99962600000000001</v>
      </c>
      <c r="W110" s="616">
        <v>1</v>
      </c>
    </row>
    <row r="111" spans="2:23" x14ac:dyDescent="0.3">
      <c r="B111" s="380" t="s">
        <v>1404</v>
      </c>
      <c r="C111" s="179" t="s">
        <v>582</v>
      </c>
      <c r="D111" s="182">
        <v>0.51567099999999999</v>
      </c>
      <c r="E111" s="43">
        <v>0.34823900000000002</v>
      </c>
      <c r="F111" s="43">
        <v>0</v>
      </c>
      <c r="G111" s="729">
        <v>0.66785099999999997</v>
      </c>
      <c r="H111" s="750">
        <v>0</v>
      </c>
      <c r="I111" s="43">
        <v>0.83831299999999997</v>
      </c>
      <c r="J111" s="43">
        <v>0</v>
      </c>
      <c r="K111" s="43">
        <v>0</v>
      </c>
      <c r="L111" s="729">
        <v>0</v>
      </c>
      <c r="M111" s="750">
        <v>0</v>
      </c>
      <c r="N111" s="45">
        <v>0.45142700000000002</v>
      </c>
      <c r="O111" s="43">
        <v>0</v>
      </c>
      <c r="P111" s="43">
        <v>0</v>
      </c>
      <c r="Q111" s="729">
        <v>0.97823599999999999</v>
      </c>
      <c r="R111" s="750">
        <v>4.7710000000000001E-3</v>
      </c>
      <c r="S111" s="45">
        <v>0.50728300000000004</v>
      </c>
      <c r="T111" s="43">
        <v>0</v>
      </c>
      <c r="U111" s="43">
        <v>0</v>
      </c>
      <c r="V111" s="729">
        <v>0.97825899999999999</v>
      </c>
      <c r="W111" s="616">
        <v>1.193E-3</v>
      </c>
    </row>
    <row r="112" spans="2:23" x14ac:dyDescent="0.3">
      <c r="B112" s="380" t="s">
        <v>1405</v>
      </c>
      <c r="C112" s="179" t="s">
        <v>583</v>
      </c>
      <c r="D112" s="182">
        <v>0.92652100000000004</v>
      </c>
      <c r="E112" s="43">
        <v>0.55476199999999998</v>
      </c>
      <c r="F112" s="43">
        <v>2.5441999999999999E-2</v>
      </c>
      <c r="G112" s="729">
        <v>0.73135600000000001</v>
      </c>
      <c r="H112" s="750">
        <v>1</v>
      </c>
      <c r="I112" s="43">
        <v>0.356962</v>
      </c>
      <c r="J112" s="43">
        <v>0</v>
      </c>
      <c r="K112" s="43">
        <v>0</v>
      </c>
      <c r="L112" s="729">
        <v>0.99871900000000002</v>
      </c>
      <c r="M112" s="750">
        <v>1</v>
      </c>
      <c r="N112" s="45">
        <v>0.27885599999999999</v>
      </c>
      <c r="O112" s="43">
        <v>0</v>
      </c>
      <c r="P112" s="43">
        <v>0</v>
      </c>
      <c r="Q112" s="729">
        <v>0.99953800000000004</v>
      </c>
      <c r="R112" s="750">
        <v>1</v>
      </c>
      <c r="S112" s="45">
        <v>0.48654399999999998</v>
      </c>
      <c r="T112" s="43">
        <v>0</v>
      </c>
      <c r="U112" s="43">
        <v>0</v>
      </c>
      <c r="V112" s="729">
        <v>0.99871900000000002</v>
      </c>
      <c r="W112" s="616">
        <v>1</v>
      </c>
    </row>
    <row r="113" spans="2:23" x14ac:dyDescent="0.3">
      <c r="B113" s="380" t="s">
        <v>1406</v>
      </c>
      <c r="C113" s="179" t="s">
        <v>584</v>
      </c>
      <c r="D113" s="182">
        <v>0.52308200000000005</v>
      </c>
      <c r="E113" s="43">
        <v>0.56500399999999995</v>
      </c>
      <c r="F113" s="43">
        <v>0</v>
      </c>
      <c r="G113" s="729">
        <v>0.20703299999999999</v>
      </c>
      <c r="H113" s="750">
        <v>0.171429</v>
      </c>
      <c r="I113" s="43">
        <v>0.73427600000000004</v>
      </c>
      <c r="J113" s="43">
        <v>0</v>
      </c>
      <c r="K113" s="43">
        <v>0</v>
      </c>
      <c r="L113" s="729">
        <v>0</v>
      </c>
      <c r="M113" s="750">
        <v>0</v>
      </c>
      <c r="N113" s="45">
        <v>0.25623400000000002</v>
      </c>
      <c r="O113" s="43">
        <v>0</v>
      </c>
      <c r="P113" s="43">
        <v>0</v>
      </c>
      <c r="Q113" s="729">
        <v>0.993093</v>
      </c>
      <c r="R113" s="750">
        <v>0.55721100000000001</v>
      </c>
      <c r="S113" s="45">
        <v>0.30132999999999999</v>
      </c>
      <c r="T113" s="43">
        <v>0</v>
      </c>
      <c r="U113" s="43">
        <v>0</v>
      </c>
      <c r="V113" s="729">
        <v>0.99482000000000004</v>
      </c>
      <c r="W113" s="616">
        <v>0.11597300000000001</v>
      </c>
    </row>
    <row r="114" spans="2:23" x14ac:dyDescent="0.3">
      <c r="B114" s="380" t="s">
        <v>1407</v>
      </c>
      <c r="C114" s="179" t="s">
        <v>585</v>
      </c>
      <c r="D114" s="182">
        <v>0.48470000000000002</v>
      </c>
      <c r="E114" s="43">
        <v>0.45494000000000001</v>
      </c>
      <c r="F114" s="43">
        <v>0</v>
      </c>
      <c r="G114" s="729">
        <v>0.23349400000000001</v>
      </c>
      <c r="H114" s="750">
        <v>0.28191500000000003</v>
      </c>
      <c r="I114" s="43">
        <v>0.77508100000000002</v>
      </c>
      <c r="J114" s="43">
        <v>0</v>
      </c>
      <c r="K114" s="43">
        <v>0</v>
      </c>
      <c r="L114" s="729">
        <v>0</v>
      </c>
      <c r="M114" s="750">
        <v>0</v>
      </c>
      <c r="N114" s="45">
        <v>0.424234</v>
      </c>
      <c r="O114" s="43">
        <v>0.54366599999999998</v>
      </c>
      <c r="P114" s="43">
        <v>0.51</v>
      </c>
      <c r="Q114" s="729">
        <v>0</v>
      </c>
      <c r="R114" s="750">
        <v>0</v>
      </c>
      <c r="S114" s="45">
        <v>0.47468399999999999</v>
      </c>
      <c r="T114" s="43">
        <v>0.48096800000000001</v>
      </c>
      <c r="U114" s="43">
        <v>0.49</v>
      </c>
      <c r="V114" s="729">
        <v>0</v>
      </c>
      <c r="W114" s="616">
        <v>0</v>
      </c>
    </row>
    <row r="115" spans="2:23" x14ac:dyDescent="0.3">
      <c r="B115" s="380" t="s">
        <v>1408</v>
      </c>
      <c r="C115" s="179" t="s">
        <v>586</v>
      </c>
      <c r="D115" s="182">
        <v>0.66276999999999997</v>
      </c>
      <c r="E115" s="43">
        <v>0.41499900000000001</v>
      </c>
      <c r="F115" s="43">
        <v>0</v>
      </c>
      <c r="G115" s="729">
        <v>0.86098300000000005</v>
      </c>
      <c r="H115" s="750">
        <v>1</v>
      </c>
      <c r="I115" s="43">
        <v>0.337256</v>
      </c>
      <c r="J115" s="43">
        <v>0</v>
      </c>
      <c r="K115" s="43">
        <v>0</v>
      </c>
      <c r="L115" s="729">
        <v>0.999919</v>
      </c>
      <c r="M115" s="750">
        <v>1</v>
      </c>
      <c r="N115" s="45">
        <v>0.25320799999999999</v>
      </c>
      <c r="O115" s="43">
        <v>0</v>
      </c>
      <c r="P115" s="43">
        <v>0</v>
      </c>
      <c r="Q115" s="729">
        <v>0.99982099999999996</v>
      </c>
      <c r="R115" s="750">
        <v>1</v>
      </c>
      <c r="S115" s="45">
        <v>0.43881700000000001</v>
      </c>
      <c r="T115" s="43">
        <v>0</v>
      </c>
      <c r="U115" s="43">
        <v>0</v>
      </c>
      <c r="V115" s="729">
        <v>0.999919</v>
      </c>
      <c r="W115" s="616">
        <v>1</v>
      </c>
    </row>
    <row r="116" spans="2:23" x14ac:dyDescent="0.3">
      <c r="B116" s="380" t="s">
        <v>1409</v>
      </c>
      <c r="C116" s="179" t="s">
        <v>587</v>
      </c>
      <c r="D116" s="182">
        <v>1.030896</v>
      </c>
      <c r="E116" s="43">
        <v>0.454094</v>
      </c>
      <c r="F116" s="43">
        <v>1.4475E-2</v>
      </c>
      <c r="G116" s="729">
        <v>0.42554199999999998</v>
      </c>
      <c r="H116" s="750">
        <v>1</v>
      </c>
      <c r="I116" s="43">
        <v>0.25126700000000002</v>
      </c>
      <c r="J116" s="43">
        <v>0</v>
      </c>
      <c r="K116" s="43">
        <v>0</v>
      </c>
      <c r="L116" s="729">
        <v>0.99985999999999997</v>
      </c>
      <c r="M116" s="750">
        <v>1</v>
      </c>
      <c r="N116" s="45">
        <v>0.18688199999999999</v>
      </c>
      <c r="O116" s="43">
        <v>0</v>
      </c>
      <c r="P116" s="43">
        <v>0</v>
      </c>
      <c r="Q116" s="729">
        <v>0.99992700000000001</v>
      </c>
      <c r="R116" s="750">
        <v>1</v>
      </c>
      <c r="S116" s="45">
        <v>0.31972099999999998</v>
      </c>
      <c r="T116" s="43">
        <v>0</v>
      </c>
      <c r="U116" s="43">
        <v>0</v>
      </c>
      <c r="V116" s="729">
        <v>0.99985999999999997</v>
      </c>
      <c r="W116" s="616">
        <v>1</v>
      </c>
    </row>
    <row r="117" spans="2:23" x14ac:dyDescent="0.3">
      <c r="B117" s="380" t="s">
        <v>1410</v>
      </c>
      <c r="C117" s="179" t="s">
        <v>588</v>
      </c>
      <c r="D117" s="182">
        <v>0.58099500000000004</v>
      </c>
      <c r="E117" s="43">
        <v>1.246297</v>
      </c>
      <c r="F117" s="43">
        <v>0</v>
      </c>
      <c r="G117" s="729">
        <v>0.58217600000000003</v>
      </c>
      <c r="H117" s="750">
        <v>0.78481000000000001</v>
      </c>
      <c r="I117" s="43">
        <v>0.22037300000000001</v>
      </c>
      <c r="J117" s="43">
        <v>0</v>
      </c>
      <c r="K117" s="43">
        <v>0</v>
      </c>
      <c r="L117" s="729">
        <v>0.99995699999999998</v>
      </c>
      <c r="M117" s="750">
        <v>0.65447299999999997</v>
      </c>
      <c r="N117" s="45">
        <v>0.19395399999999999</v>
      </c>
      <c r="O117" s="43">
        <v>0</v>
      </c>
      <c r="P117" s="43">
        <v>0</v>
      </c>
      <c r="Q117" s="729">
        <v>0.99996499999999999</v>
      </c>
      <c r="R117" s="750">
        <v>0.97831599999999996</v>
      </c>
      <c r="S117" s="45">
        <v>0.30053000000000002</v>
      </c>
      <c r="T117" s="43">
        <v>0</v>
      </c>
      <c r="U117" s="43">
        <v>0</v>
      </c>
      <c r="V117" s="729">
        <v>1</v>
      </c>
      <c r="W117" s="616">
        <v>0.87307400000000002</v>
      </c>
    </row>
    <row r="118" spans="2:23" x14ac:dyDescent="0.3">
      <c r="B118" s="380" t="s">
        <v>1411</v>
      </c>
      <c r="C118" s="179" t="s">
        <v>589</v>
      </c>
      <c r="D118" s="182">
        <v>1.06162</v>
      </c>
      <c r="E118" s="43">
        <v>0.49370199999999997</v>
      </c>
      <c r="F118" s="43">
        <v>2.091E-3</v>
      </c>
      <c r="G118" s="729">
        <v>0.67520599999999997</v>
      </c>
      <c r="H118" s="750">
        <v>0.99365000000000003</v>
      </c>
      <c r="I118" s="43">
        <v>0.26847199999999999</v>
      </c>
      <c r="J118" s="43">
        <v>0</v>
      </c>
      <c r="K118" s="43">
        <v>0</v>
      </c>
      <c r="L118" s="729">
        <v>1</v>
      </c>
      <c r="M118" s="750">
        <v>0.98759600000000003</v>
      </c>
      <c r="N118" s="45">
        <v>0.18953900000000001</v>
      </c>
      <c r="O118" s="43">
        <v>0</v>
      </c>
      <c r="P118" s="43">
        <v>0</v>
      </c>
      <c r="Q118" s="729">
        <v>0.999807</v>
      </c>
      <c r="R118" s="750">
        <v>0.99693200000000004</v>
      </c>
      <c r="S118" s="45">
        <v>0.31823099999999999</v>
      </c>
      <c r="T118" s="43">
        <v>0</v>
      </c>
      <c r="U118" s="43">
        <v>0</v>
      </c>
      <c r="V118" s="729">
        <v>1</v>
      </c>
      <c r="W118" s="616">
        <v>0.99549200000000004</v>
      </c>
    </row>
    <row r="119" spans="2:23" x14ac:dyDescent="0.3">
      <c r="B119" s="380" t="s">
        <v>1412</v>
      </c>
      <c r="C119" s="179" t="s">
        <v>590</v>
      </c>
      <c r="D119" s="182">
        <v>1.501298</v>
      </c>
      <c r="E119" s="43">
        <v>0.56923500000000005</v>
      </c>
      <c r="F119" s="43">
        <v>7.2051000000000004E-2</v>
      </c>
      <c r="G119" s="729">
        <v>0.28520299999999998</v>
      </c>
      <c r="H119" s="750">
        <v>0.95907600000000004</v>
      </c>
      <c r="I119" s="43">
        <v>0.37502799999999997</v>
      </c>
      <c r="J119" s="43">
        <v>0</v>
      </c>
      <c r="K119" s="43">
        <v>0</v>
      </c>
      <c r="L119" s="729">
        <v>0.99852600000000002</v>
      </c>
      <c r="M119" s="750">
        <v>0.600217</v>
      </c>
      <c r="N119" s="45">
        <v>0.339588</v>
      </c>
      <c r="O119" s="43">
        <v>0</v>
      </c>
      <c r="P119" s="43">
        <v>0</v>
      </c>
      <c r="Q119" s="729">
        <v>0.97724299999999997</v>
      </c>
      <c r="R119" s="750">
        <v>0.978742</v>
      </c>
      <c r="S119" s="45">
        <v>0.51614499999999996</v>
      </c>
      <c r="T119" s="43">
        <v>0</v>
      </c>
      <c r="U119" s="43">
        <v>0</v>
      </c>
      <c r="V119" s="729">
        <v>0.99389499999999997</v>
      </c>
      <c r="W119" s="616">
        <v>0.861066</v>
      </c>
    </row>
    <row r="120" spans="2:23" x14ac:dyDescent="0.3">
      <c r="B120" s="380" t="s">
        <v>1413</v>
      </c>
      <c r="C120" s="179" t="s">
        <v>591</v>
      </c>
      <c r="D120" s="182">
        <v>2.009442</v>
      </c>
      <c r="E120" s="43">
        <v>0.63841000000000003</v>
      </c>
      <c r="F120" s="43">
        <v>1.2799E-2</v>
      </c>
      <c r="G120" s="729">
        <v>0.46091199999999999</v>
      </c>
      <c r="H120" s="750">
        <v>0.99579499999999999</v>
      </c>
      <c r="I120" s="43">
        <v>0.48250100000000001</v>
      </c>
      <c r="J120" s="43">
        <v>0</v>
      </c>
      <c r="K120" s="43">
        <v>0</v>
      </c>
      <c r="L120" s="729">
        <v>0.998506</v>
      </c>
      <c r="M120" s="750">
        <v>0.95706100000000005</v>
      </c>
      <c r="N120" s="45">
        <v>0.35025699999999999</v>
      </c>
      <c r="O120" s="43">
        <v>0</v>
      </c>
      <c r="P120" s="43">
        <v>0</v>
      </c>
      <c r="Q120" s="729">
        <v>0.99760300000000002</v>
      </c>
      <c r="R120" s="750">
        <v>0.99689399999999995</v>
      </c>
      <c r="S120" s="45">
        <v>0.58798099999999998</v>
      </c>
      <c r="T120" s="43">
        <v>0</v>
      </c>
      <c r="U120" s="43">
        <v>0</v>
      </c>
      <c r="V120" s="729">
        <v>0.99852700000000005</v>
      </c>
      <c r="W120" s="616">
        <v>0.98703300000000005</v>
      </c>
    </row>
    <row r="121" spans="2:23" x14ac:dyDescent="0.3">
      <c r="B121" s="380" t="s">
        <v>1414</v>
      </c>
      <c r="C121" s="179" t="s">
        <v>592</v>
      </c>
      <c r="D121" s="182">
        <v>0.38794600000000001</v>
      </c>
      <c r="E121" s="43">
        <v>0</v>
      </c>
      <c r="F121" s="43">
        <v>0</v>
      </c>
      <c r="G121" s="729">
        <v>0.32154100000000002</v>
      </c>
      <c r="H121" s="750">
        <v>0</v>
      </c>
      <c r="I121" s="43">
        <v>0.47273999999999999</v>
      </c>
      <c r="J121" s="43">
        <v>0</v>
      </c>
      <c r="K121" s="43">
        <v>0</v>
      </c>
      <c r="L121" s="729">
        <v>0</v>
      </c>
      <c r="M121" s="750">
        <v>0</v>
      </c>
      <c r="N121" s="45">
        <v>0.37907200000000002</v>
      </c>
      <c r="O121" s="43">
        <v>0</v>
      </c>
      <c r="P121" s="43">
        <v>0</v>
      </c>
      <c r="Q121" s="729">
        <v>0.96468600000000004</v>
      </c>
      <c r="R121" s="750">
        <v>4.5009E-2</v>
      </c>
      <c r="S121" s="45">
        <v>0.42178199999999999</v>
      </c>
      <c r="T121" s="43">
        <v>0</v>
      </c>
      <c r="U121" s="43">
        <v>0</v>
      </c>
      <c r="V121" s="729">
        <v>0.96621900000000005</v>
      </c>
      <c r="W121" s="616">
        <v>4.7200000000000002E-3</v>
      </c>
    </row>
    <row r="122" spans="2:23" x14ac:dyDescent="0.3">
      <c r="B122" s="380" t="s">
        <v>1415</v>
      </c>
      <c r="C122" s="179" t="s">
        <v>593</v>
      </c>
      <c r="D122" s="182">
        <v>0.93944700000000003</v>
      </c>
      <c r="E122" s="43">
        <v>0</v>
      </c>
      <c r="F122" s="43">
        <v>0</v>
      </c>
      <c r="G122" s="729">
        <v>0.199984</v>
      </c>
      <c r="H122" s="750">
        <v>0.58964099999999997</v>
      </c>
      <c r="I122" s="43">
        <v>0.32743699999999998</v>
      </c>
      <c r="J122" s="43">
        <v>0</v>
      </c>
      <c r="K122" s="43">
        <v>0</v>
      </c>
      <c r="L122" s="729">
        <v>0.99926999999999999</v>
      </c>
      <c r="M122" s="750">
        <v>0.16264200000000001</v>
      </c>
      <c r="N122" s="45">
        <v>0.33469300000000002</v>
      </c>
      <c r="O122" s="43">
        <v>0</v>
      </c>
      <c r="P122" s="43">
        <v>0</v>
      </c>
      <c r="Q122" s="729">
        <v>0.99720799999999998</v>
      </c>
      <c r="R122" s="750">
        <v>0.92994200000000005</v>
      </c>
      <c r="S122" s="45">
        <v>0.47356599999999999</v>
      </c>
      <c r="T122" s="43">
        <v>0</v>
      </c>
      <c r="U122" s="43">
        <v>0</v>
      </c>
      <c r="V122" s="729">
        <v>0.99702100000000005</v>
      </c>
      <c r="W122" s="616">
        <v>0.62762099999999998</v>
      </c>
    </row>
    <row r="123" spans="2:23" x14ac:dyDescent="0.3">
      <c r="B123" s="380" t="s">
        <v>1416</v>
      </c>
      <c r="C123" s="179" t="s">
        <v>594</v>
      </c>
      <c r="D123" s="182">
        <v>1.3807370000000001</v>
      </c>
      <c r="E123" s="43">
        <v>0</v>
      </c>
      <c r="F123" s="43">
        <v>0</v>
      </c>
      <c r="G123" s="729">
        <v>0.64144800000000002</v>
      </c>
      <c r="H123" s="750">
        <v>0.68735100000000005</v>
      </c>
      <c r="I123" s="43">
        <v>0.85013399999999995</v>
      </c>
      <c r="J123" s="43">
        <v>0</v>
      </c>
      <c r="K123" s="43">
        <v>0</v>
      </c>
      <c r="L123" s="729">
        <v>0.92953399999999997</v>
      </c>
      <c r="M123" s="750">
        <v>3.4422000000000001E-2</v>
      </c>
      <c r="N123" s="45">
        <v>0.86267700000000003</v>
      </c>
      <c r="O123" s="43">
        <v>0</v>
      </c>
      <c r="P123" s="43">
        <v>0</v>
      </c>
      <c r="Q123" s="729">
        <v>0.98774899999999999</v>
      </c>
      <c r="R123" s="750">
        <v>0.79980600000000002</v>
      </c>
      <c r="S123" s="45">
        <v>1.052189</v>
      </c>
      <c r="T123" s="43">
        <v>0</v>
      </c>
      <c r="U123" s="43">
        <v>0</v>
      </c>
      <c r="V123" s="729">
        <v>0.98984300000000003</v>
      </c>
      <c r="W123" s="616">
        <v>0.12667300000000001</v>
      </c>
    </row>
    <row r="124" spans="2:23" x14ac:dyDescent="0.3">
      <c r="B124" s="380" t="s">
        <v>1417</v>
      </c>
      <c r="C124" s="179" t="s">
        <v>595</v>
      </c>
      <c r="D124" s="182">
        <v>0.39705400000000002</v>
      </c>
      <c r="E124" s="43">
        <v>0</v>
      </c>
      <c r="F124" s="43">
        <v>0</v>
      </c>
      <c r="G124" s="729">
        <v>0.12861800000000001</v>
      </c>
      <c r="H124" s="750">
        <v>0</v>
      </c>
      <c r="I124" s="43">
        <v>0.104009</v>
      </c>
      <c r="J124" s="43">
        <v>0</v>
      </c>
      <c r="K124" s="43">
        <v>0</v>
      </c>
      <c r="L124" s="729">
        <v>0.99393600000000004</v>
      </c>
      <c r="M124" s="750">
        <v>1.0762000000000001E-2</v>
      </c>
      <c r="N124" s="45">
        <v>0.145458</v>
      </c>
      <c r="O124" s="43">
        <v>0</v>
      </c>
      <c r="P124" s="43">
        <v>0</v>
      </c>
      <c r="Q124" s="729">
        <v>0.99777499999999997</v>
      </c>
      <c r="R124" s="750">
        <v>0.26767000000000002</v>
      </c>
      <c r="S124" s="45">
        <v>0.169875</v>
      </c>
      <c r="T124" s="43">
        <v>0</v>
      </c>
      <c r="U124" s="43">
        <v>0</v>
      </c>
      <c r="V124" s="729">
        <v>0.99726899999999996</v>
      </c>
      <c r="W124" s="616">
        <v>0.11022800000000001</v>
      </c>
    </row>
    <row r="125" spans="2:23" x14ac:dyDescent="0.3">
      <c r="B125" s="380" t="s">
        <v>1418</v>
      </c>
      <c r="C125" s="179" t="s">
        <v>596</v>
      </c>
      <c r="D125" s="182">
        <v>0.367981</v>
      </c>
      <c r="E125" s="43">
        <v>0</v>
      </c>
      <c r="F125" s="43">
        <v>0</v>
      </c>
      <c r="G125" s="729">
        <v>0.313525</v>
      </c>
      <c r="H125" s="750">
        <v>0</v>
      </c>
      <c r="I125" s="43">
        <v>0.39878599999999997</v>
      </c>
      <c r="J125" s="43">
        <v>0</v>
      </c>
      <c r="K125" s="43">
        <v>0</v>
      </c>
      <c r="L125" s="729">
        <v>0</v>
      </c>
      <c r="M125" s="750">
        <v>0</v>
      </c>
      <c r="N125" s="45">
        <v>0.43263600000000002</v>
      </c>
      <c r="O125" s="43">
        <v>0.42313499999999998</v>
      </c>
      <c r="P125" s="43">
        <v>0.5</v>
      </c>
      <c r="Q125" s="729">
        <v>0</v>
      </c>
      <c r="R125" s="750">
        <v>0</v>
      </c>
      <c r="S125" s="45">
        <v>0.43263600000000002</v>
      </c>
      <c r="T125" s="43">
        <v>0.42313499999999998</v>
      </c>
      <c r="U125" s="43">
        <v>0.5</v>
      </c>
      <c r="V125" s="729">
        <v>0</v>
      </c>
      <c r="W125" s="616">
        <v>0</v>
      </c>
    </row>
    <row r="126" spans="2:23" x14ac:dyDescent="0.3">
      <c r="B126" s="380" t="s">
        <v>1419</v>
      </c>
      <c r="C126" s="179" t="s">
        <v>597</v>
      </c>
      <c r="D126" s="182">
        <v>0.37031900000000001</v>
      </c>
      <c r="E126" s="43">
        <v>0</v>
      </c>
      <c r="F126" s="43">
        <v>0</v>
      </c>
      <c r="G126" s="729">
        <v>0.19348000000000001</v>
      </c>
      <c r="H126" s="750">
        <v>0</v>
      </c>
      <c r="I126" s="43">
        <v>0.42439300000000002</v>
      </c>
      <c r="J126" s="43">
        <v>0</v>
      </c>
      <c r="K126" s="43">
        <v>0</v>
      </c>
      <c r="L126" s="729">
        <v>0</v>
      </c>
      <c r="M126" s="750">
        <v>0</v>
      </c>
      <c r="N126" s="45">
        <v>0.23525499999999999</v>
      </c>
      <c r="O126" s="43">
        <v>0</v>
      </c>
      <c r="P126" s="43">
        <v>0</v>
      </c>
      <c r="Q126" s="729">
        <v>0.99155300000000002</v>
      </c>
      <c r="R126" s="750">
        <v>0</v>
      </c>
      <c r="S126" s="45">
        <v>0.25512899999999999</v>
      </c>
      <c r="T126" s="43">
        <v>0</v>
      </c>
      <c r="U126" s="43">
        <v>0</v>
      </c>
      <c r="V126" s="729">
        <v>0.99155300000000002</v>
      </c>
      <c r="W126" s="616">
        <v>0</v>
      </c>
    </row>
    <row r="127" spans="2:23" x14ac:dyDescent="0.3">
      <c r="B127" s="380" t="s">
        <v>1420</v>
      </c>
      <c r="C127" s="179" t="s">
        <v>598</v>
      </c>
      <c r="D127" s="182">
        <v>0.38846999999999998</v>
      </c>
      <c r="E127" s="43">
        <v>0</v>
      </c>
      <c r="F127" s="43">
        <v>0</v>
      </c>
      <c r="G127" s="729">
        <v>0.35043200000000002</v>
      </c>
      <c r="H127" s="750">
        <v>0</v>
      </c>
      <c r="I127" s="43">
        <v>0.463507</v>
      </c>
      <c r="J127" s="43">
        <v>0</v>
      </c>
      <c r="K127" s="43">
        <v>0</v>
      </c>
      <c r="L127" s="729">
        <v>0</v>
      </c>
      <c r="M127" s="750">
        <v>0</v>
      </c>
      <c r="N127" s="45">
        <v>0.30257800000000001</v>
      </c>
      <c r="O127" s="43">
        <v>0</v>
      </c>
      <c r="P127" s="43">
        <v>0</v>
      </c>
      <c r="Q127" s="729">
        <v>0.99097100000000005</v>
      </c>
      <c r="R127" s="750">
        <v>0</v>
      </c>
      <c r="S127" s="45">
        <v>0.334594</v>
      </c>
      <c r="T127" s="43">
        <v>0</v>
      </c>
      <c r="U127" s="43">
        <v>0</v>
      </c>
      <c r="V127" s="729">
        <v>0.99097100000000005</v>
      </c>
      <c r="W127" s="616">
        <v>0</v>
      </c>
    </row>
    <row r="128" spans="2:23" x14ac:dyDescent="0.3">
      <c r="B128" s="380" t="s">
        <v>1421</v>
      </c>
      <c r="C128" s="179" t="s">
        <v>599</v>
      </c>
      <c r="D128" s="182">
        <v>0.15473200000000001</v>
      </c>
      <c r="E128" s="43">
        <v>0</v>
      </c>
      <c r="F128" s="43">
        <v>0</v>
      </c>
      <c r="G128" s="729">
        <v>0</v>
      </c>
      <c r="H128" s="750">
        <v>0</v>
      </c>
      <c r="I128" s="43">
        <v>0.16361700000000001</v>
      </c>
      <c r="J128" s="43">
        <v>0</v>
      </c>
      <c r="K128" s="43">
        <v>0</v>
      </c>
      <c r="L128" s="729">
        <v>0</v>
      </c>
      <c r="M128" s="750">
        <v>0</v>
      </c>
      <c r="N128" s="45">
        <v>4.7511999999999999E-2</v>
      </c>
      <c r="O128" s="43">
        <v>0</v>
      </c>
      <c r="P128" s="43">
        <v>0</v>
      </c>
      <c r="Q128" s="729">
        <v>0.99890100000000004</v>
      </c>
      <c r="R128" s="750">
        <v>0</v>
      </c>
      <c r="S128" s="45">
        <v>5.6045999999999999E-2</v>
      </c>
      <c r="T128" s="43">
        <v>0</v>
      </c>
      <c r="U128" s="43">
        <v>0</v>
      </c>
      <c r="V128" s="729">
        <v>0.99890100000000004</v>
      </c>
      <c r="W128" s="616">
        <v>0</v>
      </c>
    </row>
    <row r="129" spans="2:23" x14ac:dyDescent="0.3">
      <c r="B129" s="380" t="s">
        <v>1422</v>
      </c>
      <c r="C129" s="179" t="s">
        <v>600</v>
      </c>
      <c r="D129" s="182">
        <v>0.65743399999999996</v>
      </c>
      <c r="E129" s="43">
        <v>0</v>
      </c>
      <c r="F129" s="43">
        <v>0</v>
      </c>
      <c r="G129" s="729">
        <v>0.209394</v>
      </c>
      <c r="H129" s="750">
        <v>0.24637700000000001</v>
      </c>
      <c r="I129" s="43">
        <v>0.29865700000000001</v>
      </c>
      <c r="J129" s="43">
        <v>0</v>
      </c>
      <c r="K129" s="43">
        <v>0</v>
      </c>
      <c r="L129" s="729">
        <v>0.99235200000000001</v>
      </c>
      <c r="M129" s="750">
        <v>3.8892999999999997E-2</v>
      </c>
      <c r="N129" s="45">
        <v>0.41382400000000003</v>
      </c>
      <c r="O129" s="43">
        <v>0</v>
      </c>
      <c r="P129" s="43">
        <v>0</v>
      </c>
      <c r="Q129" s="729">
        <v>0.99621800000000005</v>
      </c>
      <c r="R129" s="750">
        <v>0.77498100000000003</v>
      </c>
      <c r="S129" s="45">
        <v>0.68279400000000001</v>
      </c>
      <c r="T129" s="43">
        <v>0.43709599999999998</v>
      </c>
      <c r="U129" s="43">
        <v>0.5</v>
      </c>
      <c r="V129" s="729">
        <v>0.57879700000000001</v>
      </c>
      <c r="W129" s="616">
        <v>9.5257999999999995E-2</v>
      </c>
    </row>
    <row r="130" spans="2:23" x14ac:dyDescent="0.3">
      <c r="B130" s="380" t="s">
        <v>1423</v>
      </c>
      <c r="C130" s="179" t="s">
        <v>601</v>
      </c>
      <c r="D130" s="182">
        <v>0.60333199999999998</v>
      </c>
      <c r="E130" s="43">
        <v>0</v>
      </c>
      <c r="F130" s="43">
        <v>0</v>
      </c>
      <c r="G130" s="729">
        <v>8.2595000000000002E-2</v>
      </c>
      <c r="H130" s="750">
        <v>0</v>
      </c>
      <c r="I130" s="43">
        <v>0.93465900000000002</v>
      </c>
      <c r="J130" s="43">
        <v>0</v>
      </c>
      <c r="K130" s="43">
        <v>0</v>
      </c>
      <c r="L130" s="729">
        <v>0</v>
      </c>
      <c r="M130" s="750">
        <v>0</v>
      </c>
      <c r="N130" s="45">
        <v>0.41239700000000001</v>
      </c>
      <c r="O130" s="43">
        <v>0</v>
      </c>
      <c r="P130" s="43">
        <v>0</v>
      </c>
      <c r="Q130" s="729">
        <v>0.98960700000000001</v>
      </c>
      <c r="R130" s="750">
        <v>0.72897299999999998</v>
      </c>
      <c r="S130" s="45">
        <v>0.47397899999999998</v>
      </c>
      <c r="T130" s="43">
        <v>0</v>
      </c>
      <c r="U130" s="43">
        <v>0</v>
      </c>
      <c r="V130" s="729">
        <v>0.99082199999999998</v>
      </c>
      <c r="W130" s="616">
        <v>0.16522200000000001</v>
      </c>
    </row>
    <row r="131" spans="2:23" x14ac:dyDescent="0.3">
      <c r="B131" s="380" t="s">
        <v>1424</v>
      </c>
      <c r="C131" s="179" t="s">
        <v>602</v>
      </c>
      <c r="D131" s="182">
        <v>0.76255399999999995</v>
      </c>
      <c r="E131" s="43">
        <v>0</v>
      </c>
      <c r="F131" s="43">
        <v>0</v>
      </c>
      <c r="G131" s="729">
        <v>0.144901</v>
      </c>
      <c r="H131" s="750">
        <v>0</v>
      </c>
      <c r="I131" s="43">
        <v>1.064565</v>
      </c>
      <c r="J131" s="43">
        <v>0</v>
      </c>
      <c r="K131" s="43">
        <v>0</v>
      </c>
      <c r="L131" s="729">
        <v>0</v>
      </c>
      <c r="M131" s="750">
        <v>0</v>
      </c>
      <c r="N131" s="45">
        <v>0.83951699999999996</v>
      </c>
      <c r="O131" s="43">
        <v>0.42538100000000001</v>
      </c>
      <c r="P131" s="43">
        <v>0.49</v>
      </c>
      <c r="Q131" s="729">
        <v>0.69227300000000003</v>
      </c>
      <c r="R131" s="750">
        <v>0.21887000000000001</v>
      </c>
      <c r="S131" s="45">
        <v>0.96029299999999995</v>
      </c>
      <c r="T131" s="43">
        <v>0.40775099999999997</v>
      </c>
      <c r="U131" s="43">
        <v>0.48</v>
      </c>
      <c r="V131" s="729">
        <v>0.68365500000000001</v>
      </c>
      <c r="W131" s="616">
        <v>2.7066E-2</v>
      </c>
    </row>
    <row r="132" spans="2:23" x14ac:dyDescent="0.3">
      <c r="B132" s="380" t="s">
        <v>1425</v>
      </c>
      <c r="C132" s="179" t="s">
        <v>603</v>
      </c>
      <c r="D132" s="182">
        <v>0.61158500000000005</v>
      </c>
      <c r="E132" s="43">
        <v>0</v>
      </c>
      <c r="F132" s="43">
        <v>0</v>
      </c>
      <c r="G132" s="729">
        <v>0.249997</v>
      </c>
      <c r="H132" s="750">
        <v>1.4226000000000001E-2</v>
      </c>
      <c r="I132" s="43">
        <v>1.272392</v>
      </c>
      <c r="J132" s="43">
        <v>0</v>
      </c>
      <c r="K132" s="43">
        <v>0</v>
      </c>
      <c r="L132" s="729">
        <v>0</v>
      </c>
      <c r="M132" s="750">
        <v>0</v>
      </c>
      <c r="N132" s="45">
        <v>0.56310000000000004</v>
      </c>
      <c r="O132" s="43">
        <v>0</v>
      </c>
      <c r="P132" s="43">
        <v>0</v>
      </c>
      <c r="Q132" s="729">
        <v>0.96251200000000003</v>
      </c>
      <c r="R132" s="750">
        <v>0.69897600000000004</v>
      </c>
      <c r="S132" s="45">
        <v>0.67442000000000002</v>
      </c>
      <c r="T132" s="43">
        <v>0</v>
      </c>
      <c r="U132" s="43">
        <v>0</v>
      </c>
      <c r="V132" s="729">
        <v>0.96769400000000005</v>
      </c>
      <c r="W132" s="616">
        <v>0.19195100000000001</v>
      </c>
    </row>
    <row r="133" spans="2:23" x14ac:dyDescent="0.3">
      <c r="B133" s="380" t="s">
        <v>1426</v>
      </c>
      <c r="C133" s="179" t="s">
        <v>604</v>
      </c>
      <c r="D133" s="182">
        <v>0.76278800000000002</v>
      </c>
      <c r="E133" s="43">
        <v>0</v>
      </c>
      <c r="F133" s="43">
        <v>0</v>
      </c>
      <c r="G133" s="729">
        <v>0.20100299999999999</v>
      </c>
      <c r="H133" s="750">
        <v>0.28985499999999997</v>
      </c>
      <c r="I133" s="43">
        <v>0.35304200000000002</v>
      </c>
      <c r="J133" s="43">
        <v>0</v>
      </c>
      <c r="K133" s="43">
        <v>0</v>
      </c>
      <c r="L133" s="729">
        <v>0.99651400000000001</v>
      </c>
      <c r="M133" s="750">
        <v>3.3217000000000003E-2</v>
      </c>
      <c r="N133" s="45">
        <v>0.54940199999999995</v>
      </c>
      <c r="O133" s="43">
        <v>0</v>
      </c>
      <c r="P133" s="43">
        <v>0</v>
      </c>
      <c r="Q133" s="729">
        <v>0.98999700000000002</v>
      </c>
      <c r="R133" s="750">
        <v>0.73576799999999998</v>
      </c>
      <c r="S133" s="45">
        <v>0.66328200000000004</v>
      </c>
      <c r="T133" s="43">
        <v>0</v>
      </c>
      <c r="U133" s="43">
        <v>0</v>
      </c>
      <c r="V133" s="729">
        <v>0.99420299999999995</v>
      </c>
      <c r="W133" s="616">
        <v>0.22591800000000001</v>
      </c>
    </row>
    <row r="134" spans="2:23" x14ac:dyDescent="0.3">
      <c r="B134" s="380" t="s">
        <v>1427</v>
      </c>
      <c r="C134" s="179" t="s">
        <v>605</v>
      </c>
      <c r="D134" s="182">
        <v>1.0221</v>
      </c>
      <c r="E134" s="43">
        <v>0</v>
      </c>
      <c r="F134" s="43">
        <v>0</v>
      </c>
      <c r="G134" s="729">
        <v>0.43931700000000001</v>
      </c>
      <c r="H134" s="750">
        <v>5.4965E-2</v>
      </c>
      <c r="I134" s="43">
        <v>0.40810000000000002</v>
      </c>
      <c r="J134" s="43">
        <v>0</v>
      </c>
      <c r="K134" s="43">
        <v>0</v>
      </c>
      <c r="L134" s="729">
        <v>0.99673999999999996</v>
      </c>
      <c r="M134" s="750">
        <v>8.5959999999999995E-2</v>
      </c>
      <c r="N134" s="45">
        <v>0.65291299999999997</v>
      </c>
      <c r="O134" s="43">
        <v>0</v>
      </c>
      <c r="P134" s="43">
        <v>0</v>
      </c>
      <c r="Q134" s="729">
        <v>0.98677499999999996</v>
      </c>
      <c r="R134" s="750">
        <v>0.62697800000000004</v>
      </c>
      <c r="S134" s="45">
        <v>0.73515299999999995</v>
      </c>
      <c r="T134" s="43">
        <v>0</v>
      </c>
      <c r="U134" s="43">
        <v>0</v>
      </c>
      <c r="V134" s="729">
        <v>0.997309</v>
      </c>
      <c r="W134" s="616">
        <v>0.26167400000000002</v>
      </c>
    </row>
    <row r="135" spans="2:23" x14ac:dyDescent="0.3">
      <c r="B135" s="380" t="s">
        <v>1428</v>
      </c>
      <c r="C135" s="179" t="s">
        <v>606</v>
      </c>
      <c r="D135" s="182">
        <v>1.295425</v>
      </c>
      <c r="E135" s="43">
        <v>0</v>
      </c>
      <c r="F135" s="43">
        <v>0</v>
      </c>
      <c r="G135" s="729">
        <v>0.366753</v>
      </c>
      <c r="H135" s="750">
        <v>0.99644299999999997</v>
      </c>
      <c r="I135" s="43">
        <v>0.38850400000000002</v>
      </c>
      <c r="J135" s="43">
        <v>0</v>
      </c>
      <c r="K135" s="43">
        <v>0</v>
      </c>
      <c r="L135" s="729">
        <v>0.998668</v>
      </c>
      <c r="M135" s="750">
        <v>0.16514400000000001</v>
      </c>
      <c r="N135" s="45">
        <v>0.52230299999999996</v>
      </c>
      <c r="O135" s="43">
        <v>0</v>
      </c>
      <c r="P135" s="43">
        <v>0</v>
      </c>
      <c r="Q135" s="729">
        <v>0.99096899999999999</v>
      </c>
      <c r="R135" s="750">
        <v>0.69867800000000002</v>
      </c>
      <c r="S135" s="45">
        <v>0.68002099999999999</v>
      </c>
      <c r="T135" s="43">
        <v>0</v>
      </c>
      <c r="U135" s="43">
        <v>0</v>
      </c>
      <c r="V135" s="729">
        <v>0.99075599999999997</v>
      </c>
      <c r="W135" s="616">
        <v>0.419738</v>
      </c>
    </row>
    <row r="136" spans="2:23" x14ac:dyDescent="0.3">
      <c r="B136" s="380" t="s">
        <v>1429</v>
      </c>
      <c r="C136" s="179" t="s">
        <v>607</v>
      </c>
      <c r="D136" s="182">
        <v>2.6526000000000001E-2</v>
      </c>
      <c r="E136" s="43">
        <v>0</v>
      </c>
      <c r="F136" s="43">
        <v>0</v>
      </c>
      <c r="G136" s="729">
        <v>0</v>
      </c>
      <c r="H136" s="750">
        <v>0</v>
      </c>
      <c r="I136" s="43">
        <v>2.6526000000000001E-2</v>
      </c>
      <c r="J136" s="43">
        <v>0</v>
      </c>
      <c r="K136" s="43">
        <v>0</v>
      </c>
      <c r="L136" s="729">
        <v>0</v>
      </c>
      <c r="M136" s="750">
        <v>0</v>
      </c>
      <c r="N136" s="45">
        <v>0.19505900000000001</v>
      </c>
      <c r="O136" s="43">
        <v>0</v>
      </c>
      <c r="P136" s="43">
        <v>0</v>
      </c>
      <c r="Q136" s="729">
        <v>0</v>
      </c>
      <c r="R136" s="750">
        <v>0</v>
      </c>
      <c r="S136" s="45">
        <v>0.19505900000000001</v>
      </c>
      <c r="T136" s="43">
        <v>0</v>
      </c>
      <c r="U136" s="43">
        <v>0</v>
      </c>
      <c r="V136" s="729">
        <v>0</v>
      </c>
      <c r="W136" s="616">
        <v>0</v>
      </c>
    </row>
    <row r="137" spans="2:23" x14ac:dyDescent="0.3">
      <c r="B137" s="380" t="s">
        <v>1430</v>
      </c>
      <c r="C137" s="179" t="s">
        <v>608</v>
      </c>
      <c r="D137" s="182">
        <v>9.5910000000000006E-3</v>
      </c>
      <c r="E137" s="43">
        <v>0</v>
      </c>
      <c r="F137" s="43">
        <v>0</v>
      </c>
      <c r="G137" s="729">
        <v>0</v>
      </c>
      <c r="H137" s="750">
        <v>0</v>
      </c>
      <c r="I137" s="43">
        <v>1.2441000000000001E-2</v>
      </c>
      <c r="J137" s="43">
        <v>0</v>
      </c>
      <c r="K137" s="43">
        <v>0</v>
      </c>
      <c r="L137" s="729">
        <v>0</v>
      </c>
      <c r="M137" s="750">
        <v>0</v>
      </c>
      <c r="N137" s="45">
        <v>4.3727000000000002E-2</v>
      </c>
      <c r="O137" s="43">
        <v>0</v>
      </c>
      <c r="P137" s="43">
        <v>0</v>
      </c>
      <c r="Q137" s="729">
        <v>0.54671599999999998</v>
      </c>
      <c r="R137" s="750">
        <v>0</v>
      </c>
      <c r="S137" s="45">
        <v>4.6463999999999998E-2</v>
      </c>
      <c r="T137" s="43">
        <v>0</v>
      </c>
      <c r="U137" s="43">
        <v>0</v>
      </c>
      <c r="V137" s="729">
        <v>0.54671599999999998</v>
      </c>
      <c r="W137" s="616">
        <v>0</v>
      </c>
    </row>
    <row r="138" spans="2:23" x14ac:dyDescent="0.3">
      <c r="B138" s="380" t="s">
        <v>1431</v>
      </c>
      <c r="C138" s="179" t="s">
        <v>609</v>
      </c>
      <c r="D138" s="182">
        <v>6.783E-3</v>
      </c>
      <c r="E138" s="43">
        <v>0</v>
      </c>
      <c r="F138" s="43">
        <v>0</v>
      </c>
      <c r="G138" s="729">
        <v>0</v>
      </c>
      <c r="H138" s="750">
        <v>0</v>
      </c>
      <c r="I138" s="43">
        <v>6.783E-3</v>
      </c>
      <c r="J138" s="43">
        <v>0</v>
      </c>
      <c r="K138" s="43">
        <v>0</v>
      </c>
      <c r="L138" s="729">
        <v>0</v>
      </c>
      <c r="M138" s="750">
        <v>0</v>
      </c>
      <c r="N138" s="45">
        <v>5.0304000000000001E-2</v>
      </c>
      <c r="O138" s="43">
        <v>0</v>
      </c>
      <c r="P138" s="43">
        <v>0</v>
      </c>
      <c r="Q138" s="729">
        <v>0</v>
      </c>
      <c r="R138" s="750">
        <v>0</v>
      </c>
      <c r="S138" s="45">
        <v>5.0304000000000001E-2</v>
      </c>
      <c r="T138" s="43">
        <v>0</v>
      </c>
      <c r="U138" s="43">
        <v>0</v>
      </c>
      <c r="V138" s="729">
        <v>0</v>
      </c>
      <c r="W138" s="616">
        <v>0</v>
      </c>
    </row>
    <row r="139" spans="2:23" x14ac:dyDescent="0.3">
      <c r="B139" s="380" t="s">
        <v>1432</v>
      </c>
      <c r="C139" s="179" t="s">
        <v>610</v>
      </c>
      <c r="D139" s="182">
        <v>2.0296000000000002E-2</v>
      </c>
      <c r="E139" s="43">
        <v>0</v>
      </c>
      <c r="F139" s="43">
        <v>0</v>
      </c>
      <c r="G139" s="729">
        <v>0</v>
      </c>
      <c r="H139" s="750">
        <v>0</v>
      </c>
      <c r="I139" s="43">
        <v>2.7116999999999999E-2</v>
      </c>
      <c r="J139" s="43">
        <v>0</v>
      </c>
      <c r="K139" s="43">
        <v>0</v>
      </c>
      <c r="L139" s="729">
        <v>0</v>
      </c>
      <c r="M139" s="750">
        <v>0</v>
      </c>
      <c r="N139" s="45">
        <v>2.7671999999999999E-2</v>
      </c>
      <c r="O139" s="43">
        <v>0</v>
      </c>
      <c r="P139" s="43">
        <v>0</v>
      </c>
      <c r="Q139" s="729">
        <v>1</v>
      </c>
      <c r="R139" s="750">
        <v>0</v>
      </c>
      <c r="S139" s="45">
        <v>3.4222000000000002E-2</v>
      </c>
      <c r="T139" s="43">
        <v>0</v>
      </c>
      <c r="U139" s="43">
        <v>0</v>
      </c>
      <c r="V139" s="729">
        <v>1</v>
      </c>
      <c r="W139" s="616">
        <v>0</v>
      </c>
    </row>
    <row r="140" spans="2:23" x14ac:dyDescent="0.3">
      <c r="B140" s="380" t="s">
        <v>1433</v>
      </c>
      <c r="C140" s="179" t="s">
        <v>611</v>
      </c>
      <c r="D140" s="182">
        <v>0.72927299999999995</v>
      </c>
      <c r="E140" s="43">
        <v>0</v>
      </c>
      <c r="F140" s="43">
        <v>0</v>
      </c>
      <c r="G140" s="729">
        <v>0.103634</v>
      </c>
      <c r="H140" s="750">
        <v>0</v>
      </c>
      <c r="I140" s="43">
        <v>0.74146100000000004</v>
      </c>
      <c r="J140" s="43">
        <v>0</v>
      </c>
      <c r="K140" s="43">
        <v>0</v>
      </c>
      <c r="L140" s="729">
        <v>0</v>
      </c>
      <c r="M140" s="750">
        <v>0</v>
      </c>
      <c r="N140" s="45">
        <v>0.31110700000000002</v>
      </c>
      <c r="O140" s="43">
        <v>0</v>
      </c>
      <c r="P140" s="43">
        <v>0</v>
      </c>
      <c r="Q140" s="729">
        <v>0.992699</v>
      </c>
      <c r="R140" s="750">
        <v>0</v>
      </c>
      <c r="S140" s="45">
        <v>0.34664</v>
      </c>
      <c r="T140" s="43">
        <v>0</v>
      </c>
      <c r="U140" s="43">
        <v>0</v>
      </c>
      <c r="V140" s="729">
        <v>0.992699</v>
      </c>
      <c r="W140" s="616">
        <v>0</v>
      </c>
    </row>
    <row r="141" spans="2:23" x14ac:dyDescent="0.3">
      <c r="B141" s="380" t="s">
        <v>1434</v>
      </c>
      <c r="C141" s="179" t="s">
        <v>612</v>
      </c>
      <c r="D141" s="182">
        <v>0.62357399999999996</v>
      </c>
      <c r="E141" s="43">
        <v>0</v>
      </c>
      <c r="F141" s="43">
        <v>0</v>
      </c>
      <c r="G141" s="729">
        <v>9.6143999999999993E-2</v>
      </c>
      <c r="H141" s="750">
        <v>0</v>
      </c>
      <c r="I141" s="43">
        <v>0.67342100000000005</v>
      </c>
      <c r="J141" s="43">
        <v>0</v>
      </c>
      <c r="K141" s="43">
        <v>0</v>
      </c>
      <c r="L141" s="729">
        <v>0</v>
      </c>
      <c r="M141" s="750">
        <v>0</v>
      </c>
      <c r="N141" s="45">
        <v>0.57262900000000005</v>
      </c>
      <c r="O141" s="43">
        <v>0</v>
      </c>
      <c r="P141" s="43">
        <v>0</v>
      </c>
      <c r="Q141" s="729">
        <v>0.95671700000000004</v>
      </c>
      <c r="R141" s="750">
        <v>0</v>
      </c>
      <c r="S141" s="45">
        <v>0.64011899999999999</v>
      </c>
      <c r="T141" s="43">
        <v>0</v>
      </c>
      <c r="U141" s="43">
        <v>0</v>
      </c>
      <c r="V141" s="729">
        <v>0.95671700000000004</v>
      </c>
      <c r="W141" s="616">
        <v>0</v>
      </c>
    </row>
    <row r="142" spans="2:23" x14ac:dyDescent="0.3">
      <c r="B142" s="380" t="s">
        <v>1435</v>
      </c>
      <c r="C142" s="179" t="s">
        <v>613</v>
      </c>
      <c r="D142" s="182">
        <v>1.309598</v>
      </c>
      <c r="E142" s="43">
        <v>0</v>
      </c>
      <c r="F142" s="43">
        <v>0</v>
      </c>
      <c r="G142" s="729">
        <v>0.139625</v>
      </c>
      <c r="H142" s="750">
        <v>0</v>
      </c>
      <c r="I142" s="43">
        <v>1.3656999999999999</v>
      </c>
      <c r="J142" s="43">
        <v>0</v>
      </c>
      <c r="K142" s="43">
        <v>0</v>
      </c>
      <c r="L142" s="729">
        <v>0</v>
      </c>
      <c r="M142" s="750">
        <v>0</v>
      </c>
      <c r="N142" s="45">
        <v>1.057094</v>
      </c>
      <c r="O142" s="43">
        <v>0.44163599999999997</v>
      </c>
      <c r="P142" s="43">
        <v>0.59262400000000004</v>
      </c>
      <c r="Q142" s="729">
        <v>0</v>
      </c>
      <c r="R142" s="750">
        <v>0</v>
      </c>
      <c r="S142" s="45">
        <v>1.057094</v>
      </c>
      <c r="T142" s="43">
        <v>0.44163599999999997</v>
      </c>
      <c r="U142" s="43">
        <v>0.59262400000000004</v>
      </c>
      <c r="V142" s="729">
        <v>0</v>
      </c>
      <c r="W142" s="616">
        <v>0</v>
      </c>
    </row>
    <row r="143" spans="2:23" x14ac:dyDescent="0.3">
      <c r="B143" s="380" t="s">
        <v>1436</v>
      </c>
      <c r="C143" s="179" t="s">
        <v>614</v>
      </c>
      <c r="D143" s="182">
        <v>0.66622499999999996</v>
      </c>
      <c r="E143" s="43">
        <v>0</v>
      </c>
      <c r="F143" s="43">
        <v>0</v>
      </c>
      <c r="G143" s="729">
        <v>0.38119999999999998</v>
      </c>
      <c r="H143" s="750">
        <v>0</v>
      </c>
      <c r="I143" s="43">
        <v>0.89052399999999998</v>
      </c>
      <c r="J143" s="43">
        <v>0</v>
      </c>
      <c r="K143" s="43">
        <v>0</v>
      </c>
      <c r="L143" s="729">
        <v>0</v>
      </c>
      <c r="M143" s="750">
        <v>0</v>
      </c>
      <c r="N143" s="45">
        <v>0.46790399999999999</v>
      </c>
      <c r="O143" s="43">
        <v>0</v>
      </c>
      <c r="P143" s="43">
        <v>0</v>
      </c>
      <c r="Q143" s="729">
        <v>0.99151199999999995</v>
      </c>
      <c r="R143" s="750">
        <v>0</v>
      </c>
      <c r="S143" s="45">
        <v>0.53812300000000002</v>
      </c>
      <c r="T143" s="43">
        <v>0</v>
      </c>
      <c r="U143" s="43">
        <v>0</v>
      </c>
      <c r="V143" s="729">
        <v>0.99151199999999995</v>
      </c>
      <c r="W143" s="616">
        <v>0</v>
      </c>
    </row>
    <row r="144" spans="2:23" x14ac:dyDescent="0.3">
      <c r="B144" s="380" t="s">
        <v>1437</v>
      </c>
      <c r="C144" s="179" t="s">
        <v>615</v>
      </c>
      <c r="D144" s="182">
        <v>1.1256470000000001</v>
      </c>
      <c r="E144" s="43">
        <v>0</v>
      </c>
      <c r="F144" s="43">
        <v>0</v>
      </c>
      <c r="G144" s="729">
        <v>0.27566800000000002</v>
      </c>
      <c r="H144" s="750">
        <v>0</v>
      </c>
      <c r="I144" s="43">
        <v>1.4339580000000001</v>
      </c>
      <c r="J144" s="43">
        <v>0</v>
      </c>
      <c r="K144" s="43">
        <v>0</v>
      </c>
      <c r="L144" s="729">
        <v>0</v>
      </c>
      <c r="M144" s="750">
        <v>0</v>
      </c>
      <c r="N144" s="45">
        <v>0.68114799999999998</v>
      </c>
      <c r="O144" s="43">
        <v>0</v>
      </c>
      <c r="P144" s="43">
        <v>0</v>
      </c>
      <c r="Q144" s="729">
        <v>0.98972599999999999</v>
      </c>
      <c r="R144" s="750">
        <v>2.9904E-2</v>
      </c>
      <c r="S144" s="45">
        <v>0.79234599999999999</v>
      </c>
      <c r="T144" s="43">
        <v>0</v>
      </c>
      <c r="U144" s="43">
        <v>0</v>
      </c>
      <c r="V144" s="729">
        <v>0.98982099999999995</v>
      </c>
      <c r="W144" s="616">
        <v>8.5210000000000008E-3</v>
      </c>
    </row>
    <row r="145" spans="2:23" x14ac:dyDescent="0.3">
      <c r="B145" s="380" t="s">
        <v>1438</v>
      </c>
      <c r="C145" s="179" t="s">
        <v>616</v>
      </c>
      <c r="D145" s="182">
        <v>0.85213700000000003</v>
      </c>
      <c r="E145" s="43">
        <v>0</v>
      </c>
      <c r="F145" s="43">
        <v>0</v>
      </c>
      <c r="G145" s="729">
        <v>0.38481300000000002</v>
      </c>
      <c r="H145" s="750">
        <v>2.2901000000000001E-2</v>
      </c>
      <c r="I145" s="43">
        <v>1.0213190000000001</v>
      </c>
      <c r="J145" s="43">
        <v>0.60208799999999996</v>
      </c>
      <c r="K145" s="43">
        <v>0.35</v>
      </c>
      <c r="L145" s="729">
        <v>0</v>
      </c>
      <c r="M145" s="750">
        <v>0</v>
      </c>
      <c r="N145" s="45">
        <v>0.33484799999999998</v>
      </c>
      <c r="O145" s="43">
        <v>0</v>
      </c>
      <c r="P145" s="43">
        <v>0</v>
      </c>
      <c r="Q145" s="729">
        <v>0.97797299999999998</v>
      </c>
      <c r="R145" s="750">
        <v>9.2118000000000005E-2</v>
      </c>
      <c r="S145" s="45">
        <v>0.65137100000000003</v>
      </c>
      <c r="T145" s="43">
        <v>0.40415800000000002</v>
      </c>
      <c r="U145" s="43">
        <v>0.62</v>
      </c>
      <c r="V145" s="729">
        <v>0.21503</v>
      </c>
      <c r="W145" s="616">
        <v>0</v>
      </c>
    </row>
    <row r="146" spans="2:23" x14ac:dyDescent="0.3">
      <c r="B146" s="380" t="s">
        <v>1439</v>
      </c>
      <c r="C146" s="179" t="s">
        <v>617</v>
      </c>
      <c r="D146" s="182">
        <v>1.1987190000000001</v>
      </c>
      <c r="E146" s="43">
        <v>0</v>
      </c>
      <c r="F146" s="43">
        <v>0</v>
      </c>
      <c r="G146" s="729">
        <v>0.139075</v>
      </c>
      <c r="H146" s="750">
        <v>0</v>
      </c>
      <c r="I146" s="43">
        <v>1.339607</v>
      </c>
      <c r="J146" s="43">
        <v>0</v>
      </c>
      <c r="K146" s="43">
        <v>0</v>
      </c>
      <c r="L146" s="729">
        <v>0</v>
      </c>
      <c r="M146" s="750">
        <v>0</v>
      </c>
      <c r="N146" s="45">
        <v>0.60119699999999998</v>
      </c>
      <c r="O146" s="43">
        <v>0</v>
      </c>
      <c r="P146" s="43">
        <v>0</v>
      </c>
      <c r="Q146" s="729">
        <v>0.98660999999999999</v>
      </c>
      <c r="R146" s="750">
        <v>0</v>
      </c>
      <c r="S146" s="45">
        <v>0.67504200000000003</v>
      </c>
      <c r="T146" s="43">
        <v>0</v>
      </c>
      <c r="U146" s="43">
        <v>0</v>
      </c>
      <c r="V146" s="729">
        <v>0.98660999999999999</v>
      </c>
      <c r="W146" s="616">
        <v>0</v>
      </c>
    </row>
    <row r="147" spans="2:23" x14ac:dyDescent="0.3">
      <c r="B147" s="380" t="s">
        <v>1440</v>
      </c>
      <c r="C147" s="179" t="s">
        <v>618</v>
      </c>
      <c r="D147" s="182">
        <v>0.61874899999999999</v>
      </c>
      <c r="E147" s="43">
        <v>0</v>
      </c>
      <c r="F147" s="43">
        <v>0</v>
      </c>
      <c r="G147" s="729">
        <v>4.8988999999999998E-2</v>
      </c>
      <c r="H147" s="750">
        <v>0</v>
      </c>
      <c r="I147" s="43">
        <v>0.69961499999999999</v>
      </c>
      <c r="J147" s="43">
        <v>0</v>
      </c>
      <c r="K147" s="43">
        <v>0</v>
      </c>
      <c r="L147" s="729">
        <v>0</v>
      </c>
      <c r="M147" s="750">
        <v>0</v>
      </c>
      <c r="N147" s="45">
        <v>0.41199599999999997</v>
      </c>
      <c r="O147" s="43">
        <v>0</v>
      </c>
      <c r="P147" s="43">
        <v>0</v>
      </c>
      <c r="Q147" s="729">
        <v>0.98361900000000002</v>
      </c>
      <c r="R147" s="750">
        <v>0</v>
      </c>
      <c r="S147" s="45">
        <v>0.48299900000000001</v>
      </c>
      <c r="T147" s="43">
        <v>0</v>
      </c>
      <c r="U147" s="43">
        <v>0</v>
      </c>
      <c r="V147" s="729">
        <v>0.98361900000000002</v>
      </c>
      <c r="W147" s="616">
        <v>0</v>
      </c>
    </row>
    <row r="148" spans="2:23" x14ac:dyDescent="0.3">
      <c r="B148" s="380" t="s">
        <v>1441</v>
      </c>
      <c r="C148" s="179" t="s">
        <v>619</v>
      </c>
      <c r="D148" s="182">
        <v>0.534779</v>
      </c>
      <c r="E148" s="43">
        <v>0</v>
      </c>
      <c r="F148" s="43">
        <v>0</v>
      </c>
      <c r="G148" s="729">
        <v>0.28771400000000003</v>
      </c>
      <c r="H148" s="750">
        <v>0</v>
      </c>
      <c r="I148" s="43">
        <v>0.565218</v>
      </c>
      <c r="J148" s="43">
        <v>0</v>
      </c>
      <c r="K148" s="43">
        <v>0</v>
      </c>
      <c r="L148" s="729">
        <v>0</v>
      </c>
      <c r="M148" s="750">
        <v>0</v>
      </c>
      <c r="N148" s="45">
        <v>0.63708600000000004</v>
      </c>
      <c r="O148" s="43">
        <v>0.51473999999999998</v>
      </c>
      <c r="P148" s="43">
        <v>0.5</v>
      </c>
      <c r="Q148" s="729">
        <v>0</v>
      </c>
      <c r="R148" s="750">
        <v>0</v>
      </c>
      <c r="S148" s="45">
        <v>0.63708600000000004</v>
      </c>
      <c r="T148" s="43">
        <v>0.51473999999999998</v>
      </c>
      <c r="U148" s="43">
        <v>0.5</v>
      </c>
      <c r="V148" s="729">
        <v>0</v>
      </c>
      <c r="W148" s="616">
        <v>0</v>
      </c>
    </row>
    <row r="149" spans="2:23" x14ac:dyDescent="0.3">
      <c r="B149" s="380" t="s">
        <v>1442</v>
      </c>
      <c r="C149" s="179" t="s">
        <v>620</v>
      </c>
      <c r="D149" s="182">
        <v>0.21982699999999999</v>
      </c>
      <c r="E149" s="43">
        <v>0</v>
      </c>
      <c r="F149" s="43">
        <v>0</v>
      </c>
      <c r="G149" s="729">
        <v>0.21100099999999999</v>
      </c>
      <c r="H149" s="750">
        <v>0</v>
      </c>
      <c r="I149" s="43">
        <v>0.21470900000000001</v>
      </c>
      <c r="J149" s="43">
        <v>0</v>
      </c>
      <c r="K149" s="43">
        <v>0</v>
      </c>
      <c r="L149" s="729">
        <v>0</v>
      </c>
      <c r="M149" s="750">
        <v>0</v>
      </c>
      <c r="N149" s="45">
        <v>0.296761</v>
      </c>
      <c r="O149" s="43">
        <v>0.51810599999999996</v>
      </c>
      <c r="P149" s="43">
        <v>0.49</v>
      </c>
      <c r="Q149" s="729">
        <v>0</v>
      </c>
      <c r="R149" s="750">
        <v>0</v>
      </c>
      <c r="S149" s="45">
        <v>0.296761</v>
      </c>
      <c r="T149" s="43">
        <v>0.51810599999999996</v>
      </c>
      <c r="U149" s="43">
        <v>0.49</v>
      </c>
      <c r="V149" s="729">
        <v>0</v>
      </c>
      <c r="W149" s="616">
        <v>0</v>
      </c>
    </row>
    <row r="150" spans="2:23" x14ac:dyDescent="0.3">
      <c r="B150" s="380" t="s">
        <v>1443</v>
      </c>
      <c r="C150" s="179" t="s">
        <v>621</v>
      </c>
      <c r="D150" s="182">
        <v>6.9829000000000002E-2</v>
      </c>
      <c r="E150" s="43">
        <v>0</v>
      </c>
      <c r="F150" s="43">
        <v>0</v>
      </c>
      <c r="G150" s="729">
        <v>0.53593500000000005</v>
      </c>
      <c r="H150" s="750">
        <v>0</v>
      </c>
      <c r="I150" s="43">
        <v>8.8650999999999994E-2</v>
      </c>
      <c r="J150" s="43">
        <v>0</v>
      </c>
      <c r="K150" s="43">
        <v>0</v>
      </c>
      <c r="L150" s="729">
        <v>0</v>
      </c>
      <c r="M150" s="750">
        <v>0</v>
      </c>
      <c r="N150" s="45">
        <v>0.110108</v>
      </c>
      <c r="O150" s="43">
        <v>0.49793599999999999</v>
      </c>
      <c r="P150" s="43">
        <v>0.51</v>
      </c>
      <c r="Q150" s="729">
        <v>0</v>
      </c>
      <c r="R150" s="750">
        <v>0</v>
      </c>
      <c r="S150" s="45">
        <v>0.110108</v>
      </c>
      <c r="T150" s="43">
        <v>0.49793599999999999</v>
      </c>
      <c r="U150" s="43">
        <v>0.51</v>
      </c>
      <c r="V150" s="729">
        <v>0</v>
      </c>
      <c r="W150" s="616">
        <v>0</v>
      </c>
    </row>
    <row r="151" spans="2:23" x14ac:dyDescent="0.3">
      <c r="B151" s="380" t="s">
        <v>1444</v>
      </c>
      <c r="C151" s="179" t="s">
        <v>622</v>
      </c>
      <c r="D151" s="182">
        <v>5.7126000000000003E-2</v>
      </c>
      <c r="E151" s="43">
        <v>0</v>
      </c>
      <c r="F151" s="43">
        <v>0</v>
      </c>
      <c r="G151" s="729">
        <v>0</v>
      </c>
      <c r="H151" s="750">
        <v>0</v>
      </c>
      <c r="I151" s="43">
        <v>5.7126000000000003E-2</v>
      </c>
      <c r="J151" s="43">
        <v>0</v>
      </c>
      <c r="K151" s="43">
        <v>0</v>
      </c>
      <c r="L151" s="729">
        <v>0</v>
      </c>
      <c r="M151" s="750">
        <v>0</v>
      </c>
      <c r="N151" s="45">
        <v>0.10541499999999999</v>
      </c>
      <c r="O151" s="43">
        <v>0.62224100000000004</v>
      </c>
      <c r="P151" s="43">
        <v>0.5</v>
      </c>
      <c r="Q151" s="729">
        <v>0</v>
      </c>
      <c r="R151" s="750">
        <v>0</v>
      </c>
      <c r="S151" s="45">
        <v>0.10541499999999999</v>
      </c>
      <c r="T151" s="43">
        <v>0.62224100000000004</v>
      </c>
      <c r="U151" s="43">
        <v>0.5</v>
      </c>
      <c r="V151" s="729">
        <v>0</v>
      </c>
      <c r="W151" s="616">
        <v>0</v>
      </c>
    </row>
    <row r="152" spans="2:23" x14ac:dyDescent="0.3">
      <c r="B152" s="380" t="s">
        <v>1445</v>
      </c>
      <c r="C152" s="179" t="s">
        <v>623</v>
      </c>
      <c r="D152" s="182">
        <v>0.432334</v>
      </c>
      <c r="E152" s="43">
        <v>0.33224500000000001</v>
      </c>
      <c r="F152" s="43">
        <v>0</v>
      </c>
      <c r="G152" s="729">
        <v>0.40075</v>
      </c>
      <c r="H152" s="750">
        <v>1.3158E-2</v>
      </c>
      <c r="I152" s="43">
        <v>0.58283499999999999</v>
      </c>
      <c r="J152" s="43">
        <v>0</v>
      </c>
      <c r="K152" s="43">
        <v>0</v>
      </c>
      <c r="L152" s="729">
        <v>0</v>
      </c>
      <c r="M152" s="750">
        <v>0</v>
      </c>
      <c r="N152" s="45">
        <v>0.481711</v>
      </c>
      <c r="O152" s="43">
        <v>0.50706300000000004</v>
      </c>
      <c r="P152" s="43">
        <v>0.51</v>
      </c>
      <c r="Q152" s="729">
        <v>0</v>
      </c>
      <c r="R152" s="750">
        <v>0</v>
      </c>
      <c r="S152" s="45">
        <v>0.49111199999999999</v>
      </c>
      <c r="T152" s="43">
        <v>0.49825599999999998</v>
      </c>
      <c r="U152" s="43">
        <v>0.5</v>
      </c>
      <c r="V152" s="729">
        <v>0</v>
      </c>
      <c r="W152" s="616">
        <v>0</v>
      </c>
    </row>
    <row r="153" spans="2:23" x14ac:dyDescent="0.3">
      <c r="B153" s="380" t="s">
        <v>1446</v>
      </c>
      <c r="C153" s="179" t="s">
        <v>624</v>
      </c>
      <c r="D153" s="182">
        <v>0.42236499999999999</v>
      </c>
      <c r="E153" s="43">
        <v>0</v>
      </c>
      <c r="F153" s="43">
        <v>0</v>
      </c>
      <c r="G153" s="729">
        <v>0.39459499999999997</v>
      </c>
      <c r="H153" s="750">
        <v>0</v>
      </c>
      <c r="I153" s="43">
        <v>0.45524100000000001</v>
      </c>
      <c r="J153" s="43">
        <v>0</v>
      </c>
      <c r="K153" s="43">
        <v>0</v>
      </c>
      <c r="L153" s="729">
        <v>0</v>
      </c>
      <c r="M153" s="750">
        <v>0</v>
      </c>
      <c r="N153" s="45">
        <v>0.44594899999999998</v>
      </c>
      <c r="O153" s="43">
        <v>0.55973899999999999</v>
      </c>
      <c r="P153" s="43">
        <v>0.5</v>
      </c>
      <c r="Q153" s="729">
        <v>0</v>
      </c>
      <c r="R153" s="750">
        <v>0</v>
      </c>
      <c r="S153" s="45">
        <v>0.44594899999999998</v>
      </c>
      <c r="T153" s="43">
        <v>0.55973899999999999</v>
      </c>
      <c r="U153" s="43">
        <v>0.5</v>
      </c>
      <c r="V153" s="729">
        <v>0</v>
      </c>
      <c r="W153" s="616">
        <v>0</v>
      </c>
    </row>
    <row r="154" spans="2:23" x14ac:dyDescent="0.3">
      <c r="B154" s="380" t="s">
        <v>1447</v>
      </c>
      <c r="C154" s="179" t="s">
        <v>625</v>
      </c>
      <c r="D154" s="182">
        <v>0.71177000000000001</v>
      </c>
      <c r="E154" s="43">
        <v>0</v>
      </c>
      <c r="F154" s="43">
        <v>0</v>
      </c>
      <c r="G154" s="729">
        <v>0.43186099999999999</v>
      </c>
      <c r="H154" s="750">
        <v>0</v>
      </c>
      <c r="I154" s="43">
        <v>0.82717399999999996</v>
      </c>
      <c r="J154" s="43">
        <v>0</v>
      </c>
      <c r="K154" s="43">
        <v>0</v>
      </c>
      <c r="L154" s="729">
        <v>0</v>
      </c>
      <c r="M154" s="750">
        <v>0</v>
      </c>
      <c r="N154" s="45">
        <v>0.74563599999999997</v>
      </c>
      <c r="O154" s="43">
        <v>0.60819800000000002</v>
      </c>
      <c r="P154" s="43">
        <v>0.49</v>
      </c>
      <c r="Q154" s="729">
        <v>0.57295099999999999</v>
      </c>
      <c r="R154" s="750">
        <v>0</v>
      </c>
      <c r="S154" s="45">
        <v>0.798821</v>
      </c>
      <c r="T154" s="43">
        <v>0.60819800000000002</v>
      </c>
      <c r="U154" s="43">
        <v>0.49</v>
      </c>
      <c r="V154" s="729">
        <v>0.57295099999999999</v>
      </c>
      <c r="W154" s="616">
        <v>0</v>
      </c>
    </row>
    <row r="155" spans="2:23" x14ac:dyDescent="0.3">
      <c r="B155" s="380" t="s">
        <v>1448</v>
      </c>
      <c r="C155" s="179" t="s">
        <v>626</v>
      </c>
      <c r="D155" s="182">
        <v>0.23952799999999999</v>
      </c>
      <c r="E155" s="43">
        <v>0</v>
      </c>
      <c r="F155" s="43">
        <v>0</v>
      </c>
      <c r="G155" s="729">
        <v>0.50794499999999998</v>
      </c>
      <c r="H155" s="750">
        <v>0</v>
      </c>
      <c r="I155" s="43">
        <v>0.27048299999999997</v>
      </c>
      <c r="J155" s="43">
        <v>0</v>
      </c>
      <c r="K155" s="43">
        <v>0</v>
      </c>
      <c r="L155" s="729">
        <v>0</v>
      </c>
      <c r="M155" s="750">
        <v>0</v>
      </c>
      <c r="N155" s="45">
        <v>0.35328999999999999</v>
      </c>
      <c r="O155" s="43">
        <v>0.57129200000000002</v>
      </c>
      <c r="P155" s="43">
        <v>0.5</v>
      </c>
      <c r="Q155" s="729">
        <v>0</v>
      </c>
      <c r="R155" s="750">
        <v>0</v>
      </c>
      <c r="S155" s="45">
        <v>0.35328999999999999</v>
      </c>
      <c r="T155" s="43">
        <v>0.57129200000000002</v>
      </c>
      <c r="U155" s="43">
        <v>0.5</v>
      </c>
      <c r="V155" s="729">
        <v>0</v>
      </c>
      <c r="W155" s="616">
        <v>0</v>
      </c>
    </row>
    <row r="156" spans="2:23" x14ac:dyDescent="0.3">
      <c r="B156" s="380" t="s">
        <v>1449</v>
      </c>
      <c r="C156" s="179" t="s">
        <v>627</v>
      </c>
      <c r="D156" s="182">
        <v>0.46776299999999998</v>
      </c>
      <c r="E156" s="43">
        <v>0</v>
      </c>
      <c r="F156" s="43">
        <v>0</v>
      </c>
      <c r="G156" s="729">
        <v>0.439446</v>
      </c>
      <c r="H156" s="750">
        <v>0</v>
      </c>
      <c r="I156" s="43">
        <v>0.56827499999999997</v>
      </c>
      <c r="J156" s="43">
        <v>0</v>
      </c>
      <c r="K156" s="43">
        <v>0</v>
      </c>
      <c r="L156" s="729">
        <v>0</v>
      </c>
      <c r="M156" s="750">
        <v>0</v>
      </c>
      <c r="N156" s="45">
        <v>0.44125599999999998</v>
      </c>
      <c r="O156" s="43">
        <v>0</v>
      </c>
      <c r="P156" s="43">
        <v>0</v>
      </c>
      <c r="Q156" s="729">
        <v>0.98021599999999998</v>
      </c>
      <c r="R156" s="750">
        <v>0</v>
      </c>
      <c r="S156" s="45">
        <v>0.49329800000000001</v>
      </c>
      <c r="T156" s="43">
        <v>0</v>
      </c>
      <c r="U156" s="43">
        <v>0</v>
      </c>
      <c r="V156" s="729">
        <v>0.98021599999999998</v>
      </c>
      <c r="W156" s="616">
        <v>0</v>
      </c>
    </row>
    <row r="157" spans="2:23" x14ac:dyDescent="0.3">
      <c r="B157" s="380" t="s">
        <v>1450</v>
      </c>
      <c r="C157" s="179" t="s">
        <v>628</v>
      </c>
      <c r="D157" s="182">
        <v>0.45183699999999999</v>
      </c>
      <c r="E157" s="43">
        <v>0</v>
      </c>
      <c r="F157" s="43">
        <v>0</v>
      </c>
      <c r="G157" s="729">
        <v>0.29763499999999998</v>
      </c>
      <c r="H157" s="750">
        <v>0</v>
      </c>
      <c r="I157" s="43">
        <v>0.51420500000000002</v>
      </c>
      <c r="J157" s="43">
        <v>0</v>
      </c>
      <c r="K157" s="43">
        <v>0</v>
      </c>
      <c r="L157" s="729">
        <v>0</v>
      </c>
      <c r="M157" s="750">
        <v>0</v>
      </c>
      <c r="N157" s="45">
        <v>0.359346</v>
      </c>
      <c r="O157" s="43">
        <v>0</v>
      </c>
      <c r="P157" s="43">
        <v>0</v>
      </c>
      <c r="Q157" s="729">
        <v>0.99001300000000003</v>
      </c>
      <c r="R157" s="750">
        <v>0</v>
      </c>
      <c r="S157" s="45">
        <v>0.41722700000000001</v>
      </c>
      <c r="T157" s="43">
        <v>0</v>
      </c>
      <c r="U157" s="43">
        <v>0</v>
      </c>
      <c r="V157" s="729">
        <v>0.99001300000000003</v>
      </c>
      <c r="W157" s="616">
        <v>0</v>
      </c>
    </row>
    <row r="158" spans="2:23" x14ac:dyDescent="0.3">
      <c r="B158" s="380" t="s">
        <v>1451</v>
      </c>
      <c r="C158" s="179" t="s">
        <v>629</v>
      </c>
      <c r="D158" s="182">
        <v>0.95300799999999997</v>
      </c>
      <c r="E158" s="43">
        <v>0.33813700000000002</v>
      </c>
      <c r="F158" s="43">
        <v>0.01</v>
      </c>
      <c r="G158" s="729">
        <v>0.56614500000000001</v>
      </c>
      <c r="H158" s="750">
        <v>0</v>
      </c>
      <c r="I158" s="43">
        <v>1.4184950000000001</v>
      </c>
      <c r="J158" s="43">
        <v>0</v>
      </c>
      <c r="K158" s="43">
        <v>0</v>
      </c>
      <c r="L158" s="729">
        <v>0</v>
      </c>
      <c r="M158" s="750">
        <v>0</v>
      </c>
      <c r="N158" s="45">
        <v>0.87361800000000001</v>
      </c>
      <c r="O158" s="43">
        <v>0</v>
      </c>
      <c r="P158" s="43">
        <v>0</v>
      </c>
      <c r="Q158" s="729">
        <v>0.98457799999999995</v>
      </c>
      <c r="R158" s="750">
        <v>0</v>
      </c>
      <c r="S158" s="45">
        <v>1.0462579999999999</v>
      </c>
      <c r="T158" s="43">
        <v>0</v>
      </c>
      <c r="U158" s="43">
        <v>0</v>
      </c>
      <c r="V158" s="729">
        <v>0.98457799999999995</v>
      </c>
      <c r="W158" s="616">
        <v>0</v>
      </c>
    </row>
    <row r="159" spans="2:23" x14ac:dyDescent="0.3">
      <c r="B159" s="380" t="s">
        <v>1452</v>
      </c>
      <c r="C159" s="179" t="s">
        <v>630</v>
      </c>
      <c r="D159" s="182">
        <v>0.118175</v>
      </c>
      <c r="E159" s="43">
        <v>0</v>
      </c>
      <c r="F159" s="43">
        <v>0</v>
      </c>
      <c r="G159" s="729">
        <v>0.29931999999999997</v>
      </c>
      <c r="H159" s="750">
        <v>0</v>
      </c>
      <c r="I159" s="43">
        <v>0.122116</v>
      </c>
      <c r="J159" s="43">
        <v>0</v>
      </c>
      <c r="K159" s="43">
        <v>0</v>
      </c>
      <c r="L159" s="729">
        <v>0</v>
      </c>
      <c r="M159" s="750">
        <v>0</v>
      </c>
      <c r="N159" s="45">
        <v>0.202181</v>
      </c>
      <c r="O159" s="43">
        <v>0.601047</v>
      </c>
      <c r="P159" s="43">
        <v>0.5</v>
      </c>
      <c r="Q159" s="729">
        <v>0</v>
      </c>
      <c r="R159" s="750">
        <v>0</v>
      </c>
      <c r="S159" s="45">
        <v>0.202181</v>
      </c>
      <c r="T159" s="43">
        <v>0.601047</v>
      </c>
      <c r="U159" s="43">
        <v>0.5</v>
      </c>
      <c r="V159" s="729">
        <v>0</v>
      </c>
      <c r="W159" s="616">
        <v>0</v>
      </c>
    </row>
    <row r="160" spans="2:23" x14ac:dyDescent="0.3">
      <c r="B160" s="380" t="s">
        <v>1453</v>
      </c>
      <c r="C160" s="179" t="s">
        <v>631</v>
      </c>
      <c r="D160" s="182">
        <v>0.123582</v>
      </c>
      <c r="E160" s="43">
        <v>0</v>
      </c>
      <c r="F160" s="43">
        <v>0</v>
      </c>
      <c r="G160" s="729">
        <v>0.64105800000000002</v>
      </c>
      <c r="H160" s="750">
        <v>0</v>
      </c>
      <c r="I160" s="43">
        <v>0.15520500000000001</v>
      </c>
      <c r="J160" s="43">
        <v>0</v>
      </c>
      <c r="K160" s="43">
        <v>0</v>
      </c>
      <c r="L160" s="729">
        <v>0</v>
      </c>
      <c r="M160" s="750">
        <v>0</v>
      </c>
      <c r="N160" s="45">
        <v>0.99802100000000005</v>
      </c>
      <c r="O160" s="43">
        <v>0</v>
      </c>
      <c r="P160" s="43">
        <v>0</v>
      </c>
      <c r="Q160" s="729">
        <v>0</v>
      </c>
      <c r="R160" s="750">
        <v>0</v>
      </c>
      <c r="S160" s="45">
        <v>0.99802100000000005</v>
      </c>
      <c r="T160" s="43">
        <v>0</v>
      </c>
      <c r="U160" s="43">
        <v>0</v>
      </c>
      <c r="V160" s="729">
        <v>0</v>
      </c>
      <c r="W160" s="616">
        <v>0</v>
      </c>
    </row>
    <row r="161" spans="2:23" x14ac:dyDescent="0.3">
      <c r="B161" s="380" t="s">
        <v>1454</v>
      </c>
      <c r="C161" s="179" t="s">
        <v>632</v>
      </c>
      <c r="D161" s="182">
        <v>0.33418300000000001</v>
      </c>
      <c r="E161" s="43">
        <v>0</v>
      </c>
      <c r="F161" s="43">
        <v>0</v>
      </c>
      <c r="G161" s="729">
        <v>0.43108299999999999</v>
      </c>
      <c r="H161" s="750">
        <v>0</v>
      </c>
      <c r="I161" s="43">
        <v>0.34090500000000001</v>
      </c>
      <c r="J161" s="43">
        <v>1.754135</v>
      </c>
      <c r="K161" s="43">
        <v>0.03</v>
      </c>
      <c r="L161" s="729">
        <v>0</v>
      </c>
      <c r="M161" s="750">
        <v>0</v>
      </c>
      <c r="N161" s="45">
        <v>0.47218599999999999</v>
      </c>
      <c r="O161" s="43">
        <v>0.48425200000000002</v>
      </c>
      <c r="P161" s="43">
        <v>0.505992</v>
      </c>
      <c r="Q161" s="729">
        <v>0</v>
      </c>
      <c r="R161" s="750">
        <v>0</v>
      </c>
      <c r="S161" s="45">
        <v>0.47218599999999999</v>
      </c>
      <c r="T161" s="43">
        <v>0.48425200000000002</v>
      </c>
      <c r="U161" s="43">
        <v>0.505992</v>
      </c>
      <c r="V161" s="729">
        <v>0</v>
      </c>
      <c r="W161" s="616">
        <v>0</v>
      </c>
    </row>
    <row r="162" spans="2:23" x14ac:dyDescent="0.3">
      <c r="B162" s="380" t="s">
        <v>1455</v>
      </c>
      <c r="C162" s="179" t="s">
        <v>633</v>
      </c>
      <c r="D162" s="182">
        <v>0.73601899999999998</v>
      </c>
      <c r="E162" s="43">
        <v>0</v>
      </c>
      <c r="F162" s="43">
        <v>0</v>
      </c>
      <c r="G162" s="729">
        <v>0.407974</v>
      </c>
      <c r="H162" s="750">
        <v>0</v>
      </c>
      <c r="I162" s="43">
        <v>1.0081560000000001</v>
      </c>
      <c r="J162" s="43">
        <v>0</v>
      </c>
      <c r="K162" s="43">
        <v>0</v>
      </c>
      <c r="L162" s="729">
        <v>0</v>
      </c>
      <c r="M162" s="750">
        <v>0</v>
      </c>
      <c r="N162" s="45">
        <v>0.44567699999999999</v>
      </c>
      <c r="O162" s="43">
        <v>0</v>
      </c>
      <c r="P162" s="43">
        <v>0</v>
      </c>
      <c r="Q162" s="729">
        <v>0.99949900000000003</v>
      </c>
      <c r="R162" s="750">
        <v>0</v>
      </c>
      <c r="S162" s="45">
        <v>0.53656300000000001</v>
      </c>
      <c r="T162" s="43">
        <v>0</v>
      </c>
      <c r="U162" s="43">
        <v>0</v>
      </c>
      <c r="V162" s="729">
        <v>0.99949900000000003</v>
      </c>
      <c r="W162" s="616">
        <v>0</v>
      </c>
    </row>
    <row r="163" spans="2:23" x14ac:dyDescent="0.3">
      <c r="B163" s="380" t="s">
        <v>1456</v>
      </c>
      <c r="C163" s="179" t="s">
        <v>634</v>
      </c>
      <c r="D163" s="182">
        <v>0.67323599999999995</v>
      </c>
      <c r="E163" s="43">
        <v>0.90975300000000003</v>
      </c>
      <c r="F163" s="43">
        <v>0</v>
      </c>
      <c r="G163" s="729">
        <v>0.22029199999999999</v>
      </c>
      <c r="H163" s="750">
        <v>0</v>
      </c>
      <c r="I163" s="43">
        <v>0.78124099999999996</v>
      </c>
      <c r="J163" s="43">
        <v>0</v>
      </c>
      <c r="K163" s="43">
        <v>0</v>
      </c>
      <c r="L163" s="729">
        <v>0</v>
      </c>
      <c r="M163" s="750">
        <v>0</v>
      </c>
      <c r="N163" s="45">
        <v>0.44626500000000002</v>
      </c>
      <c r="O163" s="43">
        <v>0</v>
      </c>
      <c r="P163" s="43">
        <v>0</v>
      </c>
      <c r="Q163" s="729">
        <v>0.96775999999999995</v>
      </c>
      <c r="R163" s="750">
        <v>0</v>
      </c>
      <c r="S163" s="45">
        <v>0.505579</v>
      </c>
      <c r="T163" s="43">
        <v>0</v>
      </c>
      <c r="U163" s="43">
        <v>0</v>
      </c>
      <c r="V163" s="729">
        <v>0.96775999999999995</v>
      </c>
      <c r="W163" s="616">
        <v>0</v>
      </c>
    </row>
    <row r="164" spans="2:23" x14ac:dyDescent="0.3">
      <c r="B164" s="380" t="s">
        <v>1457</v>
      </c>
      <c r="C164" s="179" t="s">
        <v>635</v>
      </c>
      <c r="D164" s="182">
        <v>0.51054200000000005</v>
      </c>
      <c r="E164" s="43">
        <v>0</v>
      </c>
      <c r="F164" s="43">
        <v>0</v>
      </c>
      <c r="G164" s="729">
        <v>0.37997199999999998</v>
      </c>
      <c r="H164" s="750">
        <v>0</v>
      </c>
      <c r="I164" s="43">
        <v>0.67205099999999995</v>
      </c>
      <c r="J164" s="43">
        <v>0</v>
      </c>
      <c r="K164" s="43">
        <v>0</v>
      </c>
      <c r="L164" s="729">
        <v>0</v>
      </c>
      <c r="M164" s="750">
        <v>0</v>
      </c>
      <c r="N164" s="45">
        <v>0.25643100000000002</v>
      </c>
      <c r="O164" s="43">
        <v>0</v>
      </c>
      <c r="P164" s="43">
        <v>0</v>
      </c>
      <c r="Q164" s="729">
        <v>0.97950400000000004</v>
      </c>
      <c r="R164" s="750">
        <v>0</v>
      </c>
      <c r="S164" s="45">
        <v>0.27557700000000002</v>
      </c>
      <c r="T164" s="43">
        <v>0</v>
      </c>
      <c r="U164" s="43">
        <v>0</v>
      </c>
      <c r="V164" s="729">
        <v>0.97950400000000004</v>
      </c>
      <c r="W164" s="616">
        <v>0</v>
      </c>
    </row>
    <row r="165" spans="2:23" x14ac:dyDescent="0.3">
      <c r="B165" s="380" t="s">
        <v>1458</v>
      </c>
      <c r="C165" s="179" t="s">
        <v>636</v>
      </c>
      <c r="D165" s="182">
        <v>0.31701400000000002</v>
      </c>
      <c r="E165" s="43">
        <v>0</v>
      </c>
      <c r="F165" s="43">
        <v>0</v>
      </c>
      <c r="G165" s="729">
        <v>0.598051</v>
      </c>
      <c r="H165" s="750">
        <v>0</v>
      </c>
      <c r="I165" s="43">
        <v>0.45926099999999997</v>
      </c>
      <c r="J165" s="43">
        <v>0</v>
      </c>
      <c r="K165" s="43">
        <v>0</v>
      </c>
      <c r="L165" s="729">
        <v>0</v>
      </c>
      <c r="M165" s="750">
        <v>0</v>
      </c>
      <c r="N165" s="45">
        <v>0.38406099999999999</v>
      </c>
      <c r="O165" s="43">
        <v>0.53319099999999997</v>
      </c>
      <c r="P165" s="43">
        <v>0.55000000000000004</v>
      </c>
      <c r="Q165" s="729">
        <v>0</v>
      </c>
      <c r="R165" s="750">
        <v>0</v>
      </c>
      <c r="S165" s="45">
        <v>0.38406099999999999</v>
      </c>
      <c r="T165" s="43">
        <v>0.53319099999999997</v>
      </c>
      <c r="U165" s="43">
        <v>0.55000000000000004</v>
      </c>
      <c r="V165" s="729">
        <v>0</v>
      </c>
      <c r="W165" s="616">
        <v>0</v>
      </c>
    </row>
    <row r="166" spans="2:23" x14ac:dyDescent="0.3">
      <c r="B166" s="380" t="s">
        <v>1459</v>
      </c>
      <c r="C166" s="179" t="s">
        <v>637</v>
      </c>
      <c r="D166" s="182">
        <v>0.57883200000000001</v>
      </c>
      <c r="E166" s="43">
        <v>0</v>
      </c>
      <c r="F166" s="43">
        <v>0</v>
      </c>
      <c r="G166" s="729">
        <v>0.18168799999999999</v>
      </c>
      <c r="H166" s="750">
        <v>0</v>
      </c>
      <c r="I166" s="43">
        <v>0.67667600000000006</v>
      </c>
      <c r="J166" s="43">
        <v>0</v>
      </c>
      <c r="K166" s="43">
        <v>0</v>
      </c>
      <c r="L166" s="729">
        <v>0</v>
      </c>
      <c r="M166" s="750">
        <v>0</v>
      </c>
      <c r="N166" s="45">
        <v>0.32760299999999998</v>
      </c>
      <c r="O166" s="43">
        <v>0</v>
      </c>
      <c r="P166" s="43">
        <v>0</v>
      </c>
      <c r="Q166" s="729">
        <v>0.99403900000000001</v>
      </c>
      <c r="R166" s="750">
        <v>0</v>
      </c>
      <c r="S166" s="45">
        <v>0.38452500000000001</v>
      </c>
      <c r="T166" s="43">
        <v>0</v>
      </c>
      <c r="U166" s="43">
        <v>0</v>
      </c>
      <c r="V166" s="729">
        <v>0.99403900000000001</v>
      </c>
      <c r="W166" s="616">
        <v>0</v>
      </c>
    </row>
    <row r="167" spans="2:23" x14ac:dyDescent="0.3">
      <c r="B167" s="380" t="s">
        <v>1460</v>
      </c>
      <c r="C167" s="179" t="s">
        <v>638</v>
      </c>
      <c r="D167" s="182">
        <v>0.53768700000000003</v>
      </c>
      <c r="E167" s="43">
        <v>0</v>
      </c>
      <c r="F167" s="43">
        <v>0</v>
      </c>
      <c r="G167" s="729">
        <v>0.47017799999999998</v>
      </c>
      <c r="H167" s="750">
        <v>0</v>
      </c>
      <c r="I167" s="43">
        <v>0.62085599999999996</v>
      </c>
      <c r="J167" s="43">
        <v>0</v>
      </c>
      <c r="K167" s="43">
        <v>0</v>
      </c>
      <c r="L167" s="729">
        <v>0.32020799999999999</v>
      </c>
      <c r="M167" s="750">
        <v>0</v>
      </c>
      <c r="N167" s="45">
        <v>0.42809399999999997</v>
      </c>
      <c r="O167" s="43">
        <v>0</v>
      </c>
      <c r="P167" s="43">
        <v>0</v>
      </c>
      <c r="Q167" s="729">
        <v>0.97749200000000003</v>
      </c>
      <c r="R167" s="750">
        <v>0</v>
      </c>
      <c r="S167" s="45">
        <v>0.48153299999999999</v>
      </c>
      <c r="T167" s="43">
        <v>0</v>
      </c>
      <c r="U167" s="43">
        <v>0</v>
      </c>
      <c r="V167" s="729">
        <v>0.97749200000000003</v>
      </c>
      <c r="W167" s="616">
        <v>0</v>
      </c>
    </row>
    <row r="168" spans="2:23" x14ac:dyDescent="0.3">
      <c r="B168" s="380" t="s">
        <v>1461</v>
      </c>
      <c r="C168" s="179" t="s">
        <v>639</v>
      </c>
      <c r="D168" s="182">
        <v>0.55626500000000001</v>
      </c>
      <c r="E168" s="43">
        <v>0.332928</v>
      </c>
      <c r="F168" s="43">
        <v>0</v>
      </c>
      <c r="G168" s="729">
        <v>0.39694099999999999</v>
      </c>
      <c r="H168" s="750">
        <v>0</v>
      </c>
      <c r="I168" s="43">
        <v>0.68983799999999995</v>
      </c>
      <c r="J168" s="43">
        <v>0</v>
      </c>
      <c r="K168" s="43">
        <v>0</v>
      </c>
      <c r="L168" s="729">
        <v>0</v>
      </c>
      <c r="M168" s="750">
        <v>0</v>
      </c>
      <c r="N168" s="45">
        <v>0.39708500000000002</v>
      </c>
      <c r="O168" s="43">
        <v>0</v>
      </c>
      <c r="P168" s="43">
        <v>0</v>
      </c>
      <c r="Q168" s="729">
        <v>0.99506399999999995</v>
      </c>
      <c r="R168" s="750">
        <v>0</v>
      </c>
      <c r="S168" s="45">
        <v>0.44041999999999998</v>
      </c>
      <c r="T168" s="43">
        <v>0</v>
      </c>
      <c r="U168" s="43">
        <v>0</v>
      </c>
      <c r="V168" s="729">
        <v>0.99506399999999995</v>
      </c>
      <c r="W168" s="616">
        <v>0</v>
      </c>
    </row>
    <row r="169" spans="2:23" x14ac:dyDescent="0.3">
      <c r="B169" s="380" t="s">
        <v>1462</v>
      </c>
      <c r="C169" s="179" t="s">
        <v>640</v>
      </c>
      <c r="D169" s="182">
        <v>0.48120000000000002</v>
      </c>
      <c r="E169" s="43">
        <v>0</v>
      </c>
      <c r="F169" s="43">
        <v>0</v>
      </c>
      <c r="G169" s="729">
        <v>0.287578</v>
      </c>
      <c r="H169" s="750">
        <v>0</v>
      </c>
      <c r="I169" s="43">
        <v>0.60256500000000002</v>
      </c>
      <c r="J169" s="43">
        <v>0</v>
      </c>
      <c r="K169" s="43">
        <v>0</v>
      </c>
      <c r="L169" s="729">
        <v>0</v>
      </c>
      <c r="M169" s="750">
        <v>0</v>
      </c>
      <c r="N169" s="45">
        <v>0.41568300000000002</v>
      </c>
      <c r="O169" s="43">
        <v>0</v>
      </c>
      <c r="P169" s="43">
        <v>0</v>
      </c>
      <c r="Q169" s="729">
        <v>0.988205</v>
      </c>
      <c r="R169" s="750">
        <v>0</v>
      </c>
      <c r="S169" s="45">
        <v>0.48360300000000001</v>
      </c>
      <c r="T169" s="43">
        <v>0</v>
      </c>
      <c r="U169" s="43">
        <v>0</v>
      </c>
      <c r="V169" s="729">
        <v>0.988205</v>
      </c>
      <c r="W169" s="616">
        <v>0</v>
      </c>
    </row>
    <row r="170" spans="2:23" x14ac:dyDescent="0.3">
      <c r="B170" s="380" t="s">
        <v>1463</v>
      </c>
      <c r="C170" s="179" t="s">
        <v>641</v>
      </c>
      <c r="D170" s="182">
        <v>1.4951220000000001</v>
      </c>
      <c r="E170" s="43">
        <v>0.432315</v>
      </c>
      <c r="F170" s="43">
        <v>5.4590000000000003E-3</v>
      </c>
      <c r="G170" s="729">
        <v>0.74965800000000005</v>
      </c>
      <c r="H170" s="750">
        <v>0.308753</v>
      </c>
      <c r="I170" s="43">
        <v>0.58238900000000005</v>
      </c>
      <c r="J170" s="43">
        <v>0</v>
      </c>
      <c r="K170" s="43">
        <v>0</v>
      </c>
      <c r="L170" s="729">
        <v>0.99543300000000001</v>
      </c>
      <c r="M170" s="750">
        <v>0.10798199999999999</v>
      </c>
      <c r="N170" s="45">
        <v>0.89115699999999998</v>
      </c>
      <c r="O170" s="43">
        <v>0</v>
      </c>
      <c r="P170" s="43">
        <v>0</v>
      </c>
      <c r="Q170" s="729">
        <v>0.98784300000000003</v>
      </c>
      <c r="R170" s="750">
        <v>0.30769200000000002</v>
      </c>
      <c r="S170" s="45">
        <v>1.121623</v>
      </c>
      <c r="T170" s="43">
        <v>0</v>
      </c>
      <c r="U170" s="43">
        <v>0</v>
      </c>
      <c r="V170" s="729">
        <v>0.98749200000000004</v>
      </c>
      <c r="W170" s="616">
        <v>0.160577</v>
      </c>
    </row>
    <row r="171" spans="2:23" x14ac:dyDescent="0.3">
      <c r="B171" s="380" t="s">
        <v>1464</v>
      </c>
      <c r="C171" s="179" t="s">
        <v>642</v>
      </c>
      <c r="D171" s="182">
        <v>0.40355999999999997</v>
      </c>
      <c r="E171" s="43">
        <v>0</v>
      </c>
      <c r="F171" s="43">
        <v>0</v>
      </c>
      <c r="G171" s="729">
        <v>0.48660599999999998</v>
      </c>
      <c r="H171" s="750">
        <v>0</v>
      </c>
      <c r="I171" s="43">
        <v>0.65129000000000004</v>
      </c>
      <c r="J171" s="43">
        <v>0</v>
      </c>
      <c r="K171" s="43">
        <v>0</v>
      </c>
      <c r="L171" s="729">
        <v>0</v>
      </c>
      <c r="M171" s="750">
        <v>0</v>
      </c>
      <c r="N171" s="45">
        <v>0.41071000000000002</v>
      </c>
      <c r="O171" s="43">
        <v>0</v>
      </c>
      <c r="P171" s="43">
        <v>0</v>
      </c>
      <c r="Q171" s="729">
        <v>0.99457899999999999</v>
      </c>
      <c r="R171" s="750">
        <v>0.23508699999999999</v>
      </c>
      <c r="S171" s="45">
        <v>0.50857399999999997</v>
      </c>
      <c r="T171" s="43">
        <v>0</v>
      </c>
      <c r="U171" s="43">
        <v>0</v>
      </c>
      <c r="V171" s="729">
        <v>0.98840799999999995</v>
      </c>
      <c r="W171" s="616">
        <v>3.6035999999999999E-2</v>
      </c>
    </row>
    <row r="172" spans="2:23" x14ac:dyDescent="0.3">
      <c r="B172" s="380" t="s">
        <v>1465</v>
      </c>
      <c r="C172" s="179" t="s">
        <v>643</v>
      </c>
      <c r="D172" s="182">
        <v>0.45938099999999998</v>
      </c>
      <c r="E172" s="43">
        <v>0.48791400000000001</v>
      </c>
      <c r="F172" s="43">
        <v>2.0771000000000001E-2</v>
      </c>
      <c r="G172" s="729">
        <v>0.71715799999999996</v>
      </c>
      <c r="H172" s="750">
        <v>1</v>
      </c>
      <c r="I172" s="43">
        <v>0.14405499999999999</v>
      </c>
      <c r="J172" s="43">
        <v>0</v>
      </c>
      <c r="K172" s="43">
        <v>0</v>
      </c>
      <c r="L172" s="729">
        <v>1</v>
      </c>
      <c r="M172" s="750">
        <v>1</v>
      </c>
      <c r="N172" s="45">
        <v>0.11312800000000001</v>
      </c>
      <c r="O172" s="43">
        <v>0</v>
      </c>
      <c r="P172" s="43">
        <v>0</v>
      </c>
      <c r="Q172" s="729">
        <v>1</v>
      </c>
      <c r="R172" s="750">
        <v>1</v>
      </c>
      <c r="S172" s="45">
        <v>0.188445</v>
      </c>
      <c r="T172" s="43">
        <v>0</v>
      </c>
      <c r="U172" s="43">
        <v>0</v>
      </c>
      <c r="V172" s="729">
        <v>1</v>
      </c>
      <c r="W172" s="616">
        <v>1</v>
      </c>
    </row>
    <row r="173" spans="2:23" x14ac:dyDescent="0.3">
      <c r="B173" s="380" t="s">
        <v>1466</v>
      </c>
      <c r="C173" s="179" t="s">
        <v>644</v>
      </c>
      <c r="D173" s="182">
        <v>0.82728599999999997</v>
      </c>
      <c r="E173" s="43">
        <v>0</v>
      </c>
      <c r="F173" s="43">
        <v>0</v>
      </c>
      <c r="G173" s="729">
        <v>0.33322400000000002</v>
      </c>
      <c r="H173" s="750">
        <v>0</v>
      </c>
      <c r="I173" s="43">
        <v>1.093386</v>
      </c>
      <c r="J173" s="43">
        <v>0</v>
      </c>
      <c r="K173" s="43">
        <v>0</v>
      </c>
      <c r="L173" s="729">
        <v>0</v>
      </c>
      <c r="M173" s="750">
        <v>0</v>
      </c>
      <c r="N173" s="45">
        <v>0.67953699999999995</v>
      </c>
      <c r="O173" s="43">
        <v>0</v>
      </c>
      <c r="P173" s="43">
        <v>0</v>
      </c>
      <c r="Q173" s="729">
        <v>0.992676</v>
      </c>
      <c r="R173" s="750">
        <v>0</v>
      </c>
      <c r="S173" s="45">
        <v>0.81887500000000002</v>
      </c>
      <c r="T173" s="43">
        <v>0</v>
      </c>
      <c r="U173" s="43">
        <v>0</v>
      </c>
      <c r="V173" s="729">
        <v>0.992676</v>
      </c>
      <c r="W173" s="616">
        <v>0</v>
      </c>
    </row>
    <row r="174" spans="2:23" x14ac:dyDescent="0.3">
      <c r="B174" s="380" t="s">
        <v>1467</v>
      </c>
      <c r="C174" s="179" t="s">
        <v>645</v>
      </c>
      <c r="D174" s="182">
        <v>1.0101500000000001</v>
      </c>
      <c r="E174" s="43">
        <v>0</v>
      </c>
      <c r="F174" s="43">
        <v>0</v>
      </c>
      <c r="G174" s="729">
        <v>0.32961499999999999</v>
      </c>
      <c r="H174" s="750">
        <v>0</v>
      </c>
      <c r="I174" s="43">
        <v>1.313229</v>
      </c>
      <c r="J174" s="43">
        <v>0</v>
      </c>
      <c r="K174" s="43">
        <v>0</v>
      </c>
      <c r="L174" s="729">
        <v>0</v>
      </c>
      <c r="M174" s="750">
        <v>0</v>
      </c>
      <c r="N174" s="45">
        <v>0.98456100000000002</v>
      </c>
      <c r="O174" s="43">
        <v>0.41854000000000002</v>
      </c>
      <c r="P174" s="43">
        <v>0.54</v>
      </c>
      <c r="Q174" s="729">
        <v>0.632942</v>
      </c>
      <c r="R174" s="750">
        <v>0</v>
      </c>
      <c r="S174" s="45">
        <v>1.1468320000000001</v>
      </c>
      <c r="T174" s="43">
        <v>0.41854000000000002</v>
      </c>
      <c r="U174" s="43">
        <v>0.54</v>
      </c>
      <c r="V174" s="729">
        <v>0.632942</v>
      </c>
      <c r="W174" s="616">
        <v>0</v>
      </c>
    </row>
    <row r="175" spans="2:23" x14ac:dyDescent="0.3">
      <c r="B175" s="380" t="s">
        <v>1468</v>
      </c>
      <c r="C175" s="179" t="s">
        <v>646</v>
      </c>
      <c r="D175" s="182">
        <v>0.77068499999999995</v>
      </c>
      <c r="E175" s="43">
        <v>0</v>
      </c>
      <c r="F175" s="43">
        <v>0</v>
      </c>
      <c r="G175" s="729">
        <v>6.1739999999999998E-3</v>
      </c>
      <c r="H175" s="750">
        <v>0</v>
      </c>
      <c r="I175" s="43">
        <v>0.76315100000000002</v>
      </c>
      <c r="J175" s="43">
        <v>0</v>
      </c>
      <c r="K175" s="43">
        <v>0</v>
      </c>
      <c r="L175" s="729">
        <v>0</v>
      </c>
      <c r="M175" s="750">
        <v>0</v>
      </c>
      <c r="N175" s="45">
        <v>0.77394300000000005</v>
      </c>
      <c r="O175" s="43">
        <v>0.43715700000000002</v>
      </c>
      <c r="P175" s="43">
        <v>0.53641899999999998</v>
      </c>
      <c r="Q175" s="729">
        <v>0</v>
      </c>
      <c r="R175" s="750">
        <v>0</v>
      </c>
      <c r="S175" s="45">
        <v>0.77394300000000005</v>
      </c>
      <c r="T175" s="43">
        <v>0.43715700000000002</v>
      </c>
      <c r="U175" s="43">
        <v>0.53641899999999998</v>
      </c>
      <c r="V175" s="729">
        <v>0</v>
      </c>
      <c r="W175" s="616">
        <v>0</v>
      </c>
    </row>
    <row r="176" spans="2:23" x14ac:dyDescent="0.3">
      <c r="B176" s="380" t="s">
        <v>1469</v>
      </c>
      <c r="C176" s="179" t="s">
        <v>647</v>
      </c>
      <c r="D176" s="182">
        <v>0.209456</v>
      </c>
      <c r="E176" s="43">
        <v>0</v>
      </c>
      <c r="F176" s="43">
        <v>0</v>
      </c>
      <c r="G176" s="729">
        <v>0.294408</v>
      </c>
      <c r="H176" s="750">
        <v>0</v>
      </c>
      <c r="I176" s="43">
        <v>0.21401999999999999</v>
      </c>
      <c r="J176" s="43">
        <v>0</v>
      </c>
      <c r="K176" s="43">
        <v>0</v>
      </c>
      <c r="L176" s="729">
        <v>0</v>
      </c>
      <c r="M176" s="750">
        <v>0</v>
      </c>
      <c r="N176" s="45">
        <v>0.28954600000000003</v>
      </c>
      <c r="O176" s="43">
        <v>0.41964800000000002</v>
      </c>
      <c r="P176" s="43">
        <v>0.49</v>
      </c>
      <c r="Q176" s="729">
        <v>0</v>
      </c>
      <c r="R176" s="750">
        <v>0</v>
      </c>
      <c r="S176" s="45">
        <v>0.28954600000000003</v>
      </c>
      <c r="T176" s="43">
        <v>0.41964800000000002</v>
      </c>
      <c r="U176" s="43">
        <v>0.49</v>
      </c>
      <c r="V176" s="729">
        <v>0</v>
      </c>
      <c r="W176" s="616">
        <v>0</v>
      </c>
    </row>
    <row r="177" spans="2:23" x14ac:dyDescent="0.3">
      <c r="B177" s="380" t="s">
        <v>1470</v>
      </c>
      <c r="C177" s="179" t="s">
        <v>648</v>
      </c>
      <c r="D177" s="182">
        <v>0.75612800000000002</v>
      </c>
      <c r="E177" s="43">
        <v>0</v>
      </c>
      <c r="F177" s="43">
        <v>0</v>
      </c>
      <c r="G177" s="729">
        <v>3.7523000000000001E-2</v>
      </c>
      <c r="H177" s="750">
        <v>0</v>
      </c>
      <c r="I177" s="43">
        <v>0.76988800000000002</v>
      </c>
      <c r="J177" s="43">
        <v>0</v>
      </c>
      <c r="K177" s="43">
        <v>0</v>
      </c>
      <c r="L177" s="729">
        <v>0</v>
      </c>
      <c r="M177" s="750">
        <v>0</v>
      </c>
      <c r="N177" s="45">
        <v>0.64222400000000002</v>
      </c>
      <c r="O177" s="43">
        <v>0.45295099999999999</v>
      </c>
      <c r="P177" s="43">
        <v>0.55000000000000004</v>
      </c>
      <c r="Q177" s="729">
        <v>0</v>
      </c>
      <c r="R177" s="750">
        <v>0</v>
      </c>
      <c r="S177" s="45">
        <v>0.64324599999999998</v>
      </c>
      <c r="T177" s="43">
        <v>0.45380300000000001</v>
      </c>
      <c r="U177" s="43">
        <v>0.55000000000000004</v>
      </c>
      <c r="V177" s="729">
        <v>0</v>
      </c>
      <c r="W177" s="616">
        <v>0</v>
      </c>
    </row>
    <row r="178" spans="2:23" x14ac:dyDescent="0.3">
      <c r="B178" s="380" t="s">
        <v>1471</v>
      </c>
      <c r="C178" s="179" t="s">
        <v>649</v>
      </c>
      <c r="D178" s="182">
        <v>0.93506800000000001</v>
      </c>
      <c r="E178" s="43">
        <v>0</v>
      </c>
      <c r="F178" s="43">
        <v>0</v>
      </c>
      <c r="G178" s="729">
        <v>0.14042199999999999</v>
      </c>
      <c r="H178" s="750">
        <v>0.18181800000000001</v>
      </c>
      <c r="I178" s="43">
        <v>1.4004509999999999</v>
      </c>
      <c r="J178" s="43">
        <v>0</v>
      </c>
      <c r="K178" s="43">
        <v>0</v>
      </c>
      <c r="L178" s="729">
        <v>0</v>
      </c>
      <c r="M178" s="750">
        <v>0</v>
      </c>
      <c r="N178" s="45">
        <v>0.87500699999999998</v>
      </c>
      <c r="O178" s="43">
        <v>0</v>
      </c>
      <c r="P178" s="43">
        <v>0</v>
      </c>
      <c r="Q178" s="729">
        <v>0.98929800000000001</v>
      </c>
      <c r="R178" s="750">
        <v>0.27985700000000002</v>
      </c>
      <c r="S178" s="45">
        <v>1.1041780000000001</v>
      </c>
      <c r="T178" s="43">
        <v>0</v>
      </c>
      <c r="U178" s="43">
        <v>0</v>
      </c>
      <c r="V178" s="729">
        <v>0.98729999999999996</v>
      </c>
      <c r="W178" s="616">
        <v>5.6510999999999999E-2</v>
      </c>
    </row>
    <row r="179" spans="2:23" x14ac:dyDescent="0.3">
      <c r="B179" s="380" t="s">
        <v>1472</v>
      </c>
      <c r="C179" s="179" t="s">
        <v>650</v>
      </c>
      <c r="D179" s="182">
        <v>0.500641</v>
      </c>
      <c r="E179" s="43">
        <v>0</v>
      </c>
      <c r="F179" s="43">
        <v>0</v>
      </c>
      <c r="G179" s="729">
        <v>0.28292699999999998</v>
      </c>
      <c r="H179" s="750">
        <v>0</v>
      </c>
      <c r="I179" s="43">
        <v>0.59186099999999997</v>
      </c>
      <c r="J179" s="43">
        <v>0</v>
      </c>
      <c r="K179" s="43">
        <v>0</v>
      </c>
      <c r="L179" s="729">
        <v>0</v>
      </c>
      <c r="M179" s="750">
        <v>0</v>
      </c>
      <c r="N179" s="45">
        <v>0.47147</v>
      </c>
      <c r="O179" s="43">
        <v>0</v>
      </c>
      <c r="P179" s="43">
        <v>0</v>
      </c>
      <c r="Q179" s="729">
        <v>0.99167899999999998</v>
      </c>
      <c r="R179" s="750">
        <v>0</v>
      </c>
      <c r="S179" s="45">
        <v>0.53926499999999999</v>
      </c>
      <c r="T179" s="43">
        <v>0</v>
      </c>
      <c r="U179" s="43">
        <v>0</v>
      </c>
      <c r="V179" s="729">
        <v>0.99167899999999998</v>
      </c>
      <c r="W179" s="616">
        <v>0</v>
      </c>
    </row>
    <row r="180" spans="2:23" x14ac:dyDescent="0.3">
      <c r="B180" s="380" t="s">
        <v>1473</v>
      </c>
      <c r="C180" s="179" t="s">
        <v>651</v>
      </c>
      <c r="D180" s="182">
        <v>0.80841700000000005</v>
      </c>
      <c r="E180" s="43">
        <v>0</v>
      </c>
      <c r="F180" s="43">
        <v>0</v>
      </c>
      <c r="G180" s="729">
        <v>0.25834000000000001</v>
      </c>
      <c r="H180" s="750">
        <v>0</v>
      </c>
      <c r="I180" s="43">
        <v>1.007735</v>
      </c>
      <c r="J180" s="43">
        <v>0</v>
      </c>
      <c r="K180" s="43">
        <v>0</v>
      </c>
      <c r="L180" s="729">
        <v>0</v>
      </c>
      <c r="M180" s="750">
        <v>0</v>
      </c>
      <c r="N180" s="45">
        <v>0.77649699999999999</v>
      </c>
      <c r="O180" s="43">
        <v>0</v>
      </c>
      <c r="P180" s="43">
        <v>0</v>
      </c>
      <c r="Q180" s="729">
        <v>0.99267700000000003</v>
      </c>
      <c r="R180" s="750">
        <v>0</v>
      </c>
      <c r="S180" s="45">
        <v>0.95119200000000004</v>
      </c>
      <c r="T180" s="43">
        <v>0</v>
      </c>
      <c r="U180" s="43">
        <v>0</v>
      </c>
      <c r="V180" s="729">
        <v>0.99267700000000003</v>
      </c>
      <c r="W180" s="616">
        <v>0</v>
      </c>
    </row>
    <row r="181" spans="2:23" x14ac:dyDescent="0.3">
      <c r="B181" s="380" t="s">
        <v>1474</v>
      </c>
      <c r="C181" s="179" t="s">
        <v>652</v>
      </c>
      <c r="D181" s="182">
        <v>0.73887499999999995</v>
      </c>
      <c r="E181" s="43">
        <v>0</v>
      </c>
      <c r="F181" s="43">
        <v>0</v>
      </c>
      <c r="G181" s="729">
        <v>0.123602</v>
      </c>
      <c r="H181" s="750">
        <v>0.06</v>
      </c>
      <c r="I181" s="43">
        <v>0.37083899999999997</v>
      </c>
      <c r="J181" s="43">
        <v>0</v>
      </c>
      <c r="K181" s="43">
        <v>0</v>
      </c>
      <c r="L181" s="729">
        <v>0.98754299999999995</v>
      </c>
      <c r="M181" s="750">
        <v>2.1676999999999998E-2</v>
      </c>
      <c r="N181" s="45">
        <v>0.55201299999999998</v>
      </c>
      <c r="O181" s="43">
        <v>0</v>
      </c>
      <c r="P181" s="43">
        <v>0</v>
      </c>
      <c r="Q181" s="729">
        <v>0.99068999999999996</v>
      </c>
      <c r="R181" s="750">
        <v>0.74415900000000001</v>
      </c>
      <c r="S181" s="45">
        <v>0.68385099999999999</v>
      </c>
      <c r="T181" s="43">
        <v>0</v>
      </c>
      <c r="U181" s="43">
        <v>0</v>
      </c>
      <c r="V181" s="729">
        <v>0.99148000000000003</v>
      </c>
      <c r="W181" s="616">
        <v>0.21656900000000001</v>
      </c>
    </row>
    <row r="182" spans="2:23" x14ac:dyDescent="0.3">
      <c r="B182" s="380" t="s">
        <v>1475</v>
      </c>
      <c r="C182" s="179" t="s">
        <v>653</v>
      </c>
      <c r="D182" s="182">
        <v>0.50532900000000003</v>
      </c>
      <c r="E182" s="43">
        <v>0</v>
      </c>
      <c r="F182" s="43">
        <v>0</v>
      </c>
      <c r="G182" s="729">
        <v>2.1014000000000001E-2</v>
      </c>
      <c r="H182" s="750">
        <v>0</v>
      </c>
      <c r="I182" s="43">
        <v>0.67895499999999998</v>
      </c>
      <c r="J182" s="43">
        <v>0</v>
      </c>
      <c r="K182" s="43">
        <v>0</v>
      </c>
      <c r="L182" s="729">
        <v>0</v>
      </c>
      <c r="M182" s="750">
        <v>0</v>
      </c>
      <c r="N182" s="45">
        <v>0.42458299999999999</v>
      </c>
      <c r="O182" s="43">
        <v>0</v>
      </c>
      <c r="P182" s="43">
        <v>0</v>
      </c>
      <c r="Q182" s="729">
        <v>0.99459600000000004</v>
      </c>
      <c r="R182" s="750">
        <v>0.30072199999999999</v>
      </c>
      <c r="S182" s="45">
        <v>0.51035299999999995</v>
      </c>
      <c r="T182" s="43">
        <v>0</v>
      </c>
      <c r="U182" s="43">
        <v>0</v>
      </c>
      <c r="V182" s="729">
        <v>0.98942799999999997</v>
      </c>
      <c r="W182" s="616">
        <v>3.4784000000000002E-2</v>
      </c>
    </row>
    <row r="183" spans="2:23" x14ac:dyDescent="0.3">
      <c r="B183" s="380" t="s">
        <v>1476</v>
      </c>
      <c r="C183" s="179" t="s">
        <v>654</v>
      </c>
      <c r="D183" s="182">
        <v>0.52336099999999997</v>
      </c>
      <c r="E183" s="43">
        <v>0</v>
      </c>
      <c r="F183" s="43">
        <v>0</v>
      </c>
      <c r="G183" s="729">
        <v>0.28035300000000002</v>
      </c>
      <c r="H183" s="750">
        <v>0</v>
      </c>
      <c r="I183" s="43">
        <v>0.69816900000000004</v>
      </c>
      <c r="J183" s="43">
        <v>0</v>
      </c>
      <c r="K183" s="43">
        <v>0</v>
      </c>
      <c r="L183" s="729">
        <v>0</v>
      </c>
      <c r="M183" s="750">
        <v>0</v>
      </c>
      <c r="N183" s="45">
        <v>0.58324200000000004</v>
      </c>
      <c r="O183" s="43">
        <v>0</v>
      </c>
      <c r="P183" s="43">
        <v>0</v>
      </c>
      <c r="Q183" s="729">
        <v>0.98980000000000001</v>
      </c>
      <c r="R183" s="750">
        <v>0</v>
      </c>
      <c r="S183" s="45">
        <v>0.72630399999999995</v>
      </c>
      <c r="T183" s="43">
        <v>0</v>
      </c>
      <c r="U183" s="43">
        <v>0</v>
      </c>
      <c r="V183" s="729">
        <v>0.98980000000000001</v>
      </c>
      <c r="W183" s="616">
        <v>0</v>
      </c>
    </row>
    <row r="184" spans="2:23" x14ac:dyDescent="0.3">
      <c r="B184" s="380" t="s">
        <v>1477</v>
      </c>
      <c r="C184" s="179" t="s">
        <v>655</v>
      </c>
      <c r="D184" s="182">
        <v>0.76305699999999999</v>
      </c>
      <c r="E184" s="43">
        <v>0</v>
      </c>
      <c r="F184" s="43">
        <v>0</v>
      </c>
      <c r="G184" s="729">
        <v>0.188693</v>
      </c>
      <c r="H184" s="750">
        <v>0</v>
      </c>
      <c r="I184" s="43">
        <v>0.90091900000000003</v>
      </c>
      <c r="J184" s="43">
        <v>0</v>
      </c>
      <c r="K184" s="43">
        <v>0</v>
      </c>
      <c r="L184" s="729">
        <v>0</v>
      </c>
      <c r="M184" s="750">
        <v>0</v>
      </c>
      <c r="N184" s="45">
        <v>0.70081700000000002</v>
      </c>
      <c r="O184" s="43">
        <v>0</v>
      </c>
      <c r="P184" s="43">
        <v>0</v>
      </c>
      <c r="Q184" s="729">
        <v>0.99581500000000001</v>
      </c>
      <c r="R184" s="750">
        <v>0</v>
      </c>
      <c r="S184" s="45">
        <v>0.84783399999999998</v>
      </c>
      <c r="T184" s="43">
        <v>0</v>
      </c>
      <c r="U184" s="43">
        <v>0</v>
      </c>
      <c r="V184" s="729">
        <v>0.99581500000000001</v>
      </c>
      <c r="W184" s="616">
        <v>0</v>
      </c>
    </row>
    <row r="185" spans="2:23" x14ac:dyDescent="0.3">
      <c r="B185" s="380" t="s">
        <v>1478</v>
      </c>
      <c r="C185" s="179" t="s">
        <v>656</v>
      </c>
      <c r="D185" s="182">
        <v>0.67637899999999995</v>
      </c>
      <c r="E185" s="43">
        <v>0.41814499999999999</v>
      </c>
      <c r="F185" s="43">
        <v>1.1533E-2</v>
      </c>
      <c r="G185" s="729">
        <v>0.230299</v>
      </c>
      <c r="H185" s="750">
        <v>0</v>
      </c>
      <c r="I185" s="43">
        <v>0.84502699999999997</v>
      </c>
      <c r="J185" s="43">
        <v>0</v>
      </c>
      <c r="K185" s="43">
        <v>0</v>
      </c>
      <c r="L185" s="729">
        <v>0</v>
      </c>
      <c r="M185" s="750">
        <v>0</v>
      </c>
      <c r="N185" s="45">
        <v>0.67236200000000002</v>
      </c>
      <c r="O185" s="43">
        <v>0</v>
      </c>
      <c r="P185" s="43">
        <v>0</v>
      </c>
      <c r="Q185" s="729">
        <v>0.98171299999999995</v>
      </c>
      <c r="R185" s="750">
        <v>0</v>
      </c>
      <c r="S185" s="45">
        <v>0.78285400000000005</v>
      </c>
      <c r="T185" s="43">
        <v>0</v>
      </c>
      <c r="U185" s="43">
        <v>0</v>
      </c>
      <c r="V185" s="729">
        <v>0.98171299999999995</v>
      </c>
      <c r="W185" s="616">
        <v>0</v>
      </c>
    </row>
    <row r="186" spans="2:23" x14ac:dyDescent="0.3">
      <c r="B186" s="380" t="s">
        <v>1479</v>
      </c>
      <c r="C186" s="179" t="s">
        <v>657</v>
      </c>
      <c r="D186" s="182">
        <v>0.74312199999999995</v>
      </c>
      <c r="E186" s="43">
        <v>0</v>
      </c>
      <c r="F186" s="43">
        <v>0</v>
      </c>
      <c r="G186" s="729">
        <v>0.45202799999999999</v>
      </c>
      <c r="H186" s="750">
        <v>0</v>
      </c>
      <c r="I186" s="43">
        <v>0.454152</v>
      </c>
      <c r="J186" s="43">
        <v>0</v>
      </c>
      <c r="K186" s="43">
        <v>0</v>
      </c>
      <c r="L186" s="729">
        <v>0.99455700000000002</v>
      </c>
      <c r="M186" s="750">
        <v>2.4705000000000001E-2</v>
      </c>
      <c r="N186" s="45">
        <v>0.69784500000000005</v>
      </c>
      <c r="O186" s="43">
        <v>0</v>
      </c>
      <c r="P186" s="43">
        <v>0</v>
      </c>
      <c r="Q186" s="729">
        <v>0.99649399999999999</v>
      </c>
      <c r="R186" s="750">
        <v>0.37459300000000001</v>
      </c>
      <c r="S186" s="45">
        <v>0.921763</v>
      </c>
      <c r="T186" s="43">
        <v>0</v>
      </c>
      <c r="U186" s="43">
        <v>0</v>
      </c>
      <c r="V186" s="729">
        <v>0.995533</v>
      </c>
      <c r="W186" s="616">
        <v>0.13778599999999999</v>
      </c>
    </row>
    <row r="187" spans="2:23" x14ac:dyDescent="0.3">
      <c r="B187" s="380" t="s">
        <v>1480</v>
      </c>
      <c r="C187" s="179" t="s">
        <v>658</v>
      </c>
      <c r="D187" s="182">
        <v>1.0127889999999999</v>
      </c>
      <c r="E187" s="43">
        <v>0.47373900000000002</v>
      </c>
      <c r="F187" s="43">
        <v>0.15690699999999999</v>
      </c>
      <c r="G187" s="729">
        <v>0.28292800000000001</v>
      </c>
      <c r="H187" s="750">
        <v>0</v>
      </c>
      <c r="I187" s="43">
        <v>0.83143500000000004</v>
      </c>
      <c r="J187" s="43">
        <v>0</v>
      </c>
      <c r="K187" s="43">
        <v>0</v>
      </c>
      <c r="L187" s="729">
        <v>0.52221499999999998</v>
      </c>
      <c r="M187" s="750">
        <v>0</v>
      </c>
      <c r="N187" s="45">
        <v>0.75502800000000003</v>
      </c>
      <c r="O187" s="43">
        <v>0.423989</v>
      </c>
      <c r="P187" s="43">
        <v>0.55000000000000004</v>
      </c>
      <c r="Q187" s="729">
        <v>0.338366</v>
      </c>
      <c r="R187" s="750">
        <v>0</v>
      </c>
      <c r="S187" s="45">
        <v>0.78493299999999999</v>
      </c>
      <c r="T187" s="43">
        <v>0.423989</v>
      </c>
      <c r="U187" s="43">
        <v>0.55000000000000004</v>
      </c>
      <c r="V187" s="729">
        <v>0.338366</v>
      </c>
      <c r="W187" s="616">
        <v>0</v>
      </c>
    </row>
    <row r="188" spans="2:23" x14ac:dyDescent="0.3">
      <c r="B188" s="380" t="s">
        <v>1481</v>
      </c>
      <c r="C188" s="179" t="s">
        <v>659</v>
      </c>
      <c r="D188" s="182">
        <v>1.129505</v>
      </c>
      <c r="E188" s="43">
        <v>0.88710199999999995</v>
      </c>
      <c r="F188" s="43">
        <v>1.883E-2</v>
      </c>
      <c r="G188" s="729">
        <v>0.89501699999999995</v>
      </c>
      <c r="H188" s="750">
        <v>0.95720099999999997</v>
      </c>
      <c r="I188" s="43">
        <v>0.67262999999999995</v>
      </c>
      <c r="J188" s="43">
        <v>0</v>
      </c>
      <c r="K188" s="43">
        <v>0</v>
      </c>
      <c r="L188" s="729">
        <v>0.99989700000000004</v>
      </c>
      <c r="M188" s="750">
        <v>0.36890000000000001</v>
      </c>
      <c r="N188" s="45">
        <v>0.85859300000000005</v>
      </c>
      <c r="O188" s="43">
        <v>0</v>
      </c>
      <c r="P188" s="43">
        <v>0</v>
      </c>
      <c r="Q188" s="729">
        <v>0.99897899999999995</v>
      </c>
      <c r="R188" s="750">
        <v>0.88896600000000003</v>
      </c>
      <c r="S188" s="45">
        <v>1.2276849999999999</v>
      </c>
      <c r="T188" s="43">
        <v>0</v>
      </c>
      <c r="U188" s="43">
        <v>0</v>
      </c>
      <c r="V188" s="729">
        <v>0.99966999999999995</v>
      </c>
      <c r="W188" s="616">
        <v>0.56943999999999995</v>
      </c>
    </row>
    <row r="189" spans="2:23" x14ac:dyDescent="0.3">
      <c r="B189" s="380" t="s">
        <v>1482</v>
      </c>
      <c r="C189" s="179" t="s">
        <v>660</v>
      </c>
      <c r="D189" s="182">
        <v>0.17488300000000001</v>
      </c>
      <c r="E189" s="43">
        <v>0</v>
      </c>
      <c r="F189" s="43">
        <v>0</v>
      </c>
      <c r="G189" s="729">
        <v>0.37509900000000002</v>
      </c>
      <c r="H189" s="750">
        <v>0</v>
      </c>
      <c r="I189" s="43">
        <v>0.19875200000000001</v>
      </c>
      <c r="J189" s="43">
        <v>0</v>
      </c>
      <c r="K189" s="43">
        <v>0</v>
      </c>
      <c r="L189" s="729">
        <v>0</v>
      </c>
      <c r="M189" s="750">
        <v>0</v>
      </c>
      <c r="N189" s="45">
        <v>0.13808699999999999</v>
      </c>
      <c r="O189" s="43">
        <v>0</v>
      </c>
      <c r="P189" s="43">
        <v>0</v>
      </c>
      <c r="Q189" s="729">
        <v>0.99431199999999997</v>
      </c>
      <c r="R189" s="750">
        <v>0</v>
      </c>
      <c r="S189" s="45">
        <v>0.142125</v>
      </c>
      <c r="T189" s="43">
        <v>0</v>
      </c>
      <c r="U189" s="43">
        <v>0</v>
      </c>
      <c r="V189" s="729">
        <v>0.99431199999999997</v>
      </c>
      <c r="W189" s="616">
        <v>0</v>
      </c>
    </row>
    <row r="190" spans="2:23" x14ac:dyDescent="0.3">
      <c r="B190" s="380" t="s">
        <v>1483</v>
      </c>
      <c r="C190" s="179" t="s">
        <v>661</v>
      </c>
      <c r="D190" s="182">
        <v>0.360485</v>
      </c>
      <c r="E190" s="43">
        <v>0</v>
      </c>
      <c r="F190" s="43">
        <v>0</v>
      </c>
      <c r="G190" s="729">
        <v>0.20117699999999999</v>
      </c>
      <c r="H190" s="750">
        <v>0</v>
      </c>
      <c r="I190" s="43">
        <v>0.36816100000000002</v>
      </c>
      <c r="J190" s="43">
        <v>0</v>
      </c>
      <c r="K190" s="43">
        <v>0</v>
      </c>
      <c r="L190" s="729">
        <v>0</v>
      </c>
      <c r="M190" s="750">
        <v>0</v>
      </c>
      <c r="N190" s="45">
        <v>0.45749899999999999</v>
      </c>
      <c r="O190" s="43">
        <v>0.46594999999999998</v>
      </c>
      <c r="P190" s="43">
        <v>0.48</v>
      </c>
      <c r="Q190" s="729">
        <v>0</v>
      </c>
      <c r="R190" s="750">
        <v>0</v>
      </c>
      <c r="S190" s="45">
        <v>0.45749899999999999</v>
      </c>
      <c r="T190" s="43">
        <v>0.46594999999999998</v>
      </c>
      <c r="U190" s="43">
        <v>0.48</v>
      </c>
      <c r="V190" s="729">
        <v>0</v>
      </c>
      <c r="W190" s="616">
        <v>0</v>
      </c>
    </row>
    <row r="191" spans="2:23" x14ac:dyDescent="0.3">
      <c r="B191" s="380" t="s">
        <v>1484</v>
      </c>
      <c r="C191" s="179" t="s">
        <v>662</v>
      </c>
      <c r="D191" s="182">
        <v>1.8763719999999999</v>
      </c>
      <c r="E191" s="43">
        <v>0.49589100000000003</v>
      </c>
      <c r="F191" s="43">
        <v>2.307E-2</v>
      </c>
      <c r="G191" s="729">
        <v>0.48875999999999997</v>
      </c>
      <c r="H191" s="750">
        <v>0.99144500000000002</v>
      </c>
      <c r="I191" s="43">
        <v>0.721858</v>
      </c>
      <c r="J191" s="43">
        <v>0</v>
      </c>
      <c r="K191" s="43">
        <v>0</v>
      </c>
      <c r="L191" s="729">
        <v>0.99661500000000003</v>
      </c>
      <c r="M191" s="750">
        <v>0.61896600000000002</v>
      </c>
      <c r="N191" s="45">
        <v>0.80086100000000005</v>
      </c>
      <c r="O191" s="43">
        <v>0</v>
      </c>
      <c r="P191" s="43">
        <v>0</v>
      </c>
      <c r="Q191" s="729">
        <v>0.98304400000000003</v>
      </c>
      <c r="R191" s="750">
        <v>0.97918400000000005</v>
      </c>
      <c r="S191" s="45">
        <v>1.1915230000000001</v>
      </c>
      <c r="T191" s="43">
        <v>0</v>
      </c>
      <c r="U191" s="43">
        <v>0</v>
      </c>
      <c r="V191" s="729">
        <v>0.99253499999999995</v>
      </c>
      <c r="W191" s="616">
        <v>0.86096200000000001</v>
      </c>
    </row>
    <row r="192" spans="2:23" x14ac:dyDescent="0.3">
      <c r="B192" s="380" t="s">
        <v>1485</v>
      </c>
      <c r="C192" s="179" t="s">
        <v>663</v>
      </c>
      <c r="D192" s="182">
        <v>0.93797699999999995</v>
      </c>
      <c r="E192" s="43">
        <v>0.42482999999999999</v>
      </c>
      <c r="F192" s="43">
        <v>0</v>
      </c>
      <c r="G192" s="729">
        <v>0.26783099999999999</v>
      </c>
      <c r="H192" s="750">
        <v>0.46781099999999998</v>
      </c>
      <c r="I192" s="43">
        <v>0.283721</v>
      </c>
      <c r="J192" s="43">
        <v>0</v>
      </c>
      <c r="K192" s="43">
        <v>0</v>
      </c>
      <c r="L192" s="729">
        <v>0.99754500000000002</v>
      </c>
      <c r="M192" s="750">
        <v>7.2722999999999996E-2</v>
      </c>
      <c r="N192" s="45">
        <v>0.42886999999999997</v>
      </c>
      <c r="O192" s="43">
        <v>0</v>
      </c>
      <c r="P192" s="43">
        <v>0</v>
      </c>
      <c r="Q192" s="729">
        <v>0.99466100000000002</v>
      </c>
      <c r="R192" s="750">
        <v>0.68888400000000005</v>
      </c>
      <c r="S192" s="45">
        <v>0.510938</v>
      </c>
      <c r="T192" s="43">
        <v>0</v>
      </c>
      <c r="U192" s="43">
        <v>0</v>
      </c>
      <c r="V192" s="729">
        <v>0.99678900000000004</v>
      </c>
      <c r="W192" s="616">
        <v>0.17930299999999999</v>
      </c>
    </row>
    <row r="193" spans="2:23" x14ac:dyDescent="0.3">
      <c r="B193" s="380" t="s">
        <v>1486</v>
      </c>
      <c r="C193" s="179" t="s">
        <v>664</v>
      </c>
      <c r="D193" s="182">
        <v>0.35231899999999999</v>
      </c>
      <c r="E193" s="43">
        <v>0</v>
      </c>
      <c r="F193" s="43">
        <v>0</v>
      </c>
      <c r="G193" s="729">
        <v>0.76858599999999999</v>
      </c>
      <c r="H193" s="750">
        <v>0.66666700000000001</v>
      </c>
      <c r="I193" s="43">
        <v>0.22730700000000001</v>
      </c>
      <c r="J193" s="43">
        <v>0.60883900000000002</v>
      </c>
      <c r="K193" s="43">
        <v>0.66</v>
      </c>
      <c r="L193" s="729">
        <v>0</v>
      </c>
      <c r="M193" s="750">
        <v>0</v>
      </c>
      <c r="N193" s="45">
        <v>0.38959199999999999</v>
      </c>
      <c r="O193" s="43">
        <v>0.47551900000000002</v>
      </c>
      <c r="P193" s="43">
        <v>0.61</v>
      </c>
      <c r="Q193" s="729">
        <v>0</v>
      </c>
      <c r="R193" s="750">
        <v>0</v>
      </c>
      <c r="S193" s="45">
        <v>0.48396800000000001</v>
      </c>
      <c r="T193" s="43">
        <v>0.39066000000000001</v>
      </c>
      <c r="U193" s="43">
        <v>0.56999999999999995</v>
      </c>
      <c r="V193" s="729">
        <v>0</v>
      </c>
      <c r="W193" s="616">
        <v>0</v>
      </c>
    </row>
    <row r="194" spans="2:23" x14ac:dyDescent="0.3">
      <c r="B194" s="380" t="s">
        <v>1487</v>
      </c>
      <c r="C194" s="179" t="s">
        <v>665</v>
      </c>
      <c r="D194" s="182">
        <v>0.118358</v>
      </c>
      <c r="E194" s="43">
        <v>0.67160399999999998</v>
      </c>
      <c r="F194" s="43">
        <v>8.6610000000000003E-3</v>
      </c>
      <c r="G194" s="729">
        <v>0.388517</v>
      </c>
      <c r="H194" s="750">
        <v>1</v>
      </c>
      <c r="I194" s="43">
        <v>3.6872000000000002E-2</v>
      </c>
      <c r="J194" s="43">
        <v>0</v>
      </c>
      <c r="K194" s="43">
        <v>0</v>
      </c>
      <c r="L194" s="729">
        <v>1</v>
      </c>
      <c r="M194" s="750">
        <v>1</v>
      </c>
      <c r="N194" s="45">
        <v>3.4743999999999997E-2</v>
      </c>
      <c r="O194" s="43">
        <v>0</v>
      </c>
      <c r="P194" s="43">
        <v>0</v>
      </c>
      <c r="Q194" s="729">
        <v>0.99942900000000001</v>
      </c>
      <c r="R194" s="750">
        <v>1</v>
      </c>
      <c r="S194" s="45">
        <v>5.4792E-2</v>
      </c>
      <c r="T194" s="43">
        <v>0</v>
      </c>
      <c r="U194" s="43">
        <v>0</v>
      </c>
      <c r="V194" s="729">
        <v>1</v>
      </c>
      <c r="W194" s="616">
        <v>1</v>
      </c>
    </row>
    <row r="195" spans="2:23" x14ac:dyDescent="0.3">
      <c r="B195" s="380" t="s">
        <v>1488</v>
      </c>
      <c r="C195" s="179" t="s">
        <v>666</v>
      </c>
      <c r="D195" s="182">
        <v>1.3116540000000001</v>
      </c>
      <c r="E195" s="43">
        <v>0</v>
      </c>
      <c r="F195" s="43">
        <v>0</v>
      </c>
      <c r="G195" s="729">
        <v>0.20802999999999999</v>
      </c>
      <c r="H195" s="750">
        <v>0</v>
      </c>
      <c r="I195" s="43">
        <v>1.570222</v>
      </c>
      <c r="J195" s="43">
        <v>0</v>
      </c>
      <c r="K195" s="43">
        <v>0</v>
      </c>
      <c r="L195" s="729">
        <v>0</v>
      </c>
      <c r="M195" s="750">
        <v>0</v>
      </c>
      <c r="N195" s="45">
        <v>0.62804700000000002</v>
      </c>
      <c r="O195" s="43">
        <v>0</v>
      </c>
      <c r="P195" s="43">
        <v>0</v>
      </c>
      <c r="Q195" s="729">
        <v>0.99491700000000005</v>
      </c>
      <c r="R195" s="750">
        <v>0</v>
      </c>
      <c r="S195" s="45">
        <v>0.73558699999999999</v>
      </c>
      <c r="T195" s="43">
        <v>0</v>
      </c>
      <c r="U195" s="43">
        <v>0</v>
      </c>
      <c r="V195" s="729">
        <v>0.99491700000000005</v>
      </c>
      <c r="W195" s="616">
        <v>0</v>
      </c>
    </row>
    <row r="196" spans="2:23" x14ac:dyDescent="0.3">
      <c r="B196" s="380" t="s">
        <v>1489</v>
      </c>
      <c r="C196" s="179" t="s">
        <v>667</v>
      </c>
      <c r="D196" s="182">
        <v>0.95558900000000002</v>
      </c>
      <c r="E196" s="43">
        <v>0.39692899999999998</v>
      </c>
      <c r="F196" s="43">
        <v>0.01</v>
      </c>
      <c r="G196" s="729">
        <v>0.40153299999999997</v>
      </c>
      <c r="H196" s="750">
        <v>0</v>
      </c>
      <c r="I196" s="43">
        <v>1.2409790000000001</v>
      </c>
      <c r="J196" s="43">
        <v>0</v>
      </c>
      <c r="K196" s="43">
        <v>0</v>
      </c>
      <c r="L196" s="729">
        <v>0</v>
      </c>
      <c r="M196" s="750">
        <v>0</v>
      </c>
      <c r="N196" s="45">
        <v>0.68681300000000001</v>
      </c>
      <c r="O196" s="43">
        <v>0.49591499999999999</v>
      </c>
      <c r="P196" s="43">
        <v>0.5</v>
      </c>
      <c r="Q196" s="729">
        <v>0.67231399999999997</v>
      </c>
      <c r="R196" s="750">
        <v>0</v>
      </c>
      <c r="S196" s="45">
        <v>0.72821400000000003</v>
      </c>
      <c r="T196" s="43">
        <v>0.49591499999999999</v>
      </c>
      <c r="U196" s="43">
        <v>0.5</v>
      </c>
      <c r="V196" s="729">
        <v>0.67231399999999997</v>
      </c>
      <c r="W196" s="616">
        <v>0</v>
      </c>
    </row>
    <row r="197" spans="2:23" x14ac:dyDescent="0.3">
      <c r="B197" s="380" t="s">
        <v>1490</v>
      </c>
      <c r="C197" s="179" t="s">
        <v>668</v>
      </c>
      <c r="D197" s="182">
        <v>0.646069</v>
      </c>
      <c r="E197" s="43">
        <v>0</v>
      </c>
      <c r="F197" s="43">
        <v>0</v>
      </c>
      <c r="G197" s="729">
        <v>0.35278100000000001</v>
      </c>
      <c r="H197" s="750">
        <v>0</v>
      </c>
      <c r="I197" s="43">
        <v>0.88306600000000002</v>
      </c>
      <c r="J197" s="43">
        <v>0</v>
      </c>
      <c r="K197" s="43">
        <v>0</v>
      </c>
      <c r="L197" s="729">
        <v>0</v>
      </c>
      <c r="M197" s="750">
        <v>0</v>
      </c>
      <c r="N197" s="45">
        <v>0.453793</v>
      </c>
      <c r="O197" s="43">
        <v>0</v>
      </c>
      <c r="P197" s="43">
        <v>0</v>
      </c>
      <c r="Q197" s="729">
        <v>0.99249600000000004</v>
      </c>
      <c r="R197" s="750">
        <v>0</v>
      </c>
      <c r="S197" s="45">
        <v>0.53684600000000005</v>
      </c>
      <c r="T197" s="43">
        <v>0</v>
      </c>
      <c r="U197" s="43">
        <v>0</v>
      </c>
      <c r="V197" s="729">
        <v>0.99249600000000004</v>
      </c>
      <c r="W197" s="616">
        <v>0</v>
      </c>
    </row>
    <row r="198" spans="2:23" x14ac:dyDescent="0.3">
      <c r="B198" s="380" t="s">
        <v>1491</v>
      </c>
      <c r="C198" s="179" t="s">
        <v>669</v>
      </c>
      <c r="D198" s="182">
        <v>0.45693400000000001</v>
      </c>
      <c r="E198" s="43">
        <v>0.33735799999999999</v>
      </c>
      <c r="F198" s="43">
        <v>6.8649999999999996E-3</v>
      </c>
      <c r="G198" s="729">
        <v>0.35927900000000002</v>
      </c>
      <c r="H198" s="750">
        <v>0</v>
      </c>
      <c r="I198" s="43">
        <v>0.55050399999999999</v>
      </c>
      <c r="J198" s="43">
        <v>0</v>
      </c>
      <c r="K198" s="43">
        <v>0</v>
      </c>
      <c r="L198" s="729">
        <v>0</v>
      </c>
      <c r="M198" s="750">
        <v>0</v>
      </c>
      <c r="N198" s="45">
        <v>0.34551900000000002</v>
      </c>
      <c r="O198" s="43">
        <v>0</v>
      </c>
      <c r="P198" s="43">
        <v>0</v>
      </c>
      <c r="Q198" s="729">
        <v>0.99896300000000005</v>
      </c>
      <c r="R198" s="750">
        <v>0</v>
      </c>
      <c r="S198" s="45">
        <v>0.37787199999999999</v>
      </c>
      <c r="T198" s="43">
        <v>0</v>
      </c>
      <c r="U198" s="43">
        <v>0</v>
      </c>
      <c r="V198" s="729">
        <v>0.99896300000000005</v>
      </c>
      <c r="W198" s="616">
        <v>0</v>
      </c>
    </row>
    <row r="199" spans="2:23" x14ac:dyDescent="0.3">
      <c r="B199" s="380" t="s">
        <v>1492</v>
      </c>
      <c r="C199" s="179" t="s">
        <v>670</v>
      </c>
      <c r="D199" s="182">
        <v>0.59272499999999995</v>
      </c>
      <c r="E199" s="43">
        <v>0.37190499999999999</v>
      </c>
      <c r="F199" s="43">
        <v>0.01</v>
      </c>
      <c r="G199" s="729">
        <v>0.16085199999999999</v>
      </c>
      <c r="H199" s="750">
        <v>0</v>
      </c>
      <c r="I199" s="43">
        <v>0.73365999999999998</v>
      </c>
      <c r="J199" s="43">
        <v>0</v>
      </c>
      <c r="K199" s="43">
        <v>0</v>
      </c>
      <c r="L199" s="729">
        <v>0</v>
      </c>
      <c r="M199" s="750">
        <v>0</v>
      </c>
      <c r="N199" s="45">
        <v>0.42996899999999999</v>
      </c>
      <c r="O199" s="43">
        <v>0</v>
      </c>
      <c r="P199" s="43">
        <v>0</v>
      </c>
      <c r="Q199" s="729">
        <v>0.999058</v>
      </c>
      <c r="R199" s="750">
        <v>0</v>
      </c>
      <c r="S199" s="45">
        <v>0.52399600000000002</v>
      </c>
      <c r="T199" s="43">
        <v>0</v>
      </c>
      <c r="U199" s="43">
        <v>0</v>
      </c>
      <c r="V199" s="729">
        <v>0.999058</v>
      </c>
      <c r="W199" s="616">
        <v>0</v>
      </c>
    </row>
    <row r="200" spans="2:23" x14ac:dyDescent="0.3">
      <c r="B200" s="380" t="s">
        <v>1493</v>
      </c>
      <c r="C200" s="179" t="s">
        <v>671</v>
      </c>
      <c r="D200" s="182">
        <v>1.2538260000000001</v>
      </c>
      <c r="E200" s="43">
        <v>0.41482400000000003</v>
      </c>
      <c r="F200" s="43">
        <v>0</v>
      </c>
      <c r="G200" s="729">
        <v>0.22258900000000001</v>
      </c>
      <c r="H200" s="750">
        <v>0.62978699999999999</v>
      </c>
      <c r="I200" s="43">
        <v>0.44660899999999998</v>
      </c>
      <c r="J200" s="43">
        <v>0</v>
      </c>
      <c r="K200" s="43">
        <v>0</v>
      </c>
      <c r="L200" s="729">
        <v>0.99811300000000003</v>
      </c>
      <c r="M200" s="750">
        <v>0.226578</v>
      </c>
      <c r="N200" s="45">
        <v>0.61057099999999997</v>
      </c>
      <c r="O200" s="43">
        <v>0</v>
      </c>
      <c r="P200" s="43">
        <v>0</v>
      </c>
      <c r="Q200" s="729">
        <v>0.99621499999999996</v>
      </c>
      <c r="R200" s="750">
        <v>0.87003900000000001</v>
      </c>
      <c r="S200" s="45">
        <v>0.80741399999999997</v>
      </c>
      <c r="T200" s="43">
        <v>0</v>
      </c>
      <c r="U200" s="43">
        <v>0</v>
      </c>
      <c r="V200" s="729">
        <v>0.99572499999999997</v>
      </c>
      <c r="W200" s="616">
        <v>0.430398</v>
      </c>
    </row>
    <row r="201" spans="2:23" x14ac:dyDescent="0.3">
      <c r="B201" s="380" t="s">
        <v>1494</v>
      </c>
      <c r="C201" s="179" t="s">
        <v>672</v>
      </c>
      <c r="D201" s="182">
        <v>0.77734499999999995</v>
      </c>
      <c r="E201" s="43">
        <v>0.82123000000000002</v>
      </c>
      <c r="F201" s="43">
        <v>0</v>
      </c>
      <c r="G201" s="729">
        <v>0.179395</v>
      </c>
      <c r="H201" s="750">
        <v>0</v>
      </c>
      <c r="I201" s="43">
        <v>1.187854</v>
      </c>
      <c r="J201" s="43">
        <v>0</v>
      </c>
      <c r="K201" s="43">
        <v>0</v>
      </c>
      <c r="L201" s="729">
        <v>0</v>
      </c>
      <c r="M201" s="750">
        <v>0</v>
      </c>
      <c r="N201" s="45">
        <v>0.408725</v>
      </c>
      <c r="O201" s="43">
        <v>0</v>
      </c>
      <c r="P201" s="43">
        <v>0</v>
      </c>
      <c r="Q201" s="729">
        <v>0.99816700000000003</v>
      </c>
      <c r="R201" s="750">
        <v>0.31097200000000003</v>
      </c>
      <c r="S201" s="45">
        <v>0.62741400000000003</v>
      </c>
      <c r="T201" s="43">
        <v>0.38449499999999998</v>
      </c>
      <c r="U201" s="43">
        <v>0.56000000000000005</v>
      </c>
      <c r="V201" s="729">
        <v>0.62992800000000004</v>
      </c>
      <c r="W201" s="616">
        <v>0</v>
      </c>
    </row>
    <row r="202" spans="2:23" x14ac:dyDescent="0.3">
      <c r="B202" s="380" t="s">
        <v>1495</v>
      </c>
      <c r="C202" s="179" t="s">
        <v>673</v>
      </c>
      <c r="D202" s="182">
        <v>0.76040300000000005</v>
      </c>
      <c r="E202" s="43">
        <v>0.30590600000000001</v>
      </c>
      <c r="F202" s="43">
        <v>0</v>
      </c>
      <c r="G202" s="729">
        <v>0.23461000000000001</v>
      </c>
      <c r="H202" s="750">
        <v>0.263158</v>
      </c>
      <c r="I202" s="43">
        <v>1.2961020000000001</v>
      </c>
      <c r="J202" s="43">
        <v>0</v>
      </c>
      <c r="K202" s="43">
        <v>0</v>
      </c>
      <c r="L202" s="729">
        <v>0</v>
      </c>
      <c r="M202" s="750">
        <v>0</v>
      </c>
      <c r="N202" s="45">
        <v>0.40790199999999999</v>
      </c>
      <c r="O202" s="43">
        <v>0</v>
      </c>
      <c r="P202" s="43">
        <v>0</v>
      </c>
      <c r="Q202" s="729">
        <v>0.99690599999999996</v>
      </c>
      <c r="R202" s="750">
        <v>0.45633600000000002</v>
      </c>
      <c r="S202" s="45">
        <v>0.46033600000000002</v>
      </c>
      <c r="T202" s="43">
        <v>0</v>
      </c>
      <c r="U202" s="43">
        <v>0</v>
      </c>
      <c r="V202" s="729">
        <v>0.99751500000000004</v>
      </c>
      <c r="W202" s="616">
        <v>0.115795</v>
      </c>
    </row>
    <row r="203" spans="2:23" x14ac:dyDescent="0.3">
      <c r="B203" s="380" t="s">
        <v>1496</v>
      </c>
      <c r="C203" s="179" t="s">
        <v>674</v>
      </c>
      <c r="D203" s="182">
        <v>1.001951</v>
      </c>
      <c r="E203" s="43">
        <v>0.55035100000000003</v>
      </c>
      <c r="F203" s="43">
        <v>3.1589999999999999E-3</v>
      </c>
      <c r="G203" s="729">
        <v>0.37602000000000002</v>
      </c>
      <c r="H203" s="750">
        <v>1</v>
      </c>
      <c r="I203" s="43">
        <v>0.33780300000000002</v>
      </c>
      <c r="J203" s="43">
        <v>0</v>
      </c>
      <c r="K203" s="43">
        <v>0</v>
      </c>
      <c r="L203" s="729">
        <v>0.999305</v>
      </c>
      <c r="M203" s="750">
        <v>0.97181300000000004</v>
      </c>
      <c r="N203" s="45">
        <v>0.27942899999999998</v>
      </c>
      <c r="O203" s="43">
        <v>0</v>
      </c>
      <c r="P203" s="43">
        <v>0</v>
      </c>
      <c r="Q203" s="729">
        <v>0.99658199999999997</v>
      </c>
      <c r="R203" s="750">
        <v>0.99934800000000001</v>
      </c>
      <c r="S203" s="45">
        <v>0.45841999999999999</v>
      </c>
      <c r="T203" s="43">
        <v>0</v>
      </c>
      <c r="U203" s="43">
        <v>0</v>
      </c>
      <c r="V203" s="729">
        <v>0.999865</v>
      </c>
      <c r="W203" s="616">
        <v>0.99496300000000004</v>
      </c>
    </row>
    <row r="204" spans="2:23" x14ac:dyDescent="0.3">
      <c r="B204" s="380" t="s">
        <v>1497</v>
      </c>
      <c r="C204" s="179" t="s">
        <v>675</v>
      </c>
      <c r="D204" s="182">
        <v>1.29443</v>
      </c>
      <c r="E204" s="43">
        <v>0.40737000000000001</v>
      </c>
      <c r="F204" s="43">
        <v>0</v>
      </c>
      <c r="G204" s="729">
        <v>0.19266900000000001</v>
      </c>
      <c r="H204" s="750">
        <v>0.76633200000000001</v>
      </c>
      <c r="I204" s="43">
        <v>0.46185799999999999</v>
      </c>
      <c r="J204" s="43">
        <v>0</v>
      </c>
      <c r="K204" s="43">
        <v>0</v>
      </c>
      <c r="L204" s="729">
        <v>0.98936599999999997</v>
      </c>
      <c r="M204" s="750">
        <v>0.11268599999999999</v>
      </c>
      <c r="N204" s="45">
        <v>0.55665699999999996</v>
      </c>
      <c r="O204" s="43">
        <v>0</v>
      </c>
      <c r="P204" s="43">
        <v>0</v>
      </c>
      <c r="Q204" s="729">
        <v>0.993923</v>
      </c>
      <c r="R204" s="750">
        <v>0.75873299999999999</v>
      </c>
      <c r="S204" s="45">
        <v>0.75489300000000004</v>
      </c>
      <c r="T204" s="43">
        <v>0</v>
      </c>
      <c r="U204" s="43">
        <v>0</v>
      </c>
      <c r="V204" s="729">
        <v>0.99414800000000003</v>
      </c>
      <c r="W204" s="616">
        <v>0.45278299999999999</v>
      </c>
    </row>
    <row r="205" spans="2:23" x14ac:dyDescent="0.3">
      <c r="B205" s="380" t="s">
        <v>1498</v>
      </c>
      <c r="C205" s="179" t="s">
        <v>676</v>
      </c>
      <c r="D205" s="182">
        <v>0.38082100000000002</v>
      </c>
      <c r="E205" s="43">
        <v>0</v>
      </c>
      <c r="F205" s="43">
        <v>0</v>
      </c>
      <c r="G205" s="729">
        <v>0.15138799999999999</v>
      </c>
      <c r="H205" s="750">
        <v>0</v>
      </c>
      <c r="I205" s="43">
        <v>0.39426099999999997</v>
      </c>
      <c r="J205" s="43">
        <v>0</v>
      </c>
      <c r="K205" s="43">
        <v>0</v>
      </c>
      <c r="L205" s="729">
        <v>0</v>
      </c>
      <c r="M205" s="750">
        <v>0</v>
      </c>
      <c r="N205" s="45">
        <v>0.36760199999999998</v>
      </c>
      <c r="O205" s="43">
        <v>0.50756199999999996</v>
      </c>
      <c r="P205" s="43">
        <v>0.55000000000000004</v>
      </c>
      <c r="Q205" s="729">
        <v>0</v>
      </c>
      <c r="R205" s="750">
        <v>0</v>
      </c>
      <c r="S205" s="45">
        <v>0.36760199999999998</v>
      </c>
      <c r="T205" s="43">
        <v>0.50756199999999996</v>
      </c>
      <c r="U205" s="43">
        <v>0.55000000000000004</v>
      </c>
      <c r="V205" s="729">
        <v>0</v>
      </c>
      <c r="W205" s="616">
        <v>0</v>
      </c>
    </row>
    <row r="206" spans="2:23" x14ac:dyDescent="0.3">
      <c r="B206" s="380" t="s">
        <v>1499</v>
      </c>
      <c r="C206" s="179" t="s">
        <v>677</v>
      </c>
      <c r="D206" s="182">
        <v>1.284314</v>
      </c>
      <c r="E206" s="43">
        <v>0.44670599999999999</v>
      </c>
      <c r="F206" s="43">
        <v>1.1232000000000001E-2</v>
      </c>
      <c r="G206" s="729">
        <v>0.42020600000000002</v>
      </c>
      <c r="H206" s="750">
        <v>0.95904</v>
      </c>
      <c r="I206" s="43">
        <v>0.54192899999999999</v>
      </c>
      <c r="J206" s="43">
        <v>0</v>
      </c>
      <c r="K206" s="43">
        <v>0</v>
      </c>
      <c r="L206" s="729">
        <v>0.99329500000000004</v>
      </c>
      <c r="M206" s="750">
        <v>0.427172</v>
      </c>
      <c r="N206" s="45">
        <v>0.58552199999999999</v>
      </c>
      <c r="O206" s="43">
        <v>0</v>
      </c>
      <c r="P206" s="43">
        <v>0</v>
      </c>
      <c r="Q206" s="729">
        <v>0.97240800000000005</v>
      </c>
      <c r="R206" s="750">
        <v>0.97175100000000003</v>
      </c>
      <c r="S206" s="45">
        <v>0.88421499999999997</v>
      </c>
      <c r="T206" s="43">
        <v>0</v>
      </c>
      <c r="U206" s="43">
        <v>0</v>
      </c>
      <c r="V206" s="729">
        <v>0.98153299999999999</v>
      </c>
      <c r="W206" s="616">
        <v>0.78995400000000005</v>
      </c>
    </row>
    <row r="207" spans="2:23" x14ac:dyDescent="0.3">
      <c r="B207" s="380" t="s">
        <v>1500</v>
      </c>
      <c r="C207" s="179" t="s">
        <v>678</v>
      </c>
      <c r="D207" s="182">
        <v>0.37488199999999999</v>
      </c>
      <c r="E207" s="43">
        <v>0</v>
      </c>
      <c r="F207" s="43">
        <v>0</v>
      </c>
      <c r="G207" s="729">
        <v>0.64472200000000002</v>
      </c>
      <c r="H207" s="750">
        <v>0</v>
      </c>
      <c r="I207" s="43">
        <v>0.561589</v>
      </c>
      <c r="J207" s="43">
        <v>0</v>
      </c>
      <c r="K207" s="43">
        <v>0</v>
      </c>
      <c r="L207" s="729">
        <v>0</v>
      </c>
      <c r="M207" s="750">
        <v>0</v>
      </c>
      <c r="N207" s="45">
        <v>0.39480399999999999</v>
      </c>
      <c r="O207" s="43">
        <v>0</v>
      </c>
      <c r="P207" s="43">
        <v>0</v>
      </c>
      <c r="Q207" s="729">
        <v>0.97073699999999996</v>
      </c>
      <c r="R207" s="750">
        <v>9.1800000000000007E-3</v>
      </c>
      <c r="S207" s="45">
        <v>0.448291</v>
      </c>
      <c r="T207" s="43">
        <v>0</v>
      </c>
      <c r="U207" s="43">
        <v>0</v>
      </c>
      <c r="V207" s="729">
        <v>0.97079300000000002</v>
      </c>
      <c r="W207" s="616">
        <v>1.9009999999999999E-3</v>
      </c>
    </row>
    <row r="208" spans="2:23" x14ac:dyDescent="0.3">
      <c r="B208" s="380" t="s">
        <v>1501</v>
      </c>
      <c r="C208" s="179" t="s">
        <v>679</v>
      </c>
      <c r="D208" s="182">
        <v>0.60711599999999999</v>
      </c>
      <c r="E208" s="43">
        <v>0.97221800000000003</v>
      </c>
      <c r="F208" s="43">
        <v>0</v>
      </c>
      <c r="G208" s="729">
        <v>0.27498600000000001</v>
      </c>
      <c r="H208" s="750">
        <v>0.272059</v>
      </c>
      <c r="I208" s="43">
        <v>0.302116</v>
      </c>
      <c r="J208" s="43">
        <v>0</v>
      </c>
      <c r="K208" s="43">
        <v>0</v>
      </c>
      <c r="L208" s="729">
        <v>0.98573900000000003</v>
      </c>
      <c r="M208" s="750">
        <v>3.0009999999999998E-2</v>
      </c>
      <c r="N208" s="45">
        <v>0.47203499999999998</v>
      </c>
      <c r="O208" s="43">
        <v>0</v>
      </c>
      <c r="P208" s="43">
        <v>0</v>
      </c>
      <c r="Q208" s="729">
        <v>0.98072400000000004</v>
      </c>
      <c r="R208" s="750">
        <v>0.70507200000000003</v>
      </c>
      <c r="S208" s="45">
        <v>0.59112600000000004</v>
      </c>
      <c r="T208" s="43">
        <v>0</v>
      </c>
      <c r="U208" s="43">
        <v>0</v>
      </c>
      <c r="V208" s="729">
        <v>0.98211300000000001</v>
      </c>
      <c r="W208" s="616">
        <v>0.22394500000000001</v>
      </c>
    </row>
    <row r="209" spans="2:23" x14ac:dyDescent="0.3">
      <c r="B209" s="380" t="s">
        <v>1502</v>
      </c>
      <c r="C209" s="179" t="s">
        <v>680</v>
      </c>
      <c r="D209" s="182">
        <v>0.191833</v>
      </c>
      <c r="E209" s="43">
        <v>0</v>
      </c>
      <c r="F209" s="43">
        <v>0</v>
      </c>
      <c r="G209" s="729">
        <v>3.2078000000000002E-2</v>
      </c>
      <c r="H209" s="750">
        <v>0</v>
      </c>
      <c r="I209" s="43">
        <v>0.19414500000000001</v>
      </c>
      <c r="J209" s="43">
        <v>0</v>
      </c>
      <c r="K209" s="43">
        <v>0</v>
      </c>
      <c r="L209" s="729">
        <v>0</v>
      </c>
      <c r="M209" s="750">
        <v>0</v>
      </c>
      <c r="N209" s="45">
        <v>0.10373</v>
      </c>
      <c r="O209" s="43">
        <v>0.51343499999999997</v>
      </c>
      <c r="P209" s="43">
        <v>0.57999999999999996</v>
      </c>
      <c r="Q209" s="729">
        <v>0</v>
      </c>
      <c r="R209" s="750">
        <v>0</v>
      </c>
      <c r="S209" s="45">
        <v>0.10373</v>
      </c>
      <c r="T209" s="43">
        <v>0.51343499999999997</v>
      </c>
      <c r="U209" s="43">
        <v>0.57999999999999996</v>
      </c>
      <c r="V209" s="729">
        <v>0</v>
      </c>
      <c r="W209" s="616">
        <v>0</v>
      </c>
    </row>
    <row r="210" spans="2:23" x14ac:dyDescent="0.3">
      <c r="B210" s="380" t="s">
        <v>1503</v>
      </c>
      <c r="C210" s="179" t="s">
        <v>681</v>
      </c>
      <c r="D210" s="182">
        <v>0.45713199999999998</v>
      </c>
      <c r="E210" s="43">
        <v>0.25793899999999997</v>
      </c>
      <c r="F210" s="43">
        <v>0</v>
      </c>
      <c r="G210" s="729">
        <v>0.30190699999999998</v>
      </c>
      <c r="H210" s="750">
        <v>0</v>
      </c>
      <c r="I210" s="43">
        <v>0.54527599999999998</v>
      </c>
      <c r="J210" s="43">
        <v>0</v>
      </c>
      <c r="K210" s="43">
        <v>0</v>
      </c>
      <c r="L210" s="729">
        <v>0</v>
      </c>
      <c r="M210" s="750">
        <v>0</v>
      </c>
      <c r="N210" s="45">
        <v>0.426311</v>
      </c>
      <c r="O210" s="43">
        <v>0</v>
      </c>
      <c r="P210" s="43">
        <v>0</v>
      </c>
      <c r="Q210" s="729">
        <v>0.99322299999999997</v>
      </c>
      <c r="R210" s="750">
        <v>0</v>
      </c>
      <c r="S210" s="45">
        <v>0.496838</v>
      </c>
      <c r="T210" s="43">
        <v>0</v>
      </c>
      <c r="U210" s="43">
        <v>0</v>
      </c>
      <c r="V210" s="729">
        <v>0.99322299999999997</v>
      </c>
      <c r="W210" s="616">
        <v>0</v>
      </c>
    </row>
    <row r="211" spans="2:23" x14ac:dyDescent="0.3">
      <c r="B211" s="380" t="s">
        <v>1504</v>
      </c>
      <c r="C211" s="179" t="s">
        <v>682</v>
      </c>
      <c r="D211" s="182">
        <v>0.281609</v>
      </c>
      <c r="E211" s="43">
        <v>0.37979800000000002</v>
      </c>
      <c r="F211" s="43">
        <v>0.01</v>
      </c>
      <c r="G211" s="729">
        <v>0.36793599999999999</v>
      </c>
      <c r="H211" s="750">
        <v>0</v>
      </c>
      <c r="I211" s="43">
        <v>0.32340600000000003</v>
      </c>
      <c r="J211" s="43">
        <v>0</v>
      </c>
      <c r="K211" s="43">
        <v>0</v>
      </c>
      <c r="L211" s="729">
        <v>0</v>
      </c>
      <c r="M211" s="750">
        <v>0</v>
      </c>
      <c r="N211" s="45">
        <v>0.43572300000000003</v>
      </c>
      <c r="O211" s="43">
        <v>0.53037900000000004</v>
      </c>
      <c r="P211" s="43">
        <v>0.49</v>
      </c>
      <c r="Q211" s="729">
        <v>0</v>
      </c>
      <c r="R211" s="750">
        <v>0</v>
      </c>
      <c r="S211" s="45">
        <v>0.43572300000000003</v>
      </c>
      <c r="T211" s="43">
        <v>0.53037900000000004</v>
      </c>
      <c r="U211" s="43">
        <v>0.49</v>
      </c>
      <c r="V211" s="729">
        <v>0</v>
      </c>
      <c r="W211" s="616">
        <v>0</v>
      </c>
    </row>
    <row r="212" spans="2:23" x14ac:dyDescent="0.3">
      <c r="B212" s="380" t="s">
        <v>1505</v>
      </c>
      <c r="C212" s="179" t="s">
        <v>683</v>
      </c>
      <c r="D212" s="182">
        <v>1.071429</v>
      </c>
      <c r="E212" s="43">
        <v>0.42353099999999999</v>
      </c>
      <c r="F212" s="43">
        <v>0</v>
      </c>
      <c r="G212" s="729">
        <v>0.27217599999999997</v>
      </c>
      <c r="H212" s="750">
        <v>0.80101999999999995</v>
      </c>
      <c r="I212" s="43">
        <v>0.39457799999999998</v>
      </c>
      <c r="J212" s="43">
        <v>0</v>
      </c>
      <c r="K212" s="43">
        <v>0</v>
      </c>
      <c r="L212" s="729">
        <v>0.99640399999999996</v>
      </c>
      <c r="M212" s="750">
        <v>0.24060300000000001</v>
      </c>
      <c r="N212" s="45">
        <v>0.45550600000000002</v>
      </c>
      <c r="O212" s="43">
        <v>0</v>
      </c>
      <c r="P212" s="43">
        <v>0</v>
      </c>
      <c r="Q212" s="729">
        <v>0.97078399999999998</v>
      </c>
      <c r="R212" s="750">
        <v>0.94845800000000002</v>
      </c>
      <c r="S212" s="45">
        <v>0.62768500000000005</v>
      </c>
      <c r="T212" s="43">
        <v>0</v>
      </c>
      <c r="U212" s="43">
        <v>0</v>
      </c>
      <c r="V212" s="729">
        <v>0.98695600000000006</v>
      </c>
      <c r="W212" s="616">
        <v>0.66755200000000003</v>
      </c>
    </row>
    <row r="213" spans="2:23" x14ac:dyDescent="0.3">
      <c r="B213" s="380" t="s">
        <v>1506</v>
      </c>
      <c r="C213" s="179" t="s">
        <v>684</v>
      </c>
      <c r="D213" s="182">
        <v>0.47285100000000002</v>
      </c>
      <c r="E213" s="43">
        <v>0</v>
      </c>
      <c r="F213" s="43">
        <v>0</v>
      </c>
      <c r="G213" s="729">
        <v>0.34920600000000002</v>
      </c>
      <c r="H213" s="750">
        <v>2.2988999999999999E-2</v>
      </c>
      <c r="I213" s="43">
        <v>0.63328200000000001</v>
      </c>
      <c r="J213" s="43">
        <v>0</v>
      </c>
      <c r="K213" s="43">
        <v>0</v>
      </c>
      <c r="L213" s="729">
        <v>0</v>
      </c>
      <c r="M213" s="750">
        <v>0</v>
      </c>
      <c r="N213" s="45">
        <v>0.35711399999999999</v>
      </c>
      <c r="O213" s="43">
        <v>0</v>
      </c>
      <c r="P213" s="43">
        <v>0</v>
      </c>
      <c r="Q213" s="729">
        <v>0.98810500000000001</v>
      </c>
      <c r="R213" s="750">
        <v>0.31268200000000002</v>
      </c>
      <c r="S213" s="45">
        <v>0.41378100000000001</v>
      </c>
      <c r="T213" s="43">
        <v>0</v>
      </c>
      <c r="U213" s="43">
        <v>0</v>
      </c>
      <c r="V213" s="729">
        <v>0.98877400000000004</v>
      </c>
      <c r="W213" s="616">
        <v>4.5457999999999998E-2</v>
      </c>
    </row>
    <row r="214" spans="2:23" x14ac:dyDescent="0.3">
      <c r="B214" s="380" t="s">
        <v>1507</v>
      </c>
      <c r="C214" s="179" t="s">
        <v>685</v>
      </c>
      <c r="D214" s="182">
        <v>0.57569800000000004</v>
      </c>
      <c r="E214" s="43">
        <v>0</v>
      </c>
      <c r="F214" s="43">
        <v>0</v>
      </c>
      <c r="G214" s="729">
        <v>0.123085</v>
      </c>
      <c r="H214" s="750">
        <v>0</v>
      </c>
      <c r="I214" s="43">
        <v>0.63641800000000004</v>
      </c>
      <c r="J214" s="43">
        <v>0</v>
      </c>
      <c r="K214" s="43">
        <v>0</v>
      </c>
      <c r="L214" s="729">
        <v>0</v>
      </c>
      <c r="M214" s="750">
        <v>0</v>
      </c>
      <c r="N214" s="45">
        <v>0.31978000000000001</v>
      </c>
      <c r="O214" s="43">
        <v>0</v>
      </c>
      <c r="P214" s="43">
        <v>0</v>
      </c>
      <c r="Q214" s="729">
        <v>0.98723000000000005</v>
      </c>
      <c r="R214" s="750">
        <v>0</v>
      </c>
      <c r="S214" s="45">
        <v>0.35430899999999999</v>
      </c>
      <c r="T214" s="43">
        <v>0</v>
      </c>
      <c r="U214" s="43">
        <v>0</v>
      </c>
      <c r="V214" s="729">
        <v>0.98723000000000005</v>
      </c>
      <c r="W214" s="616">
        <v>0</v>
      </c>
    </row>
    <row r="215" spans="2:23" x14ac:dyDescent="0.3">
      <c r="B215" s="380" t="s">
        <v>1508</v>
      </c>
      <c r="C215" s="179" t="s">
        <v>686</v>
      </c>
      <c r="D215" s="182">
        <v>0.569438</v>
      </c>
      <c r="E215" s="43">
        <v>0.42348599999999997</v>
      </c>
      <c r="F215" s="43">
        <v>0</v>
      </c>
      <c r="G215" s="729">
        <v>0.32627099999999998</v>
      </c>
      <c r="H215" s="750">
        <v>0.96428599999999998</v>
      </c>
      <c r="I215" s="43">
        <v>0.249781</v>
      </c>
      <c r="J215" s="43">
        <v>0</v>
      </c>
      <c r="K215" s="43">
        <v>0</v>
      </c>
      <c r="L215" s="729">
        <v>0.99507999999999996</v>
      </c>
      <c r="M215" s="750">
        <v>0.459704</v>
      </c>
      <c r="N215" s="45">
        <v>0.24645</v>
      </c>
      <c r="O215" s="43">
        <v>0</v>
      </c>
      <c r="P215" s="43">
        <v>0</v>
      </c>
      <c r="Q215" s="729">
        <v>0.93728199999999995</v>
      </c>
      <c r="R215" s="750">
        <v>0.985703</v>
      </c>
      <c r="S215" s="45">
        <v>0.37808599999999998</v>
      </c>
      <c r="T215" s="43">
        <v>0</v>
      </c>
      <c r="U215" s="43">
        <v>0</v>
      </c>
      <c r="V215" s="729">
        <v>0.97508099999999998</v>
      </c>
      <c r="W215" s="616">
        <v>0.85415200000000002</v>
      </c>
    </row>
    <row r="216" spans="2:23" x14ac:dyDescent="0.3">
      <c r="B216" s="380" t="s">
        <v>1509</v>
      </c>
      <c r="C216" s="179" t="s">
        <v>687</v>
      </c>
      <c r="D216" s="182">
        <v>0.99619999999999997</v>
      </c>
      <c r="E216" s="43">
        <v>0.30430400000000002</v>
      </c>
      <c r="F216" s="43">
        <v>0</v>
      </c>
      <c r="G216" s="729">
        <v>0.20479800000000001</v>
      </c>
      <c r="H216" s="750">
        <v>0.42631599999999997</v>
      </c>
      <c r="I216" s="43">
        <v>0.45476800000000001</v>
      </c>
      <c r="J216" s="43">
        <v>0</v>
      </c>
      <c r="K216" s="43">
        <v>0</v>
      </c>
      <c r="L216" s="729">
        <v>0.99519599999999997</v>
      </c>
      <c r="M216" s="750">
        <v>3.7213000000000003E-2</v>
      </c>
      <c r="N216" s="45">
        <v>0.68194999999999995</v>
      </c>
      <c r="O216" s="43">
        <v>0</v>
      </c>
      <c r="P216" s="43">
        <v>0</v>
      </c>
      <c r="Q216" s="729">
        <v>0.99207999999999996</v>
      </c>
      <c r="R216" s="750">
        <v>0.635687</v>
      </c>
      <c r="S216" s="45">
        <v>0.99699800000000005</v>
      </c>
      <c r="T216" s="43">
        <v>0.45622499999999999</v>
      </c>
      <c r="U216" s="43">
        <v>0.5</v>
      </c>
      <c r="V216" s="729">
        <v>0.66660799999999998</v>
      </c>
      <c r="W216" s="616">
        <v>0.14072999999999999</v>
      </c>
    </row>
    <row r="217" spans="2:23" x14ac:dyDescent="0.3">
      <c r="B217" s="380" t="s">
        <v>1510</v>
      </c>
      <c r="C217" s="179" t="s">
        <v>688</v>
      </c>
      <c r="D217" s="182">
        <v>0.954816</v>
      </c>
      <c r="E217" s="43">
        <v>0</v>
      </c>
      <c r="F217" s="43">
        <v>0</v>
      </c>
      <c r="G217" s="729">
        <v>0.573708</v>
      </c>
      <c r="H217" s="750">
        <v>0</v>
      </c>
      <c r="I217" s="43">
        <v>0.84143599999999996</v>
      </c>
      <c r="J217" s="43">
        <v>0</v>
      </c>
      <c r="K217" s="43">
        <v>0</v>
      </c>
      <c r="L217" s="729">
        <v>0.65202800000000005</v>
      </c>
      <c r="M217" s="750">
        <v>0</v>
      </c>
      <c r="N217" s="45">
        <v>0.43057899999999999</v>
      </c>
      <c r="O217" s="43">
        <v>0</v>
      </c>
      <c r="P217" s="43">
        <v>0</v>
      </c>
      <c r="Q217" s="729">
        <v>0.99333000000000005</v>
      </c>
      <c r="R217" s="750">
        <v>0</v>
      </c>
      <c r="S217" s="45">
        <v>0.51038700000000004</v>
      </c>
      <c r="T217" s="43">
        <v>0</v>
      </c>
      <c r="U217" s="43">
        <v>0</v>
      </c>
      <c r="V217" s="729">
        <v>0.99333000000000005</v>
      </c>
      <c r="W217" s="616">
        <v>0</v>
      </c>
    </row>
    <row r="218" spans="2:23" x14ac:dyDescent="0.3">
      <c r="B218" s="380" t="s">
        <v>1511</v>
      </c>
      <c r="C218" s="179" t="s">
        <v>689</v>
      </c>
      <c r="D218" s="182">
        <v>0.35742000000000002</v>
      </c>
      <c r="E218" s="43">
        <v>0</v>
      </c>
      <c r="F218" s="43">
        <v>0</v>
      </c>
      <c r="G218" s="729">
        <v>0.40365899999999999</v>
      </c>
      <c r="H218" s="750">
        <v>0</v>
      </c>
      <c r="I218" s="43">
        <v>0.38986599999999999</v>
      </c>
      <c r="J218" s="43">
        <v>0</v>
      </c>
      <c r="K218" s="43">
        <v>0</v>
      </c>
      <c r="L218" s="729">
        <v>0</v>
      </c>
      <c r="M218" s="750">
        <v>0</v>
      </c>
      <c r="N218" s="45">
        <v>0.478408</v>
      </c>
      <c r="O218" s="43">
        <v>0.58375999999999995</v>
      </c>
      <c r="P218" s="43">
        <v>0.51</v>
      </c>
      <c r="Q218" s="729">
        <v>0</v>
      </c>
      <c r="R218" s="750">
        <v>0</v>
      </c>
      <c r="S218" s="45">
        <v>0.478408</v>
      </c>
      <c r="T218" s="43">
        <v>0.58375999999999995</v>
      </c>
      <c r="U218" s="43">
        <v>0.51</v>
      </c>
      <c r="V218" s="729">
        <v>0</v>
      </c>
      <c r="W218" s="616">
        <v>0</v>
      </c>
    </row>
    <row r="219" spans="2:23" x14ac:dyDescent="0.3">
      <c r="B219" s="380" t="s">
        <v>1512</v>
      </c>
      <c r="C219" s="179" t="s">
        <v>690</v>
      </c>
      <c r="D219" s="182">
        <v>1.1017939999999999</v>
      </c>
      <c r="E219" s="43">
        <v>0.39672200000000002</v>
      </c>
      <c r="F219" s="43">
        <v>1.1934999999999999E-2</v>
      </c>
      <c r="G219" s="729">
        <v>0.38785199999999997</v>
      </c>
      <c r="H219" s="750">
        <v>0.55555600000000005</v>
      </c>
      <c r="I219" s="43">
        <v>0.48532799999999998</v>
      </c>
      <c r="J219" s="43">
        <v>0</v>
      </c>
      <c r="K219" s="43">
        <v>0</v>
      </c>
      <c r="L219" s="729">
        <v>0.99343800000000004</v>
      </c>
      <c r="M219" s="750">
        <v>0.117689</v>
      </c>
      <c r="N219" s="45">
        <v>0.82239799999999996</v>
      </c>
      <c r="O219" s="43">
        <v>0</v>
      </c>
      <c r="P219" s="43">
        <v>0</v>
      </c>
      <c r="Q219" s="729">
        <v>0.96305099999999999</v>
      </c>
      <c r="R219" s="750">
        <v>0.79707300000000003</v>
      </c>
      <c r="S219" s="45">
        <v>0.99194499999999997</v>
      </c>
      <c r="T219" s="43">
        <v>0</v>
      </c>
      <c r="U219" s="43">
        <v>0</v>
      </c>
      <c r="V219" s="729">
        <v>0.97094599999999998</v>
      </c>
      <c r="W219" s="616">
        <v>0.298703</v>
      </c>
    </row>
    <row r="220" spans="2:23" x14ac:dyDescent="0.3">
      <c r="B220" s="380" t="s">
        <v>1513</v>
      </c>
      <c r="C220" s="179" t="s">
        <v>691</v>
      </c>
      <c r="D220" s="182">
        <v>0.88683599999999996</v>
      </c>
      <c r="E220" s="43">
        <v>0.53131399999999995</v>
      </c>
      <c r="F220" s="43">
        <v>0.01</v>
      </c>
      <c r="G220" s="729">
        <v>0.41578900000000002</v>
      </c>
      <c r="H220" s="750">
        <v>0.30857099999999998</v>
      </c>
      <c r="I220" s="43">
        <v>0.38500800000000002</v>
      </c>
      <c r="J220" s="43">
        <v>0</v>
      </c>
      <c r="K220" s="43">
        <v>0</v>
      </c>
      <c r="L220" s="729">
        <v>0.99198699999999995</v>
      </c>
      <c r="M220" s="750">
        <v>4.8837999999999999E-2</v>
      </c>
      <c r="N220" s="45">
        <v>0.73595699999999997</v>
      </c>
      <c r="O220" s="43">
        <v>0.45557300000000001</v>
      </c>
      <c r="P220" s="43">
        <v>0.55000000000000004</v>
      </c>
      <c r="Q220" s="729">
        <v>0.52449800000000002</v>
      </c>
      <c r="R220" s="750">
        <v>0.71642899999999998</v>
      </c>
      <c r="S220" s="45">
        <v>0.86728700000000003</v>
      </c>
      <c r="T220" s="43">
        <v>0.45569999999999999</v>
      </c>
      <c r="U220" s="43">
        <v>0.55000000000000004</v>
      </c>
      <c r="V220" s="729">
        <v>0.62929800000000002</v>
      </c>
      <c r="W220" s="616">
        <v>0.34748000000000001</v>
      </c>
    </row>
    <row r="221" spans="2:23" x14ac:dyDescent="0.3">
      <c r="B221" s="380" t="s">
        <v>1514</v>
      </c>
      <c r="C221" s="179" t="s">
        <v>692</v>
      </c>
      <c r="D221" s="182">
        <v>0.85643199999999997</v>
      </c>
      <c r="E221" s="43">
        <v>0</v>
      </c>
      <c r="F221" s="43">
        <v>0</v>
      </c>
      <c r="G221" s="729">
        <v>0.35855599999999999</v>
      </c>
      <c r="H221" s="750">
        <v>0.52343799999999996</v>
      </c>
      <c r="I221" s="43">
        <v>0.41811100000000001</v>
      </c>
      <c r="J221" s="43">
        <v>0</v>
      </c>
      <c r="K221" s="43">
        <v>0</v>
      </c>
      <c r="L221" s="729">
        <v>0.99311899999999997</v>
      </c>
      <c r="M221" s="750">
        <v>0.16711400000000001</v>
      </c>
      <c r="N221" s="45">
        <v>0.72035499999999997</v>
      </c>
      <c r="O221" s="43">
        <v>0</v>
      </c>
      <c r="P221" s="43">
        <v>0</v>
      </c>
      <c r="Q221" s="729">
        <v>0.93061400000000005</v>
      </c>
      <c r="R221" s="750">
        <v>0.89189799999999997</v>
      </c>
      <c r="S221" s="45">
        <v>0.87246699999999999</v>
      </c>
      <c r="T221" s="43">
        <v>0</v>
      </c>
      <c r="U221" s="43">
        <v>0</v>
      </c>
      <c r="V221" s="729">
        <v>0.95187600000000006</v>
      </c>
      <c r="W221" s="616">
        <v>0.45802999999999999</v>
      </c>
    </row>
    <row r="222" spans="2:23" x14ac:dyDescent="0.3">
      <c r="B222" s="380" t="s">
        <v>1515</v>
      </c>
      <c r="C222" s="179" t="s">
        <v>693</v>
      </c>
      <c r="D222" s="182">
        <v>0.35765200000000003</v>
      </c>
      <c r="E222" s="43">
        <v>0</v>
      </c>
      <c r="F222" s="43">
        <v>0</v>
      </c>
      <c r="G222" s="729">
        <v>0.14300099999999999</v>
      </c>
      <c r="H222" s="750">
        <v>0.3</v>
      </c>
      <c r="I222" s="43">
        <v>0.19819100000000001</v>
      </c>
      <c r="J222" s="43">
        <v>0.780443</v>
      </c>
      <c r="K222" s="43">
        <v>0.53</v>
      </c>
      <c r="L222" s="729">
        <v>0</v>
      </c>
      <c r="M222" s="750">
        <v>0</v>
      </c>
      <c r="N222" s="45">
        <v>0.28028500000000001</v>
      </c>
      <c r="O222" s="43">
        <v>0.56251200000000001</v>
      </c>
      <c r="P222" s="43">
        <v>0.51</v>
      </c>
      <c r="Q222" s="729">
        <v>0</v>
      </c>
      <c r="R222" s="750">
        <v>0</v>
      </c>
      <c r="S222" s="45">
        <v>0.370452</v>
      </c>
      <c r="T222" s="43">
        <v>0.45227899999999999</v>
      </c>
      <c r="U222" s="43">
        <v>0.49</v>
      </c>
      <c r="V222" s="729">
        <v>0</v>
      </c>
      <c r="W222" s="616">
        <v>0</v>
      </c>
    </row>
    <row r="223" spans="2:23" x14ac:dyDescent="0.3">
      <c r="B223" s="380" t="s">
        <v>1516</v>
      </c>
      <c r="C223" s="179" t="s">
        <v>694</v>
      </c>
      <c r="D223" s="182">
        <v>1.6459569999999999</v>
      </c>
      <c r="E223" s="43">
        <v>0.97984099999999996</v>
      </c>
      <c r="F223" s="43">
        <v>5.8279999999999998E-3</v>
      </c>
      <c r="G223" s="729">
        <v>0.55077299999999996</v>
      </c>
      <c r="H223" s="750">
        <v>0.898451</v>
      </c>
      <c r="I223" s="43">
        <v>0.66871199999999997</v>
      </c>
      <c r="J223" s="43">
        <v>0.38419500000000001</v>
      </c>
      <c r="K223" s="43">
        <v>0.56999999999999995</v>
      </c>
      <c r="L223" s="729">
        <v>0.78114899999999998</v>
      </c>
      <c r="M223" s="750">
        <v>0.64234199999999997</v>
      </c>
      <c r="N223" s="45">
        <v>0.50390900000000005</v>
      </c>
      <c r="O223" s="43">
        <v>0</v>
      </c>
      <c r="P223" s="43">
        <v>0</v>
      </c>
      <c r="Q223" s="729">
        <v>0.99694400000000005</v>
      </c>
      <c r="R223" s="750">
        <v>0.96982199999999996</v>
      </c>
      <c r="S223" s="45">
        <v>0.77758300000000002</v>
      </c>
      <c r="T223" s="43">
        <v>0</v>
      </c>
      <c r="U223" s="43">
        <v>0</v>
      </c>
      <c r="V223" s="729">
        <v>0.99856800000000001</v>
      </c>
      <c r="W223" s="616">
        <v>0.868946</v>
      </c>
    </row>
    <row r="224" spans="2:23" x14ac:dyDescent="0.3">
      <c r="B224" s="380" t="s">
        <v>1517</v>
      </c>
      <c r="C224" s="179" t="s">
        <v>695</v>
      </c>
      <c r="D224" s="182">
        <v>0.49739899999999998</v>
      </c>
      <c r="E224" s="43">
        <v>0</v>
      </c>
      <c r="F224" s="43">
        <v>0</v>
      </c>
      <c r="G224" s="729">
        <v>0.124976</v>
      </c>
      <c r="H224" s="750">
        <v>0.184615</v>
      </c>
      <c r="I224" s="43">
        <v>0.80603000000000002</v>
      </c>
      <c r="J224" s="43">
        <v>0</v>
      </c>
      <c r="K224" s="43">
        <v>0</v>
      </c>
      <c r="L224" s="729">
        <v>0</v>
      </c>
      <c r="M224" s="750">
        <v>0</v>
      </c>
      <c r="N224" s="45">
        <v>0.39717400000000003</v>
      </c>
      <c r="O224" s="43">
        <v>0</v>
      </c>
      <c r="P224" s="43">
        <v>0</v>
      </c>
      <c r="Q224" s="729">
        <v>0.967727</v>
      </c>
      <c r="R224" s="750">
        <v>0.36285000000000001</v>
      </c>
      <c r="S224" s="45">
        <v>0.45247700000000002</v>
      </c>
      <c r="T224" s="43">
        <v>0</v>
      </c>
      <c r="U224" s="43">
        <v>0</v>
      </c>
      <c r="V224" s="729">
        <v>0.97031800000000001</v>
      </c>
      <c r="W224" s="616">
        <v>9.9615999999999996E-2</v>
      </c>
    </row>
    <row r="225" spans="2:23" x14ac:dyDescent="0.3">
      <c r="B225" s="380" t="s">
        <v>1518</v>
      </c>
      <c r="C225" s="179" t="s">
        <v>696</v>
      </c>
      <c r="D225" s="182">
        <v>0.637764</v>
      </c>
      <c r="E225" s="43">
        <v>0</v>
      </c>
      <c r="F225" s="43">
        <v>0</v>
      </c>
      <c r="G225" s="729">
        <v>0.37417699999999998</v>
      </c>
      <c r="H225" s="750">
        <v>0</v>
      </c>
      <c r="I225" s="43">
        <v>0.82813400000000004</v>
      </c>
      <c r="J225" s="43">
        <v>0</v>
      </c>
      <c r="K225" s="43">
        <v>0</v>
      </c>
      <c r="L225" s="729">
        <v>0</v>
      </c>
      <c r="M225" s="750">
        <v>0</v>
      </c>
      <c r="N225" s="45">
        <v>0.54961899999999997</v>
      </c>
      <c r="O225" s="43">
        <v>0</v>
      </c>
      <c r="P225" s="43">
        <v>0</v>
      </c>
      <c r="Q225" s="729">
        <v>0.96839900000000001</v>
      </c>
      <c r="R225" s="750">
        <v>3.8579999999999999E-3</v>
      </c>
      <c r="S225" s="45">
        <v>0.63668999999999998</v>
      </c>
      <c r="T225" s="43">
        <v>0</v>
      </c>
      <c r="U225" s="43">
        <v>0</v>
      </c>
      <c r="V225" s="729">
        <v>0.96868399999999999</v>
      </c>
      <c r="W225" s="616">
        <v>2.2910000000000001E-3</v>
      </c>
    </row>
    <row r="226" spans="2:23" x14ac:dyDescent="0.3">
      <c r="B226" s="380" t="s">
        <v>1519</v>
      </c>
      <c r="C226" s="179" t="s">
        <v>697</v>
      </c>
      <c r="D226" s="182">
        <v>0.75755499999999998</v>
      </c>
      <c r="E226" s="43">
        <v>0</v>
      </c>
      <c r="F226" s="43">
        <v>0</v>
      </c>
      <c r="G226" s="729">
        <v>0.33053500000000002</v>
      </c>
      <c r="H226" s="750">
        <v>0</v>
      </c>
      <c r="I226" s="43">
        <v>1.0178560000000001</v>
      </c>
      <c r="J226" s="43">
        <v>0</v>
      </c>
      <c r="K226" s="43">
        <v>0</v>
      </c>
      <c r="L226" s="729">
        <v>0</v>
      </c>
      <c r="M226" s="750">
        <v>0</v>
      </c>
      <c r="N226" s="45">
        <v>0.45349800000000001</v>
      </c>
      <c r="O226" s="43">
        <v>0</v>
      </c>
      <c r="P226" s="43">
        <v>0</v>
      </c>
      <c r="Q226" s="729">
        <v>0.98651500000000003</v>
      </c>
      <c r="R226" s="750">
        <v>4.5578E-2</v>
      </c>
      <c r="S226" s="45">
        <v>0.53466999999999998</v>
      </c>
      <c r="T226" s="43">
        <v>0</v>
      </c>
      <c r="U226" s="43">
        <v>0</v>
      </c>
      <c r="V226" s="729">
        <v>0.98630399999999996</v>
      </c>
      <c r="W226" s="616">
        <v>1.5516E-2</v>
      </c>
    </row>
    <row r="227" spans="2:23" x14ac:dyDescent="0.3">
      <c r="B227" s="380" t="s">
        <v>1520</v>
      </c>
      <c r="C227" s="179" t="s">
        <v>698</v>
      </c>
      <c r="D227" s="182">
        <v>0.22061</v>
      </c>
      <c r="E227" s="43">
        <v>0</v>
      </c>
      <c r="F227" s="43">
        <v>0</v>
      </c>
      <c r="G227" s="729">
        <v>0.14507700000000001</v>
      </c>
      <c r="H227" s="750">
        <v>0</v>
      </c>
      <c r="I227" s="43">
        <v>0.21701799999999999</v>
      </c>
      <c r="J227" s="43">
        <v>0</v>
      </c>
      <c r="K227" s="43">
        <v>0</v>
      </c>
      <c r="L227" s="729">
        <v>0</v>
      </c>
      <c r="M227" s="750">
        <v>0</v>
      </c>
      <c r="N227" s="45">
        <v>0.32657599999999998</v>
      </c>
      <c r="O227" s="43">
        <v>0.71899199999999996</v>
      </c>
      <c r="P227" s="43">
        <v>0.49</v>
      </c>
      <c r="Q227" s="729">
        <v>0</v>
      </c>
      <c r="R227" s="750">
        <v>0</v>
      </c>
      <c r="S227" s="45">
        <v>0.32657599999999998</v>
      </c>
      <c r="T227" s="43">
        <v>0.71899199999999996</v>
      </c>
      <c r="U227" s="43">
        <v>0.49</v>
      </c>
      <c r="V227" s="729">
        <v>0</v>
      </c>
      <c r="W227" s="616">
        <v>0</v>
      </c>
    </row>
    <row r="228" spans="2:23" x14ac:dyDescent="0.3">
      <c r="B228" s="380" t="s">
        <v>1521</v>
      </c>
      <c r="C228" s="179" t="s">
        <v>699</v>
      </c>
      <c r="D228" s="182">
        <v>0.15113499999999999</v>
      </c>
      <c r="E228" s="43">
        <v>0</v>
      </c>
      <c r="F228" s="43">
        <v>0</v>
      </c>
      <c r="G228" s="729">
        <v>8.2957000000000003E-2</v>
      </c>
      <c r="H228" s="750">
        <v>0</v>
      </c>
      <c r="I228" s="43">
        <v>0.27648</v>
      </c>
      <c r="J228" s="43">
        <v>0</v>
      </c>
      <c r="K228" s="43">
        <v>0</v>
      </c>
      <c r="L228" s="729">
        <v>0</v>
      </c>
      <c r="M228" s="750">
        <v>0</v>
      </c>
      <c r="N228" s="45">
        <v>0.80826699999999996</v>
      </c>
      <c r="O228" s="43">
        <v>0</v>
      </c>
      <c r="P228" s="43">
        <v>0</v>
      </c>
      <c r="Q228" s="729">
        <v>0</v>
      </c>
      <c r="R228" s="750">
        <v>0</v>
      </c>
      <c r="S228" s="45">
        <v>0.93995499999999998</v>
      </c>
      <c r="T228" s="43">
        <v>0</v>
      </c>
      <c r="U228" s="43">
        <v>0</v>
      </c>
      <c r="V228" s="729">
        <v>0</v>
      </c>
      <c r="W228" s="616">
        <v>0</v>
      </c>
    </row>
    <row r="229" spans="2:23" x14ac:dyDescent="0.3">
      <c r="B229" s="380" t="s">
        <v>1522</v>
      </c>
      <c r="C229" s="179" t="s">
        <v>700</v>
      </c>
      <c r="D229" s="182">
        <v>0.52420800000000001</v>
      </c>
      <c r="E229" s="43">
        <v>0</v>
      </c>
      <c r="F229" s="43">
        <v>0</v>
      </c>
      <c r="G229" s="729">
        <v>0.22644</v>
      </c>
      <c r="H229" s="750">
        <v>0</v>
      </c>
      <c r="I229" s="43">
        <v>0.55760900000000002</v>
      </c>
      <c r="J229" s="43">
        <v>0</v>
      </c>
      <c r="K229" s="43">
        <v>0</v>
      </c>
      <c r="L229" s="729">
        <v>0</v>
      </c>
      <c r="M229" s="750">
        <v>0</v>
      </c>
      <c r="N229" s="45">
        <v>3.121486</v>
      </c>
      <c r="O229" s="43">
        <v>0</v>
      </c>
      <c r="P229" s="43">
        <v>0</v>
      </c>
      <c r="Q229" s="729">
        <v>0</v>
      </c>
      <c r="R229" s="750">
        <v>0</v>
      </c>
      <c r="S229" s="45">
        <v>3.121486</v>
      </c>
      <c r="T229" s="43">
        <v>0</v>
      </c>
      <c r="U229" s="43">
        <v>0</v>
      </c>
      <c r="V229" s="729">
        <v>0</v>
      </c>
      <c r="W229" s="616">
        <v>0</v>
      </c>
    </row>
    <row r="230" spans="2:23" x14ac:dyDescent="0.3">
      <c r="B230" s="380" t="s">
        <v>1523</v>
      </c>
      <c r="C230" s="179" t="s">
        <v>701</v>
      </c>
      <c r="D230" s="182">
        <v>0.57005300000000003</v>
      </c>
      <c r="E230" s="43">
        <v>0</v>
      </c>
      <c r="F230" s="43">
        <v>0</v>
      </c>
      <c r="G230" s="729">
        <v>0.46776499999999999</v>
      </c>
      <c r="H230" s="750">
        <v>0.92301599999999995</v>
      </c>
      <c r="I230" s="43">
        <v>0.12656400000000001</v>
      </c>
      <c r="J230" s="43">
        <v>0</v>
      </c>
      <c r="K230" s="43">
        <v>0</v>
      </c>
      <c r="L230" s="729">
        <v>0.99723799999999996</v>
      </c>
      <c r="M230" s="750">
        <v>0.272142</v>
      </c>
      <c r="N230" s="45">
        <v>0.29816500000000001</v>
      </c>
      <c r="O230" s="43">
        <v>0.56998000000000004</v>
      </c>
      <c r="P230" s="43">
        <v>0.67</v>
      </c>
      <c r="Q230" s="729">
        <v>0</v>
      </c>
      <c r="R230" s="750">
        <v>0</v>
      </c>
      <c r="S230" s="45">
        <v>0.42085800000000001</v>
      </c>
      <c r="T230" s="43">
        <v>0.42689500000000002</v>
      </c>
      <c r="U230" s="43">
        <v>0.62</v>
      </c>
      <c r="V230" s="729">
        <v>0</v>
      </c>
      <c r="W230" s="616">
        <v>0</v>
      </c>
    </row>
    <row r="231" spans="2:23" x14ac:dyDescent="0.3">
      <c r="B231" s="380" t="s">
        <v>1524</v>
      </c>
      <c r="C231" s="179" t="s">
        <v>702</v>
      </c>
      <c r="D231" s="182">
        <v>0.198237</v>
      </c>
      <c r="E231" s="43">
        <v>0</v>
      </c>
      <c r="F231" s="43">
        <v>0</v>
      </c>
      <c r="G231" s="729">
        <v>0.13120100000000001</v>
      </c>
      <c r="H231" s="750">
        <v>0</v>
      </c>
      <c r="I231" s="43">
        <v>0.202627</v>
      </c>
      <c r="J231" s="43">
        <v>0</v>
      </c>
      <c r="K231" s="43">
        <v>0</v>
      </c>
      <c r="L231" s="729">
        <v>0</v>
      </c>
      <c r="M231" s="750">
        <v>0</v>
      </c>
      <c r="N231" s="45">
        <v>0.32630700000000001</v>
      </c>
      <c r="O231" s="43">
        <v>0.71992999999999996</v>
      </c>
      <c r="P231" s="43">
        <v>0.5</v>
      </c>
      <c r="Q231" s="729">
        <v>0</v>
      </c>
      <c r="R231" s="750">
        <v>0</v>
      </c>
      <c r="S231" s="45">
        <v>0.32630700000000001</v>
      </c>
      <c r="T231" s="43">
        <v>0.71992999999999996</v>
      </c>
      <c r="U231" s="43">
        <v>0.5</v>
      </c>
      <c r="V231" s="729">
        <v>0</v>
      </c>
      <c r="W231" s="616">
        <v>0</v>
      </c>
    </row>
    <row r="232" spans="2:23" x14ac:dyDescent="0.3">
      <c r="B232" s="380" t="s">
        <v>1525</v>
      </c>
      <c r="C232" s="179" t="s">
        <v>703</v>
      </c>
      <c r="D232" s="182">
        <v>0.37817200000000001</v>
      </c>
      <c r="E232" s="43">
        <v>0</v>
      </c>
      <c r="F232" s="43">
        <v>0</v>
      </c>
      <c r="G232" s="729">
        <v>6.3742999999999994E-2</v>
      </c>
      <c r="H232" s="750">
        <v>0</v>
      </c>
      <c r="I232" s="43">
        <v>0.38248500000000002</v>
      </c>
      <c r="J232" s="43">
        <v>0</v>
      </c>
      <c r="K232" s="43">
        <v>0</v>
      </c>
      <c r="L232" s="729">
        <v>0</v>
      </c>
      <c r="M232" s="750">
        <v>0</v>
      </c>
      <c r="N232" s="45">
        <v>0.38854899999999998</v>
      </c>
      <c r="O232" s="43">
        <v>0.53235299999999997</v>
      </c>
      <c r="P232" s="43">
        <v>0.54</v>
      </c>
      <c r="Q232" s="729">
        <v>0</v>
      </c>
      <c r="R232" s="750">
        <v>0</v>
      </c>
      <c r="S232" s="45">
        <v>0.38854899999999998</v>
      </c>
      <c r="T232" s="43">
        <v>0.53235299999999997</v>
      </c>
      <c r="U232" s="43">
        <v>0.54</v>
      </c>
      <c r="V232" s="729">
        <v>0</v>
      </c>
      <c r="W232" s="616">
        <v>0</v>
      </c>
    </row>
    <row r="233" spans="2:23" x14ac:dyDescent="0.3">
      <c r="B233" s="380" t="s">
        <v>1526</v>
      </c>
      <c r="C233" s="179" t="s">
        <v>704</v>
      </c>
      <c r="D233" s="182">
        <v>0.35433700000000001</v>
      </c>
      <c r="E233" s="43">
        <v>0</v>
      </c>
      <c r="F233" s="43">
        <v>0</v>
      </c>
      <c r="G233" s="729">
        <v>0.22536999999999999</v>
      </c>
      <c r="H233" s="750">
        <v>0</v>
      </c>
      <c r="I233" s="43">
        <v>0.36813499999999999</v>
      </c>
      <c r="J233" s="43">
        <v>0</v>
      </c>
      <c r="K233" s="43">
        <v>0</v>
      </c>
      <c r="L233" s="729">
        <v>0</v>
      </c>
      <c r="M233" s="750">
        <v>0</v>
      </c>
      <c r="N233" s="45">
        <v>0.47036699999999998</v>
      </c>
      <c r="O233" s="43">
        <v>0.58513800000000005</v>
      </c>
      <c r="P233" s="43">
        <v>0.5</v>
      </c>
      <c r="Q233" s="729">
        <v>0</v>
      </c>
      <c r="R233" s="750">
        <v>0</v>
      </c>
      <c r="S233" s="45">
        <v>0.47036699999999998</v>
      </c>
      <c r="T233" s="43">
        <v>0.58513800000000005</v>
      </c>
      <c r="U233" s="43">
        <v>0.5</v>
      </c>
      <c r="V233" s="729">
        <v>0</v>
      </c>
      <c r="W233" s="616">
        <v>0</v>
      </c>
    </row>
    <row r="234" spans="2:23" x14ac:dyDescent="0.3">
      <c r="B234" s="380" t="s">
        <v>1527</v>
      </c>
      <c r="C234" s="179" t="s">
        <v>705</v>
      </c>
      <c r="D234" s="182">
        <v>0.184701</v>
      </c>
      <c r="E234" s="43">
        <v>0</v>
      </c>
      <c r="F234" s="43">
        <v>0</v>
      </c>
      <c r="G234" s="729">
        <v>0.20244500000000001</v>
      </c>
      <c r="H234" s="750">
        <v>0</v>
      </c>
      <c r="I234" s="43">
        <v>0.19703300000000001</v>
      </c>
      <c r="J234" s="43">
        <v>0</v>
      </c>
      <c r="K234" s="43">
        <v>0</v>
      </c>
      <c r="L234" s="729">
        <v>0</v>
      </c>
      <c r="M234" s="750">
        <v>0</v>
      </c>
      <c r="N234" s="45">
        <v>0.31203199999999998</v>
      </c>
      <c r="O234" s="43">
        <v>0.68390700000000004</v>
      </c>
      <c r="P234" s="43">
        <v>0.5</v>
      </c>
      <c r="Q234" s="729">
        <v>0</v>
      </c>
      <c r="R234" s="750">
        <v>0</v>
      </c>
      <c r="S234" s="45">
        <v>0.31203199999999998</v>
      </c>
      <c r="T234" s="43">
        <v>0.68390700000000004</v>
      </c>
      <c r="U234" s="43">
        <v>0.5</v>
      </c>
      <c r="V234" s="729">
        <v>0</v>
      </c>
      <c r="W234" s="616">
        <v>0</v>
      </c>
    </row>
    <row r="235" spans="2:23" x14ac:dyDescent="0.3">
      <c r="B235" s="380" t="s">
        <v>1528</v>
      </c>
      <c r="C235" s="179" t="s">
        <v>706</v>
      </c>
      <c r="D235" s="182">
        <v>0.57067400000000001</v>
      </c>
      <c r="E235" s="43">
        <v>0</v>
      </c>
      <c r="F235" s="43">
        <v>0</v>
      </c>
      <c r="G235" s="729">
        <v>0.107214</v>
      </c>
      <c r="H235" s="750">
        <v>0</v>
      </c>
      <c r="I235" s="43">
        <v>0.64480899999999997</v>
      </c>
      <c r="J235" s="43">
        <v>0</v>
      </c>
      <c r="K235" s="43">
        <v>0</v>
      </c>
      <c r="L235" s="729">
        <v>0</v>
      </c>
      <c r="M235" s="750">
        <v>0</v>
      </c>
      <c r="N235" s="45">
        <v>0.55631900000000001</v>
      </c>
      <c r="O235" s="43">
        <v>0</v>
      </c>
      <c r="P235" s="43">
        <v>0</v>
      </c>
      <c r="Q235" s="729">
        <v>0.95084000000000002</v>
      </c>
      <c r="R235" s="750">
        <v>0</v>
      </c>
      <c r="S235" s="45">
        <v>0.62412400000000001</v>
      </c>
      <c r="T235" s="43">
        <v>0</v>
      </c>
      <c r="U235" s="43">
        <v>0</v>
      </c>
      <c r="V235" s="729">
        <v>0.95084000000000002</v>
      </c>
      <c r="W235" s="616">
        <v>0</v>
      </c>
    </row>
    <row r="236" spans="2:23" x14ac:dyDescent="0.3">
      <c r="B236" s="380" t="s">
        <v>1529</v>
      </c>
      <c r="C236" s="179" t="s">
        <v>707</v>
      </c>
      <c r="D236" s="182">
        <v>0.665107</v>
      </c>
      <c r="E236" s="43">
        <v>0</v>
      </c>
      <c r="F236" s="43">
        <v>0</v>
      </c>
      <c r="G236" s="729">
        <v>0.100881</v>
      </c>
      <c r="H236" s="750">
        <v>0</v>
      </c>
      <c r="I236" s="43">
        <v>0.79228200000000004</v>
      </c>
      <c r="J236" s="43">
        <v>0</v>
      </c>
      <c r="K236" s="43">
        <v>0</v>
      </c>
      <c r="L236" s="729">
        <v>0</v>
      </c>
      <c r="M236" s="750">
        <v>0</v>
      </c>
      <c r="N236" s="45">
        <v>0.58633800000000003</v>
      </c>
      <c r="O236" s="43">
        <v>0</v>
      </c>
      <c r="P236" s="43">
        <v>0</v>
      </c>
      <c r="Q236" s="729">
        <v>0.96169300000000002</v>
      </c>
      <c r="R236" s="750">
        <v>0</v>
      </c>
      <c r="S236" s="45">
        <v>0.68487200000000004</v>
      </c>
      <c r="T236" s="43">
        <v>0</v>
      </c>
      <c r="U236" s="43">
        <v>0</v>
      </c>
      <c r="V236" s="729">
        <v>0.96169300000000002</v>
      </c>
      <c r="W236" s="616">
        <v>0</v>
      </c>
    </row>
    <row r="237" spans="2:23" x14ac:dyDescent="0.3">
      <c r="B237" s="380" t="s">
        <v>1530</v>
      </c>
      <c r="C237" s="179" t="s">
        <v>708</v>
      </c>
      <c r="D237" s="182">
        <v>1.1697470000000001</v>
      </c>
      <c r="E237" s="43">
        <v>0.40610600000000002</v>
      </c>
      <c r="F237" s="43">
        <v>0</v>
      </c>
      <c r="G237" s="729">
        <v>0.58495699999999995</v>
      </c>
      <c r="H237" s="750">
        <v>3.2830999999999999E-2</v>
      </c>
      <c r="I237" s="43">
        <v>0.53472799999999998</v>
      </c>
      <c r="J237" s="43">
        <v>0</v>
      </c>
      <c r="K237" s="43">
        <v>0</v>
      </c>
      <c r="L237" s="729">
        <v>0.99321999999999999</v>
      </c>
      <c r="M237" s="750">
        <v>2.4636999999999999E-2</v>
      </c>
      <c r="N237" s="45">
        <v>0.80598800000000004</v>
      </c>
      <c r="O237" s="43">
        <v>0</v>
      </c>
      <c r="P237" s="43">
        <v>0</v>
      </c>
      <c r="Q237" s="729">
        <v>0.99395699999999998</v>
      </c>
      <c r="R237" s="750">
        <v>0.35339999999999999</v>
      </c>
      <c r="S237" s="45">
        <v>1.031326</v>
      </c>
      <c r="T237" s="43">
        <v>0</v>
      </c>
      <c r="U237" s="43">
        <v>0</v>
      </c>
      <c r="V237" s="729">
        <v>0.99486699999999995</v>
      </c>
      <c r="W237" s="616">
        <v>0.15010999999999999</v>
      </c>
    </row>
    <row r="238" spans="2:23" x14ac:dyDescent="0.3">
      <c r="B238" s="380" t="s">
        <v>1531</v>
      </c>
      <c r="C238" s="179" t="s">
        <v>709</v>
      </c>
      <c r="D238" s="182">
        <v>0.52854900000000005</v>
      </c>
      <c r="E238" s="43">
        <v>0</v>
      </c>
      <c r="F238" s="43">
        <v>0</v>
      </c>
      <c r="G238" s="729">
        <v>3.0856999999999999E-2</v>
      </c>
      <c r="H238" s="750">
        <v>0</v>
      </c>
      <c r="I238" s="43">
        <v>0.60873200000000005</v>
      </c>
      <c r="J238" s="43">
        <v>0</v>
      </c>
      <c r="K238" s="43">
        <v>0</v>
      </c>
      <c r="L238" s="729">
        <v>0</v>
      </c>
      <c r="M238" s="750">
        <v>0</v>
      </c>
      <c r="N238" s="45">
        <v>0.43601000000000001</v>
      </c>
      <c r="O238" s="43">
        <v>0</v>
      </c>
      <c r="P238" s="43">
        <v>0</v>
      </c>
      <c r="Q238" s="729">
        <v>0.98563199999999995</v>
      </c>
      <c r="R238" s="750">
        <v>0</v>
      </c>
      <c r="S238" s="45">
        <v>0.52156800000000003</v>
      </c>
      <c r="T238" s="43">
        <v>0</v>
      </c>
      <c r="U238" s="43">
        <v>0</v>
      </c>
      <c r="V238" s="729">
        <v>0.98563199999999995</v>
      </c>
      <c r="W238" s="616">
        <v>0</v>
      </c>
    </row>
    <row r="239" spans="2:23" x14ac:dyDescent="0.3">
      <c r="B239" s="380" t="s">
        <v>1532</v>
      </c>
      <c r="C239" s="179" t="s">
        <v>710</v>
      </c>
      <c r="D239" s="182">
        <v>0.42178199999999999</v>
      </c>
      <c r="E239" s="43">
        <v>0</v>
      </c>
      <c r="F239" s="43">
        <v>0</v>
      </c>
      <c r="G239" s="729">
        <v>0.14163400000000001</v>
      </c>
      <c r="H239" s="750">
        <v>0</v>
      </c>
      <c r="I239" s="43">
        <v>0.47708400000000001</v>
      </c>
      <c r="J239" s="43">
        <v>0</v>
      </c>
      <c r="K239" s="43">
        <v>0</v>
      </c>
      <c r="L239" s="729">
        <v>0</v>
      </c>
      <c r="M239" s="750">
        <v>0</v>
      </c>
      <c r="N239" s="45">
        <v>0.42984</v>
      </c>
      <c r="O239" s="43">
        <v>0</v>
      </c>
      <c r="P239" s="43">
        <v>0</v>
      </c>
      <c r="Q239" s="729">
        <v>0.92744599999999999</v>
      </c>
      <c r="R239" s="750">
        <v>0</v>
      </c>
      <c r="S239" s="45">
        <v>0.46972399999999997</v>
      </c>
      <c r="T239" s="43">
        <v>0</v>
      </c>
      <c r="U239" s="43">
        <v>0</v>
      </c>
      <c r="V239" s="729">
        <v>0.92744599999999999</v>
      </c>
      <c r="W239" s="616">
        <v>0</v>
      </c>
    </row>
    <row r="240" spans="2:23" x14ac:dyDescent="0.3">
      <c r="B240" s="380" t="s">
        <v>1533</v>
      </c>
      <c r="C240" s="179" t="s">
        <v>711</v>
      </c>
      <c r="D240" s="182">
        <v>0.32482</v>
      </c>
      <c r="E240" s="43">
        <v>0</v>
      </c>
      <c r="F240" s="43">
        <v>0</v>
      </c>
      <c r="G240" s="729">
        <v>0.33903899999999998</v>
      </c>
      <c r="H240" s="750">
        <v>0</v>
      </c>
      <c r="I240" s="43">
        <v>0.411246</v>
      </c>
      <c r="J240" s="43">
        <v>0</v>
      </c>
      <c r="K240" s="43">
        <v>0</v>
      </c>
      <c r="L240" s="729">
        <v>0</v>
      </c>
      <c r="M240" s="750">
        <v>0</v>
      </c>
      <c r="N240" s="45">
        <v>0.34419300000000003</v>
      </c>
      <c r="O240" s="43">
        <v>0</v>
      </c>
      <c r="P240" s="43">
        <v>0</v>
      </c>
      <c r="Q240" s="729">
        <v>0.98603399999999997</v>
      </c>
      <c r="R240" s="750">
        <v>0</v>
      </c>
      <c r="S240" s="45">
        <v>0.40124399999999999</v>
      </c>
      <c r="T240" s="43">
        <v>0</v>
      </c>
      <c r="U240" s="43">
        <v>0</v>
      </c>
      <c r="V240" s="729">
        <v>0.98603399999999997</v>
      </c>
      <c r="W240" s="616">
        <v>0</v>
      </c>
    </row>
    <row r="241" spans="2:23" x14ac:dyDescent="0.3">
      <c r="B241" s="380" t="s">
        <v>1534</v>
      </c>
      <c r="C241" s="179" t="s">
        <v>712</v>
      </c>
      <c r="D241" s="182">
        <v>0.23586299999999999</v>
      </c>
      <c r="E241" s="43">
        <v>0</v>
      </c>
      <c r="F241" s="43">
        <v>0</v>
      </c>
      <c r="G241" s="729">
        <v>0.36758400000000002</v>
      </c>
      <c r="H241" s="750">
        <v>0</v>
      </c>
      <c r="I241" s="43">
        <v>0.25208199999999997</v>
      </c>
      <c r="J241" s="43">
        <v>0</v>
      </c>
      <c r="K241" s="43">
        <v>0</v>
      </c>
      <c r="L241" s="729">
        <v>0</v>
      </c>
      <c r="M241" s="750">
        <v>0</v>
      </c>
      <c r="N241" s="45">
        <v>0.34839199999999998</v>
      </c>
      <c r="O241" s="43">
        <v>0.626606</v>
      </c>
      <c r="P241" s="43">
        <v>0.5</v>
      </c>
      <c r="Q241" s="729">
        <v>0</v>
      </c>
      <c r="R241" s="750">
        <v>0</v>
      </c>
      <c r="S241" s="45">
        <v>0.34839199999999998</v>
      </c>
      <c r="T241" s="43">
        <v>0.626606</v>
      </c>
      <c r="U241" s="43">
        <v>0.5</v>
      </c>
      <c r="V241" s="729">
        <v>0</v>
      </c>
      <c r="W241" s="616">
        <v>0</v>
      </c>
    </row>
    <row r="242" spans="2:23" x14ac:dyDescent="0.3">
      <c r="B242" s="380" t="s">
        <v>1535</v>
      </c>
      <c r="C242" s="179" t="s">
        <v>713</v>
      </c>
      <c r="D242" s="182">
        <v>0.69039399999999995</v>
      </c>
      <c r="E242" s="43">
        <v>0</v>
      </c>
      <c r="F242" s="43">
        <v>0</v>
      </c>
      <c r="G242" s="729">
        <v>0.19595299999999999</v>
      </c>
      <c r="H242" s="750">
        <v>0</v>
      </c>
      <c r="I242" s="43">
        <v>0.83462400000000003</v>
      </c>
      <c r="J242" s="43">
        <v>0</v>
      </c>
      <c r="K242" s="43">
        <v>0</v>
      </c>
      <c r="L242" s="729">
        <v>0</v>
      </c>
      <c r="M242" s="750">
        <v>0</v>
      </c>
      <c r="N242" s="45">
        <v>0.51449500000000004</v>
      </c>
      <c r="O242" s="43">
        <v>0</v>
      </c>
      <c r="P242" s="43">
        <v>0</v>
      </c>
      <c r="Q242" s="729">
        <v>0.98765599999999998</v>
      </c>
      <c r="R242" s="750">
        <v>0</v>
      </c>
      <c r="S242" s="45">
        <v>0.59835499999999997</v>
      </c>
      <c r="T242" s="43">
        <v>0</v>
      </c>
      <c r="U242" s="43">
        <v>0</v>
      </c>
      <c r="V242" s="729">
        <v>0.98765599999999998</v>
      </c>
      <c r="W242" s="616">
        <v>0</v>
      </c>
    </row>
    <row r="243" spans="2:23" x14ac:dyDescent="0.3">
      <c r="B243" s="380" t="s">
        <v>1536</v>
      </c>
      <c r="C243" s="179" t="s">
        <v>714</v>
      </c>
      <c r="D243" s="182">
        <v>0.64454100000000003</v>
      </c>
      <c r="E243" s="43">
        <v>1.5347329999999999</v>
      </c>
      <c r="F243" s="43">
        <v>0</v>
      </c>
      <c r="G243" s="729">
        <v>0.47265499999999999</v>
      </c>
      <c r="H243" s="750">
        <v>0</v>
      </c>
      <c r="I243" s="43">
        <v>0.89183500000000004</v>
      </c>
      <c r="J243" s="43">
        <v>0</v>
      </c>
      <c r="K243" s="43">
        <v>0</v>
      </c>
      <c r="L243" s="729">
        <v>0</v>
      </c>
      <c r="M243" s="750">
        <v>0</v>
      </c>
      <c r="N243" s="45">
        <v>0.42041099999999998</v>
      </c>
      <c r="O243" s="43">
        <v>0</v>
      </c>
      <c r="P243" s="43">
        <v>0</v>
      </c>
      <c r="Q243" s="729">
        <v>0.99011700000000002</v>
      </c>
      <c r="R243" s="750">
        <v>4.1536999999999998E-2</v>
      </c>
      <c r="S243" s="45">
        <v>0.50018600000000002</v>
      </c>
      <c r="T243" s="43">
        <v>0</v>
      </c>
      <c r="U243" s="43">
        <v>0</v>
      </c>
      <c r="V243" s="729">
        <v>0.99119400000000002</v>
      </c>
      <c r="W243" s="616">
        <v>1.1665E-2</v>
      </c>
    </row>
    <row r="244" spans="2:23" x14ac:dyDescent="0.3">
      <c r="B244" s="380" t="s">
        <v>1537</v>
      </c>
      <c r="C244" s="179" t="s">
        <v>715</v>
      </c>
      <c r="D244" s="182">
        <v>1.289237</v>
      </c>
      <c r="E244" s="43">
        <v>0.70657000000000003</v>
      </c>
      <c r="F244" s="43">
        <v>0</v>
      </c>
      <c r="G244" s="729">
        <v>0.123747</v>
      </c>
      <c r="H244" s="750">
        <v>0.129496</v>
      </c>
      <c r="I244" s="43">
        <v>1.7534829999999999</v>
      </c>
      <c r="J244" s="43">
        <v>0</v>
      </c>
      <c r="K244" s="43">
        <v>0</v>
      </c>
      <c r="L244" s="729">
        <v>0</v>
      </c>
      <c r="M244" s="750">
        <v>0</v>
      </c>
      <c r="N244" s="45">
        <v>0.78887099999999999</v>
      </c>
      <c r="O244" s="43">
        <v>0.44133299999999998</v>
      </c>
      <c r="P244" s="43">
        <v>0.49</v>
      </c>
      <c r="Q244" s="729">
        <v>0.58290799999999998</v>
      </c>
      <c r="R244" s="750">
        <v>0.55445100000000003</v>
      </c>
      <c r="S244" s="45">
        <v>1.2357849999999999</v>
      </c>
      <c r="T244" s="43">
        <v>0.42643999999999999</v>
      </c>
      <c r="U244" s="43">
        <v>0.52790599999999999</v>
      </c>
      <c r="V244" s="729">
        <v>0</v>
      </c>
      <c r="W244" s="616">
        <v>0</v>
      </c>
    </row>
    <row r="245" spans="2:23" x14ac:dyDescent="0.3">
      <c r="B245" s="380" t="s">
        <v>1538</v>
      </c>
      <c r="C245" s="179" t="s">
        <v>716</v>
      </c>
      <c r="D245" s="182">
        <v>0.72065800000000002</v>
      </c>
      <c r="E245" s="43">
        <v>0</v>
      </c>
      <c r="F245" s="43">
        <v>0</v>
      </c>
      <c r="G245" s="729">
        <v>0.17919299999999999</v>
      </c>
      <c r="H245" s="750">
        <v>0.39682499999999998</v>
      </c>
      <c r="I245" s="43">
        <v>1.3082879999999999</v>
      </c>
      <c r="J245" s="43">
        <v>0</v>
      </c>
      <c r="K245" s="43">
        <v>0</v>
      </c>
      <c r="L245" s="729">
        <v>0</v>
      </c>
      <c r="M245" s="750">
        <v>0</v>
      </c>
      <c r="N245" s="45">
        <v>0.79906299999999997</v>
      </c>
      <c r="O245" s="43">
        <v>0.45016699999999998</v>
      </c>
      <c r="P245" s="43">
        <v>0.49</v>
      </c>
      <c r="Q245" s="729">
        <v>0.65335799999999999</v>
      </c>
      <c r="R245" s="750">
        <v>0.69921100000000003</v>
      </c>
      <c r="S245" s="45">
        <v>0.88526700000000003</v>
      </c>
      <c r="T245" s="43">
        <v>0.45016699999999998</v>
      </c>
      <c r="U245" s="43">
        <v>0.49</v>
      </c>
      <c r="V245" s="729">
        <v>0.68909399999999998</v>
      </c>
      <c r="W245" s="616">
        <v>0.15146699999999999</v>
      </c>
    </row>
    <row r="246" spans="2:23" x14ac:dyDescent="0.3">
      <c r="B246" s="380" t="s">
        <v>1539</v>
      </c>
      <c r="C246" s="179" t="s">
        <v>717</v>
      </c>
      <c r="D246" s="182">
        <v>0.22523199999999999</v>
      </c>
      <c r="E246" s="43">
        <v>0</v>
      </c>
      <c r="F246" s="43">
        <v>0</v>
      </c>
      <c r="G246" s="729">
        <v>4.8390000000000004E-3</v>
      </c>
      <c r="H246" s="750">
        <v>0</v>
      </c>
      <c r="I246" s="43">
        <v>0.23933099999999999</v>
      </c>
      <c r="J246" s="43">
        <v>0</v>
      </c>
      <c r="K246" s="43">
        <v>0</v>
      </c>
      <c r="L246" s="729">
        <v>0</v>
      </c>
      <c r="M246" s="750">
        <v>0</v>
      </c>
      <c r="N246" s="45">
        <v>0.104613</v>
      </c>
      <c r="O246" s="43">
        <v>0</v>
      </c>
      <c r="P246" s="43">
        <v>0</v>
      </c>
      <c r="Q246" s="729">
        <v>1</v>
      </c>
      <c r="R246" s="750">
        <v>0</v>
      </c>
      <c r="S246" s="45">
        <v>0.12166299999999999</v>
      </c>
      <c r="T246" s="43">
        <v>0</v>
      </c>
      <c r="U246" s="43">
        <v>0</v>
      </c>
      <c r="V246" s="729">
        <v>1</v>
      </c>
      <c r="W246" s="616">
        <v>0</v>
      </c>
    </row>
    <row r="247" spans="2:23" x14ac:dyDescent="0.3">
      <c r="B247" s="380" t="s">
        <v>1540</v>
      </c>
      <c r="C247" s="179" t="s">
        <v>718</v>
      </c>
      <c r="D247" s="182">
        <v>0.191667</v>
      </c>
      <c r="E247" s="43">
        <v>0</v>
      </c>
      <c r="F247" s="43">
        <v>0</v>
      </c>
      <c r="G247" s="729">
        <v>0.29431800000000002</v>
      </c>
      <c r="H247" s="750">
        <v>0</v>
      </c>
      <c r="I247" s="43">
        <v>0.20530100000000001</v>
      </c>
      <c r="J247" s="43">
        <v>0</v>
      </c>
      <c r="K247" s="43">
        <v>0</v>
      </c>
      <c r="L247" s="729">
        <v>0</v>
      </c>
      <c r="M247" s="750">
        <v>0</v>
      </c>
      <c r="N247" s="45">
        <v>0.26417200000000002</v>
      </c>
      <c r="O247" s="43">
        <v>0.43611899999999998</v>
      </c>
      <c r="P247" s="43">
        <v>0.49</v>
      </c>
      <c r="Q247" s="729">
        <v>0</v>
      </c>
      <c r="R247" s="750">
        <v>0</v>
      </c>
      <c r="S247" s="45">
        <v>0.26417200000000002</v>
      </c>
      <c r="T247" s="43">
        <v>0.43611899999999998</v>
      </c>
      <c r="U247" s="43">
        <v>0.49</v>
      </c>
      <c r="V247" s="729">
        <v>0</v>
      </c>
      <c r="W247" s="616">
        <v>0</v>
      </c>
    </row>
    <row r="248" spans="2:23" x14ac:dyDescent="0.3">
      <c r="B248" s="380" t="s">
        <v>1541</v>
      </c>
      <c r="C248" s="179" t="s">
        <v>719</v>
      </c>
      <c r="D248" s="182">
        <v>0.79340699999999997</v>
      </c>
      <c r="E248" s="43">
        <v>0</v>
      </c>
      <c r="F248" s="43">
        <v>0</v>
      </c>
      <c r="G248" s="729">
        <v>0.20156299999999999</v>
      </c>
      <c r="H248" s="750">
        <v>5.8824000000000001E-2</v>
      </c>
      <c r="I248" s="43">
        <v>1.070913</v>
      </c>
      <c r="J248" s="43">
        <v>0</v>
      </c>
      <c r="K248" s="43">
        <v>0</v>
      </c>
      <c r="L248" s="729">
        <v>0</v>
      </c>
      <c r="M248" s="750">
        <v>0</v>
      </c>
      <c r="N248" s="45">
        <v>0.68919600000000003</v>
      </c>
      <c r="O248" s="43">
        <v>0.41835099999999997</v>
      </c>
      <c r="P248" s="43">
        <v>0.55000000000000004</v>
      </c>
      <c r="Q248" s="729">
        <v>0.56260600000000005</v>
      </c>
      <c r="R248" s="750">
        <v>0</v>
      </c>
      <c r="S248" s="45">
        <v>0.76813100000000001</v>
      </c>
      <c r="T248" s="43">
        <v>0.38867200000000002</v>
      </c>
      <c r="U248" s="43">
        <v>0.54</v>
      </c>
      <c r="V248" s="729">
        <v>0.534053</v>
      </c>
      <c r="W248" s="616">
        <v>0</v>
      </c>
    </row>
    <row r="249" spans="2:23" x14ac:dyDescent="0.3">
      <c r="B249" s="380" t="s">
        <v>1542</v>
      </c>
      <c r="C249" s="179" t="s">
        <v>720</v>
      </c>
      <c r="D249" s="182">
        <v>0.196964</v>
      </c>
      <c r="E249" s="43">
        <v>0</v>
      </c>
      <c r="F249" s="43">
        <v>0</v>
      </c>
      <c r="G249" s="729">
        <v>0.28438099999999999</v>
      </c>
      <c r="H249" s="750">
        <v>0</v>
      </c>
      <c r="I249" s="43">
        <v>0.200992</v>
      </c>
      <c r="J249" s="43">
        <v>0</v>
      </c>
      <c r="K249" s="43">
        <v>0</v>
      </c>
      <c r="L249" s="729">
        <v>0</v>
      </c>
      <c r="M249" s="750">
        <v>0</v>
      </c>
      <c r="N249" s="45">
        <v>0.63766599999999996</v>
      </c>
      <c r="O249" s="43">
        <v>0.56007600000000002</v>
      </c>
      <c r="P249" s="43">
        <v>0.49733899999999998</v>
      </c>
      <c r="Q249" s="729">
        <v>0</v>
      </c>
      <c r="R249" s="750">
        <v>0</v>
      </c>
      <c r="S249" s="45">
        <v>0.63766599999999996</v>
      </c>
      <c r="T249" s="43">
        <v>0.56007600000000002</v>
      </c>
      <c r="U249" s="43">
        <v>0.49733899999999998</v>
      </c>
      <c r="V249" s="729">
        <v>0</v>
      </c>
      <c r="W249" s="616">
        <v>0</v>
      </c>
    </row>
    <row r="250" spans="2:23" x14ac:dyDescent="0.3">
      <c r="B250" s="380" t="s">
        <v>1543</v>
      </c>
      <c r="C250" s="179" t="s">
        <v>721</v>
      </c>
      <c r="D250" s="182">
        <v>0.53836099999999998</v>
      </c>
      <c r="E250" s="43">
        <v>0</v>
      </c>
      <c r="F250" s="43">
        <v>0</v>
      </c>
      <c r="G250" s="729">
        <v>0.68859199999999998</v>
      </c>
      <c r="H250" s="750">
        <v>0</v>
      </c>
      <c r="I250" s="43">
        <v>0.97594800000000004</v>
      </c>
      <c r="J250" s="43">
        <v>0</v>
      </c>
      <c r="K250" s="43">
        <v>0</v>
      </c>
      <c r="L250" s="729">
        <v>0</v>
      </c>
      <c r="M250" s="750">
        <v>0</v>
      </c>
      <c r="N250" s="45">
        <v>0.37790600000000002</v>
      </c>
      <c r="O250" s="43">
        <v>0</v>
      </c>
      <c r="P250" s="43">
        <v>0</v>
      </c>
      <c r="Q250" s="729">
        <v>0.99933499999999997</v>
      </c>
      <c r="R250" s="750">
        <v>0</v>
      </c>
      <c r="S250" s="45">
        <v>0.456009</v>
      </c>
      <c r="T250" s="43">
        <v>0</v>
      </c>
      <c r="U250" s="43">
        <v>0</v>
      </c>
      <c r="V250" s="729">
        <v>0.99933499999999997</v>
      </c>
      <c r="W250" s="616">
        <v>0</v>
      </c>
    </row>
    <row r="251" spans="2:23" x14ac:dyDescent="0.3">
      <c r="B251" s="380" t="s">
        <v>1544</v>
      </c>
      <c r="C251" s="179" t="s">
        <v>722</v>
      </c>
      <c r="D251" s="182">
        <v>0.517571</v>
      </c>
      <c r="E251" s="43">
        <v>0.41474100000000003</v>
      </c>
      <c r="F251" s="43">
        <v>0</v>
      </c>
      <c r="G251" s="729">
        <v>0.10148699999999999</v>
      </c>
      <c r="H251" s="750">
        <v>0.14285700000000001</v>
      </c>
      <c r="I251" s="43">
        <v>0.93263799999999997</v>
      </c>
      <c r="J251" s="43">
        <v>0</v>
      </c>
      <c r="K251" s="43">
        <v>0</v>
      </c>
      <c r="L251" s="729">
        <v>0</v>
      </c>
      <c r="M251" s="750">
        <v>0</v>
      </c>
      <c r="N251" s="45">
        <v>0.44898300000000002</v>
      </c>
      <c r="O251" s="43">
        <v>0</v>
      </c>
      <c r="P251" s="43">
        <v>0</v>
      </c>
      <c r="Q251" s="729">
        <v>0.983514</v>
      </c>
      <c r="R251" s="750">
        <v>0.72153199999999995</v>
      </c>
      <c r="S251" s="45">
        <v>0.54659400000000002</v>
      </c>
      <c r="T251" s="43">
        <v>0</v>
      </c>
      <c r="U251" s="43">
        <v>0</v>
      </c>
      <c r="V251" s="729">
        <v>0.98607100000000003</v>
      </c>
      <c r="W251" s="616">
        <v>0.15495500000000001</v>
      </c>
    </row>
    <row r="252" spans="2:23" x14ac:dyDescent="0.3">
      <c r="B252" s="380" t="s">
        <v>1545</v>
      </c>
      <c r="C252" s="179" t="s">
        <v>723</v>
      </c>
      <c r="D252" s="182">
        <v>0.71270500000000003</v>
      </c>
      <c r="E252" s="43">
        <v>0</v>
      </c>
      <c r="F252" s="43">
        <v>0</v>
      </c>
      <c r="G252" s="729">
        <v>3.594E-3</v>
      </c>
      <c r="H252" s="750">
        <v>0</v>
      </c>
      <c r="I252" s="43">
        <v>0.75749200000000005</v>
      </c>
      <c r="J252" s="43">
        <v>0</v>
      </c>
      <c r="K252" s="43">
        <v>0</v>
      </c>
      <c r="L252" s="729">
        <v>0</v>
      </c>
      <c r="M252" s="750">
        <v>0</v>
      </c>
      <c r="N252" s="45">
        <v>0.25889699999999999</v>
      </c>
      <c r="O252" s="43">
        <v>0</v>
      </c>
      <c r="P252" s="43">
        <v>0</v>
      </c>
      <c r="Q252" s="729">
        <v>0.99880199999999997</v>
      </c>
      <c r="R252" s="750">
        <v>0</v>
      </c>
      <c r="S252" s="45">
        <v>0.30788100000000002</v>
      </c>
      <c r="T252" s="43">
        <v>0</v>
      </c>
      <c r="U252" s="43">
        <v>0</v>
      </c>
      <c r="V252" s="729">
        <v>0.99880199999999997</v>
      </c>
      <c r="W252" s="616">
        <v>0</v>
      </c>
    </row>
    <row r="253" spans="2:23" x14ac:dyDescent="0.3">
      <c r="B253" s="380" t="s">
        <v>1546</v>
      </c>
      <c r="C253" s="179" t="s">
        <v>724</v>
      </c>
      <c r="D253" s="182">
        <v>5.6700000000000001E-4</v>
      </c>
      <c r="E253" s="43">
        <v>0</v>
      </c>
      <c r="F253" s="43">
        <v>0</v>
      </c>
      <c r="G253" s="729">
        <v>0</v>
      </c>
      <c r="H253" s="750">
        <v>0</v>
      </c>
      <c r="I253" s="43">
        <v>5.6700000000000001E-4</v>
      </c>
      <c r="J253" s="43">
        <v>0</v>
      </c>
      <c r="K253" s="43">
        <v>0</v>
      </c>
      <c r="L253" s="729">
        <v>0</v>
      </c>
      <c r="M253" s="750">
        <v>0</v>
      </c>
      <c r="N253" s="45">
        <v>6.6889999999999996E-3</v>
      </c>
      <c r="O253" s="43">
        <v>0</v>
      </c>
      <c r="P253" s="43">
        <v>0</v>
      </c>
      <c r="Q253" s="729">
        <v>0</v>
      </c>
      <c r="R253" s="750">
        <v>0</v>
      </c>
      <c r="S253" s="45">
        <v>6.6889999999999996E-3</v>
      </c>
      <c r="T253" s="43">
        <v>0</v>
      </c>
      <c r="U253" s="43">
        <v>0</v>
      </c>
      <c r="V253" s="729">
        <v>0</v>
      </c>
      <c r="W253" s="616">
        <v>0</v>
      </c>
    </row>
    <row r="254" spans="2:23" x14ac:dyDescent="0.3">
      <c r="B254" s="380" t="s">
        <v>1547</v>
      </c>
      <c r="C254" s="179" t="s">
        <v>725</v>
      </c>
      <c r="D254" s="182">
        <v>0.33652700000000002</v>
      </c>
      <c r="E254" s="43">
        <v>0</v>
      </c>
      <c r="F254" s="43">
        <v>0</v>
      </c>
      <c r="G254" s="729">
        <v>0.72909900000000005</v>
      </c>
      <c r="H254" s="750">
        <v>0</v>
      </c>
      <c r="I254" s="43">
        <v>0.58495900000000001</v>
      </c>
      <c r="J254" s="43">
        <v>0</v>
      </c>
      <c r="K254" s="43">
        <v>0</v>
      </c>
      <c r="L254" s="729">
        <v>0</v>
      </c>
      <c r="M254" s="750">
        <v>0</v>
      </c>
      <c r="N254" s="45">
        <v>0.217944</v>
      </c>
      <c r="O254" s="43">
        <v>0</v>
      </c>
      <c r="P254" s="43">
        <v>0</v>
      </c>
      <c r="Q254" s="729">
        <v>0.99816400000000005</v>
      </c>
      <c r="R254" s="750">
        <v>0</v>
      </c>
      <c r="S254" s="45">
        <v>0.247671</v>
      </c>
      <c r="T254" s="43">
        <v>0</v>
      </c>
      <c r="U254" s="43">
        <v>0</v>
      </c>
      <c r="V254" s="729">
        <v>0.99816400000000005</v>
      </c>
      <c r="W254" s="616">
        <v>0</v>
      </c>
    </row>
    <row r="255" spans="2:23" x14ac:dyDescent="0.3">
      <c r="B255" s="380" t="s">
        <v>1548</v>
      </c>
      <c r="C255" s="179" t="s">
        <v>726</v>
      </c>
      <c r="D255" s="182">
        <v>1.140422</v>
      </c>
      <c r="E255" s="43">
        <v>0.77251999999999998</v>
      </c>
      <c r="F255" s="43">
        <v>0</v>
      </c>
      <c r="G255" s="729">
        <v>0.68465100000000001</v>
      </c>
      <c r="H255" s="750">
        <v>0.73305100000000001</v>
      </c>
      <c r="I255" s="43">
        <v>0.39206400000000002</v>
      </c>
      <c r="J255" s="43">
        <v>0</v>
      </c>
      <c r="K255" s="43">
        <v>0</v>
      </c>
      <c r="L255" s="729">
        <v>0.99772000000000005</v>
      </c>
      <c r="M255" s="750">
        <v>0.24515200000000001</v>
      </c>
      <c r="N255" s="45">
        <v>0.50574600000000003</v>
      </c>
      <c r="O255" s="43">
        <v>0</v>
      </c>
      <c r="P255" s="43">
        <v>0</v>
      </c>
      <c r="Q255" s="729">
        <v>0.99027699999999996</v>
      </c>
      <c r="R255" s="750">
        <v>0.801817</v>
      </c>
      <c r="S255" s="45">
        <v>0.63518399999999997</v>
      </c>
      <c r="T255" s="43">
        <v>0</v>
      </c>
      <c r="U255" s="43">
        <v>0</v>
      </c>
      <c r="V255" s="729">
        <v>0.99290699999999998</v>
      </c>
      <c r="W255" s="616">
        <v>0.40566799999999997</v>
      </c>
    </row>
    <row r="256" spans="2:23" x14ac:dyDescent="0.3">
      <c r="B256" s="380" t="s">
        <v>1549</v>
      </c>
      <c r="C256" s="179" t="s">
        <v>727</v>
      </c>
      <c r="D256" s="182">
        <v>1.1968540000000001</v>
      </c>
      <c r="E256" s="43">
        <v>0.465617</v>
      </c>
      <c r="F256" s="43">
        <v>3.4043999999999998E-2</v>
      </c>
      <c r="G256" s="729">
        <v>0.53083899999999995</v>
      </c>
      <c r="H256" s="750">
        <v>0.61021000000000003</v>
      </c>
      <c r="I256" s="43">
        <v>0.366367</v>
      </c>
      <c r="J256" s="43">
        <v>0</v>
      </c>
      <c r="K256" s="43">
        <v>0</v>
      </c>
      <c r="L256" s="729">
        <v>0.99128899999999998</v>
      </c>
      <c r="M256" s="750">
        <v>0.28464299999999998</v>
      </c>
      <c r="N256" s="45">
        <v>0.40287099999999998</v>
      </c>
      <c r="O256" s="43">
        <v>0</v>
      </c>
      <c r="P256" s="43">
        <v>0</v>
      </c>
      <c r="Q256" s="729">
        <v>0.99414800000000003</v>
      </c>
      <c r="R256" s="750">
        <v>0.86954100000000001</v>
      </c>
      <c r="S256" s="45">
        <v>0.49978699999999998</v>
      </c>
      <c r="T256" s="43">
        <v>0</v>
      </c>
      <c r="U256" s="43">
        <v>0</v>
      </c>
      <c r="V256" s="729">
        <v>0.99778599999999995</v>
      </c>
      <c r="W256" s="616">
        <v>0.50876600000000005</v>
      </c>
    </row>
    <row r="257" spans="2:23" x14ac:dyDescent="0.3">
      <c r="B257" s="380" t="s">
        <v>1550</v>
      </c>
      <c r="C257" s="179" t="s">
        <v>728</v>
      </c>
      <c r="D257" s="182">
        <v>0.44273299999999999</v>
      </c>
      <c r="E257" s="43">
        <v>0</v>
      </c>
      <c r="F257" s="43">
        <v>0</v>
      </c>
      <c r="G257" s="729">
        <v>0.59400299999999995</v>
      </c>
      <c r="H257" s="750">
        <v>0</v>
      </c>
      <c r="I257" s="43">
        <v>0.64280800000000005</v>
      </c>
      <c r="J257" s="43">
        <v>0</v>
      </c>
      <c r="K257" s="43">
        <v>0</v>
      </c>
      <c r="L257" s="729">
        <v>0</v>
      </c>
      <c r="M257" s="750">
        <v>0</v>
      </c>
      <c r="N257" s="45">
        <v>0.46749299999999999</v>
      </c>
      <c r="O257" s="43">
        <v>0</v>
      </c>
      <c r="P257" s="43">
        <v>0</v>
      </c>
      <c r="Q257" s="729">
        <v>0.97021299999999999</v>
      </c>
      <c r="R257" s="750">
        <v>0</v>
      </c>
      <c r="S257" s="45">
        <v>0.52897799999999995</v>
      </c>
      <c r="T257" s="43">
        <v>0</v>
      </c>
      <c r="U257" s="43">
        <v>0</v>
      </c>
      <c r="V257" s="729">
        <v>0.97021299999999999</v>
      </c>
      <c r="W257" s="616">
        <v>0</v>
      </c>
    </row>
    <row r="258" spans="2:23" x14ac:dyDescent="0.3">
      <c r="B258" s="380" t="s">
        <v>1551</v>
      </c>
      <c r="C258" s="179" t="s">
        <v>729</v>
      </c>
      <c r="D258" s="182">
        <v>0.89236300000000002</v>
      </c>
      <c r="E258" s="43">
        <v>0.34360099999999999</v>
      </c>
      <c r="F258" s="43">
        <v>0</v>
      </c>
      <c r="G258" s="729">
        <v>0.14003499999999999</v>
      </c>
      <c r="H258" s="750">
        <v>0</v>
      </c>
      <c r="I258" s="43">
        <v>0.99096399999999996</v>
      </c>
      <c r="J258" s="43">
        <v>0</v>
      </c>
      <c r="K258" s="43">
        <v>0</v>
      </c>
      <c r="L258" s="729">
        <v>0</v>
      </c>
      <c r="M258" s="750">
        <v>0</v>
      </c>
      <c r="N258" s="45">
        <v>0.57145199999999996</v>
      </c>
      <c r="O258" s="43">
        <v>0</v>
      </c>
      <c r="P258" s="43">
        <v>0</v>
      </c>
      <c r="Q258" s="729">
        <v>0.99319100000000005</v>
      </c>
      <c r="R258" s="750">
        <v>0</v>
      </c>
      <c r="S258" s="45">
        <v>0.66921699999999995</v>
      </c>
      <c r="T258" s="43">
        <v>0</v>
      </c>
      <c r="U258" s="43">
        <v>0</v>
      </c>
      <c r="V258" s="729">
        <v>0.99319100000000005</v>
      </c>
      <c r="W258" s="616">
        <v>0</v>
      </c>
    </row>
    <row r="259" spans="2:23" x14ac:dyDescent="0.3">
      <c r="B259" s="380" t="s">
        <v>1552</v>
      </c>
      <c r="C259" s="179" t="s">
        <v>730</v>
      </c>
      <c r="D259" s="182">
        <v>0.761432</v>
      </c>
      <c r="E259" s="43">
        <v>0</v>
      </c>
      <c r="F259" s="43">
        <v>0</v>
      </c>
      <c r="G259" s="729">
        <v>0.53343200000000002</v>
      </c>
      <c r="H259" s="750">
        <v>0</v>
      </c>
      <c r="I259" s="43">
        <v>1.1242989999999999</v>
      </c>
      <c r="J259" s="43">
        <v>0</v>
      </c>
      <c r="K259" s="43">
        <v>0</v>
      </c>
      <c r="L259" s="729">
        <v>0</v>
      </c>
      <c r="M259" s="750">
        <v>0</v>
      </c>
      <c r="N259" s="45">
        <v>0.58848299999999998</v>
      </c>
      <c r="O259" s="43">
        <v>0</v>
      </c>
      <c r="P259" s="43">
        <v>0</v>
      </c>
      <c r="Q259" s="729">
        <v>0.98184800000000005</v>
      </c>
      <c r="R259" s="750">
        <v>4.4107E-2</v>
      </c>
      <c r="S259" s="45">
        <v>0.69135199999999997</v>
      </c>
      <c r="T259" s="43">
        <v>0</v>
      </c>
      <c r="U259" s="43">
        <v>0</v>
      </c>
      <c r="V259" s="729">
        <v>0.98182700000000001</v>
      </c>
      <c r="W259" s="616">
        <v>6.8950000000000001E-3</v>
      </c>
    </row>
    <row r="260" spans="2:23" x14ac:dyDescent="0.3">
      <c r="B260" s="380" t="s">
        <v>1553</v>
      </c>
      <c r="C260" s="179" t="s">
        <v>731</v>
      </c>
      <c r="D260" s="182">
        <v>0.151919</v>
      </c>
      <c r="E260" s="43">
        <v>0</v>
      </c>
      <c r="F260" s="43">
        <v>0</v>
      </c>
      <c r="G260" s="729">
        <v>3.8810999999999998E-2</v>
      </c>
      <c r="H260" s="750">
        <v>0</v>
      </c>
      <c r="I260" s="43">
        <v>0.14204</v>
      </c>
      <c r="J260" s="43">
        <v>0</v>
      </c>
      <c r="K260" s="43">
        <v>0</v>
      </c>
      <c r="L260" s="729">
        <v>0</v>
      </c>
      <c r="M260" s="750">
        <v>0</v>
      </c>
      <c r="N260" s="45">
        <v>0.13015599999999999</v>
      </c>
      <c r="O260" s="43">
        <v>0.38729000000000002</v>
      </c>
      <c r="P260" s="43">
        <v>0.56999999999999995</v>
      </c>
      <c r="Q260" s="729">
        <v>0</v>
      </c>
      <c r="R260" s="750">
        <v>0</v>
      </c>
      <c r="S260" s="45">
        <v>0.13015599999999999</v>
      </c>
      <c r="T260" s="43">
        <v>0.38729000000000002</v>
      </c>
      <c r="U260" s="43">
        <v>0.56999999999999995</v>
      </c>
      <c r="V260" s="729">
        <v>0</v>
      </c>
      <c r="W260" s="616">
        <v>0</v>
      </c>
    </row>
    <row r="261" spans="2:23" x14ac:dyDescent="0.3">
      <c r="B261" s="380" t="s">
        <v>1554</v>
      </c>
      <c r="C261" s="179" t="s">
        <v>732</v>
      </c>
      <c r="D261" s="182">
        <v>1.013374</v>
      </c>
      <c r="E261" s="43">
        <v>0.328596</v>
      </c>
      <c r="F261" s="43">
        <v>0</v>
      </c>
      <c r="G261" s="729">
        <v>6.7581000000000002E-2</v>
      </c>
      <c r="H261" s="750">
        <v>0</v>
      </c>
      <c r="I261" s="43">
        <v>0.52863400000000005</v>
      </c>
      <c r="J261" s="43">
        <v>0</v>
      </c>
      <c r="K261" s="43">
        <v>0</v>
      </c>
      <c r="L261" s="729">
        <v>0.92436499999999999</v>
      </c>
      <c r="M261" s="750">
        <v>0.87000200000000005</v>
      </c>
      <c r="N261" s="45">
        <v>0.57641200000000004</v>
      </c>
      <c r="O261" s="43">
        <v>0.42392000000000002</v>
      </c>
      <c r="P261" s="43">
        <v>0.54</v>
      </c>
      <c r="Q261" s="729">
        <v>0.35124300000000003</v>
      </c>
      <c r="R261" s="750">
        <v>0.995695</v>
      </c>
      <c r="S261" s="45">
        <v>0.694662</v>
      </c>
      <c r="T261" s="43">
        <v>0.42392000000000002</v>
      </c>
      <c r="U261" s="43">
        <v>0.54</v>
      </c>
      <c r="V261" s="729">
        <v>0.61265700000000001</v>
      </c>
      <c r="W261" s="616">
        <v>0.93154099999999995</v>
      </c>
    </row>
    <row r="262" spans="2:23" x14ac:dyDescent="0.3">
      <c r="B262" s="380" t="s">
        <v>1555</v>
      </c>
      <c r="C262" s="179" t="s">
        <v>733</v>
      </c>
      <c r="D262" s="182">
        <v>0.64706399999999997</v>
      </c>
      <c r="E262" s="43">
        <v>0.52498900000000004</v>
      </c>
      <c r="F262" s="43">
        <v>8.5392999999999997E-2</v>
      </c>
      <c r="G262" s="729">
        <v>0.34660299999999999</v>
      </c>
      <c r="H262" s="750">
        <v>0</v>
      </c>
      <c r="I262" s="43">
        <v>0.90478099999999995</v>
      </c>
      <c r="J262" s="43">
        <v>0</v>
      </c>
      <c r="K262" s="43">
        <v>0</v>
      </c>
      <c r="L262" s="729">
        <v>0</v>
      </c>
      <c r="M262" s="750">
        <v>0</v>
      </c>
      <c r="N262" s="45">
        <v>0.332644</v>
      </c>
      <c r="O262" s="43">
        <v>0</v>
      </c>
      <c r="P262" s="43">
        <v>0</v>
      </c>
      <c r="Q262" s="729">
        <v>0.99091300000000004</v>
      </c>
      <c r="R262" s="750">
        <v>8.7437000000000001E-2</v>
      </c>
      <c r="S262" s="45">
        <v>0.36898900000000001</v>
      </c>
      <c r="T262" s="43">
        <v>0</v>
      </c>
      <c r="U262" s="43">
        <v>0</v>
      </c>
      <c r="V262" s="729">
        <v>0.99112</v>
      </c>
      <c r="W262" s="616">
        <v>2.1503999999999999E-2</v>
      </c>
    </row>
    <row r="263" spans="2:23" x14ac:dyDescent="0.3">
      <c r="B263" s="380" t="s">
        <v>1556</v>
      </c>
      <c r="C263" s="179" t="s">
        <v>734</v>
      </c>
      <c r="D263" s="182">
        <v>1.322489</v>
      </c>
      <c r="E263" s="43">
        <v>0.45021699999999998</v>
      </c>
      <c r="F263" s="43">
        <v>0</v>
      </c>
      <c r="G263" s="729">
        <v>0.46758</v>
      </c>
      <c r="H263" s="750">
        <v>0.161637</v>
      </c>
      <c r="I263" s="43">
        <v>0.37846600000000002</v>
      </c>
      <c r="J263" s="43">
        <v>0</v>
      </c>
      <c r="K263" s="43">
        <v>0</v>
      </c>
      <c r="L263" s="729">
        <v>0.99618700000000004</v>
      </c>
      <c r="M263" s="750">
        <v>0.15374599999999999</v>
      </c>
      <c r="N263" s="45">
        <v>0.53336700000000004</v>
      </c>
      <c r="O263" s="43">
        <v>0</v>
      </c>
      <c r="P263" s="43">
        <v>0</v>
      </c>
      <c r="Q263" s="729">
        <v>0.98021199999999997</v>
      </c>
      <c r="R263" s="750">
        <v>0.77710199999999996</v>
      </c>
      <c r="S263" s="45">
        <v>0.59962300000000002</v>
      </c>
      <c r="T263" s="43">
        <v>0</v>
      </c>
      <c r="U263" s="43">
        <v>0</v>
      </c>
      <c r="V263" s="729">
        <v>0.98604099999999995</v>
      </c>
      <c r="W263" s="616">
        <v>0.33919500000000002</v>
      </c>
    </row>
    <row r="264" spans="2:23" x14ac:dyDescent="0.3">
      <c r="B264" s="380" t="s">
        <v>1557</v>
      </c>
      <c r="C264" s="179" t="s">
        <v>735</v>
      </c>
      <c r="D264" s="182">
        <v>1.2801260000000001</v>
      </c>
      <c r="E264" s="43">
        <v>0.52534499999999995</v>
      </c>
      <c r="F264" s="43">
        <v>0.13</v>
      </c>
      <c r="G264" s="729">
        <v>0.26090999999999998</v>
      </c>
      <c r="H264" s="750">
        <v>0.36546200000000001</v>
      </c>
      <c r="I264" s="43">
        <v>0.52309099999999997</v>
      </c>
      <c r="J264" s="43">
        <v>0</v>
      </c>
      <c r="K264" s="43">
        <v>0</v>
      </c>
      <c r="L264" s="729">
        <v>0.99744200000000005</v>
      </c>
      <c r="M264" s="750">
        <v>0.16475400000000001</v>
      </c>
      <c r="N264" s="45">
        <v>0.68274699999999999</v>
      </c>
      <c r="O264" s="43">
        <v>0</v>
      </c>
      <c r="P264" s="43">
        <v>0</v>
      </c>
      <c r="Q264" s="729">
        <v>0.99634</v>
      </c>
      <c r="R264" s="750">
        <v>0.67532400000000004</v>
      </c>
      <c r="S264" s="45">
        <v>0.91898800000000003</v>
      </c>
      <c r="T264" s="43">
        <v>0</v>
      </c>
      <c r="U264" s="43">
        <v>0</v>
      </c>
      <c r="V264" s="729">
        <v>0.99722900000000003</v>
      </c>
      <c r="W264" s="616">
        <v>0.417217</v>
      </c>
    </row>
    <row r="265" spans="2:23" x14ac:dyDescent="0.3">
      <c r="B265" s="380" t="s">
        <v>1558</v>
      </c>
      <c r="C265" s="179" t="s">
        <v>736</v>
      </c>
      <c r="D265" s="182">
        <v>1.571178</v>
      </c>
      <c r="E265" s="43">
        <v>0.59791099999999997</v>
      </c>
      <c r="F265" s="43">
        <v>2.6800000000000001E-3</v>
      </c>
      <c r="G265" s="729">
        <v>0.68561899999999998</v>
      </c>
      <c r="H265" s="750">
        <v>1</v>
      </c>
      <c r="I265" s="43">
        <v>0.351914</v>
      </c>
      <c r="J265" s="43">
        <v>0</v>
      </c>
      <c r="K265" s="43">
        <v>0</v>
      </c>
      <c r="L265" s="729">
        <v>0.99993699999999996</v>
      </c>
      <c r="M265" s="750">
        <v>0.993919</v>
      </c>
      <c r="N265" s="45">
        <v>0.21196699999999999</v>
      </c>
      <c r="O265" s="43">
        <v>0</v>
      </c>
      <c r="P265" s="43">
        <v>0</v>
      </c>
      <c r="Q265" s="729">
        <v>0.99799700000000002</v>
      </c>
      <c r="R265" s="750">
        <v>0.99980999999999998</v>
      </c>
      <c r="S265" s="45">
        <v>0.38673999999999997</v>
      </c>
      <c r="T265" s="43">
        <v>0</v>
      </c>
      <c r="U265" s="43">
        <v>0</v>
      </c>
      <c r="V265" s="729">
        <v>0.99993699999999996</v>
      </c>
      <c r="W265" s="616">
        <v>0.99795999999999996</v>
      </c>
    </row>
    <row r="266" spans="2:23" x14ac:dyDescent="0.3">
      <c r="B266" s="380" t="s">
        <v>1559</v>
      </c>
      <c r="C266" s="179" t="s">
        <v>737</v>
      </c>
      <c r="D266" s="182">
        <v>1.3556999999999999</v>
      </c>
      <c r="E266" s="43">
        <v>0.464918</v>
      </c>
      <c r="F266" s="43">
        <v>9.5659999999999999E-3</v>
      </c>
      <c r="G266" s="729">
        <v>0.56661300000000003</v>
      </c>
      <c r="H266" s="750">
        <v>0.99995500000000004</v>
      </c>
      <c r="I266" s="43">
        <v>0.36923600000000001</v>
      </c>
      <c r="J266" s="43">
        <v>0</v>
      </c>
      <c r="K266" s="43">
        <v>0</v>
      </c>
      <c r="L266" s="729">
        <v>1</v>
      </c>
      <c r="M266" s="750">
        <v>0.99840399999999996</v>
      </c>
      <c r="N266" s="45">
        <v>0.27912399999999998</v>
      </c>
      <c r="O266" s="43">
        <v>0</v>
      </c>
      <c r="P266" s="43">
        <v>0</v>
      </c>
      <c r="Q266" s="729">
        <v>0.999973</v>
      </c>
      <c r="R266" s="750">
        <v>0.99988699999999997</v>
      </c>
      <c r="S266" s="45">
        <v>0.47289999999999999</v>
      </c>
      <c r="T266" s="43">
        <v>0</v>
      </c>
      <c r="U266" s="43">
        <v>0</v>
      </c>
      <c r="V266" s="729">
        <v>1</v>
      </c>
      <c r="W266" s="616">
        <v>0.99950000000000006</v>
      </c>
    </row>
    <row r="267" spans="2:23" x14ac:dyDescent="0.3">
      <c r="B267" s="380" t="s">
        <v>1560</v>
      </c>
      <c r="C267" s="179" t="s">
        <v>738</v>
      </c>
      <c r="D267" s="182">
        <v>1.8091379999999999</v>
      </c>
      <c r="E267" s="43">
        <v>0.40143499999999999</v>
      </c>
      <c r="F267" s="43">
        <v>5.9350000000000002E-3</v>
      </c>
      <c r="G267" s="729">
        <v>0.666327</v>
      </c>
      <c r="H267" s="750">
        <v>1</v>
      </c>
      <c r="I267" s="43">
        <v>0.51930699999999996</v>
      </c>
      <c r="J267" s="43">
        <v>0</v>
      </c>
      <c r="K267" s="43">
        <v>0</v>
      </c>
      <c r="L267" s="729">
        <v>0.99905200000000005</v>
      </c>
      <c r="M267" s="750">
        <v>1</v>
      </c>
      <c r="N267" s="45">
        <v>0.39294000000000001</v>
      </c>
      <c r="O267" s="43">
        <v>0</v>
      </c>
      <c r="P267" s="43">
        <v>0</v>
      </c>
      <c r="Q267" s="729">
        <v>0.99914599999999998</v>
      </c>
      <c r="R267" s="750">
        <v>1</v>
      </c>
      <c r="S267" s="45">
        <v>0.68498599999999998</v>
      </c>
      <c r="T267" s="43">
        <v>0</v>
      </c>
      <c r="U267" s="43">
        <v>0</v>
      </c>
      <c r="V267" s="729">
        <v>0.99905200000000005</v>
      </c>
      <c r="W267" s="616">
        <v>1</v>
      </c>
    </row>
    <row r="268" spans="2:23" x14ac:dyDescent="0.3">
      <c r="B268" s="380" t="s">
        <v>1561</v>
      </c>
      <c r="C268" s="179" t="s">
        <v>739</v>
      </c>
      <c r="D268" s="182">
        <v>0.63231599999999999</v>
      </c>
      <c r="E268" s="43">
        <v>0.59380200000000005</v>
      </c>
      <c r="F268" s="43">
        <v>1.6764000000000001E-2</v>
      </c>
      <c r="G268" s="729">
        <v>0.84827600000000003</v>
      </c>
      <c r="H268" s="750">
        <v>1</v>
      </c>
      <c r="I268" s="43">
        <v>0.29891800000000002</v>
      </c>
      <c r="J268" s="43">
        <v>0</v>
      </c>
      <c r="K268" s="43">
        <v>0</v>
      </c>
      <c r="L268" s="729">
        <v>1</v>
      </c>
      <c r="M268" s="750">
        <v>1</v>
      </c>
      <c r="N268" s="45">
        <v>0.21215700000000001</v>
      </c>
      <c r="O268" s="43">
        <v>0</v>
      </c>
      <c r="P268" s="43">
        <v>0</v>
      </c>
      <c r="Q268" s="729">
        <v>0.99977700000000003</v>
      </c>
      <c r="R268" s="750">
        <v>1</v>
      </c>
      <c r="S268" s="45">
        <v>0.37198100000000001</v>
      </c>
      <c r="T268" s="43">
        <v>0</v>
      </c>
      <c r="U268" s="43">
        <v>0</v>
      </c>
      <c r="V268" s="729">
        <v>1</v>
      </c>
      <c r="W268" s="616">
        <v>1</v>
      </c>
    </row>
    <row r="269" spans="2:23" x14ac:dyDescent="0.3">
      <c r="B269" s="380" t="s">
        <v>1562</v>
      </c>
      <c r="C269" s="179" t="s">
        <v>740</v>
      </c>
      <c r="D269" s="182">
        <v>0.191972</v>
      </c>
      <c r="E269" s="43">
        <v>0.96738299999999999</v>
      </c>
      <c r="F269" s="43">
        <v>0</v>
      </c>
      <c r="G269" s="729">
        <v>0.81140299999999999</v>
      </c>
      <c r="H269" s="750">
        <v>1</v>
      </c>
      <c r="I269" s="43">
        <v>9.8391000000000006E-2</v>
      </c>
      <c r="J269" s="43">
        <v>0</v>
      </c>
      <c r="K269" s="43">
        <v>0</v>
      </c>
      <c r="L269" s="729">
        <v>1</v>
      </c>
      <c r="M269" s="750">
        <v>1</v>
      </c>
      <c r="N269" s="45">
        <v>6.9364999999999996E-2</v>
      </c>
      <c r="O269" s="43">
        <v>0</v>
      </c>
      <c r="P269" s="43">
        <v>0</v>
      </c>
      <c r="Q269" s="729">
        <v>1</v>
      </c>
      <c r="R269" s="750">
        <v>1</v>
      </c>
      <c r="S269" s="45">
        <v>0.119716</v>
      </c>
      <c r="T269" s="43">
        <v>0</v>
      </c>
      <c r="U269" s="43">
        <v>0</v>
      </c>
      <c r="V269" s="729">
        <v>1</v>
      </c>
      <c r="W269" s="616">
        <v>1</v>
      </c>
    </row>
    <row r="270" spans="2:23" x14ac:dyDescent="0.3">
      <c r="B270" s="380" t="s">
        <v>1563</v>
      </c>
      <c r="C270" s="179" t="s">
        <v>741</v>
      </c>
      <c r="D270" s="182">
        <v>1.348959</v>
      </c>
      <c r="E270" s="43">
        <v>0.42841099999999999</v>
      </c>
      <c r="F270" s="43">
        <v>1.0848999999999999E-2</v>
      </c>
      <c r="G270" s="729">
        <v>0.75559600000000005</v>
      </c>
      <c r="H270" s="750">
        <v>1</v>
      </c>
      <c r="I270" s="43">
        <v>0.42337000000000002</v>
      </c>
      <c r="J270" s="43">
        <v>0</v>
      </c>
      <c r="K270" s="43">
        <v>0</v>
      </c>
      <c r="L270" s="729">
        <v>0.99928799999999995</v>
      </c>
      <c r="M270" s="750">
        <v>1</v>
      </c>
      <c r="N270" s="45">
        <v>0.28703899999999999</v>
      </c>
      <c r="O270" s="43">
        <v>0</v>
      </c>
      <c r="P270" s="43">
        <v>0</v>
      </c>
      <c r="Q270" s="729">
        <v>0.99996200000000002</v>
      </c>
      <c r="R270" s="750">
        <v>1</v>
      </c>
      <c r="S270" s="45">
        <v>0.50935699999999995</v>
      </c>
      <c r="T270" s="43">
        <v>0</v>
      </c>
      <c r="U270" s="43">
        <v>0</v>
      </c>
      <c r="V270" s="729">
        <v>0.99928799999999995</v>
      </c>
      <c r="W270" s="616">
        <v>1</v>
      </c>
    </row>
    <row r="271" spans="2:23" x14ac:dyDescent="0.3">
      <c r="B271" s="380" t="s">
        <v>1564</v>
      </c>
      <c r="C271" s="179" t="s">
        <v>742</v>
      </c>
      <c r="D271" s="182">
        <v>0.82132700000000003</v>
      </c>
      <c r="E271" s="43">
        <v>1.0195689999999999</v>
      </c>
      <c r="F271" s="43">
        <v>4.5869999999999999E-3</v>
      </c>
      <c r="G271" s="729">
        <v>9.2257000000000006E-2</v>
      </c>
      <c r="H271" s="750">
        <v>1</v>
      </c>
      <c r="I271" s="43">
        <v>0.23924300000000001</v>
      </c>
      <c r="J271" s="43">
        <v>0</v>
      </c>
      <c r="K271" s="43">
        <v>0</v>
      </c>
      <c r="L271" s="729">
        <v>0.99905999999999995</v>
      </c>
      <c r="M271" s="750">
        <v>0.99270599999999998</v>
      </c>
      <c r="N271" s="45">
        <v>0.14548800000000001</v>
      </c>
      <c r="O271" s="43">
        <v>0</v>
      </c>
      <c r="P271" s="43">
        <v>0</v>
      </c>
      <c r="Q271" s="729">
        <v>0.99666699999999997</v>
      </c>
      <c r="R271" s="750">
        <v>0.99992499999999995</v>
      </c>
      <c r="S271" s="45">
        <v>0.27065800000000001</v>
      </c>
      <c r="T271" s="43">
        <v>0</v>
      </c>
      <c r="U271" s="43">
        <v>0</v>
      </c>
      <c r="V271" s="729">
        <v>0.99905999999999995</v>
      </c>
      <c r="W271" s="616">
        <v>0.99906799999999996</v>
      </c>
    </row>
    <row r="272" spans="2:23" x14ac:dyDescent="0.3">
      <c r="B272" s="380" t="s">
        <v>1565</v>
      </c>
      <c r="C272" s="179" t="s">
        <v>743</v>
      </c>
      <c r="D272" s="182">
        <v>0.81654499999999997</v>
      </c>
      <c r="E272" s="43">
        <v>0.60414000000000001</v>
      </c>
      <c r="F272" s="43">
        <v>0</v>
      </c>
      <c r="G272" s="729">
        <v>0.74161600000000005</v>
      </c>
      <c r="H272" s="750">
        <v>1</v>
      </c>
      <c r="I272" s="43">
        <v>0.27893299999999999</v>
      </c>
      <c r="J272" s="43">
        <v>0</v>
      </c>
      <c r="K272" s="43">
        <v>0</v>
      </c>
      <c r="L272" s="729">
        <v>1</v>
      </c>
      <c r="M272" s="750">
        <v>1</v>
      </c>
      <c r="N272" s="45">
        <v>0.175484</v>
      </c>
      <c r="O272" s="43">
        <v>0</v>
      </c>
      <c r="P272" s="43">
        <v>0</v>
      </c>
      <c r="Q272" s="729">
        <v>0.99989700000000004</v>
      </c>
      <c r="R272" s="750">
        <v>1</v>
      </c>
      <c r="S272" s="45">
        <v>0.32544899999999999</v>
      </c>
      <c r="T272" s="43">
        <v>0</v>
      </c>
      <c r="U272" s="43">
        <v>0</v>
      </c>
      <c r="V272" s="729">
        <v>1</v>
      </c>
      <c r="W272" s="616">
        <v>1</v>
      </c>
    </row>
    <row r="273" spans="2:23" x14ac:dyDescent="0.3">
      <c r="B273" s="380" t="s">
        <v>1566</v>
      </c>
      <c r="C273" s="179" t="s">
        <v>744</v>
      </c>
      <c r="D273" s="182">
        <v>0.92911100000000002</v>
      </c>
      <c r="E273" s="43">
        <v>0.65307700000000002</v>
      </c>
      <c r="F273" s="43">
        <v>7.2100000000000003E-3</v>
      </c>
      <c r="G273" s="729">
        <v>0.635297</v>
      </c>
      <c r="H273" s="750">
        <v>1</v>
      </c>
      <c r="I273" s="43">
        <v>0.27753699999999998</v>
      </c>
      <c r="J273" s="43">
        <v>0</v>
      </c>
      <c r="K273" s="43">
        <v>0</v>
      </c>
      <c r="L273" s="729">
        <v>1</v>
      </c>
      <c r="M273" s="750">
        <v>1</v>
      </c>
      <c r="N273" s="45">
        <v>0.17042199999999999</v>
      </c>
      <c r="O273" s="43">
        <v>0</v>
      </c>
      <c r="P273" s="43">
        <v>0</v>
      </c>
      <c r="Q273" s="729">
        <v>0.99977800000000006</v>
      </c>
      <c r="R273" s="750">
        <v>1</v>
      </c>
      <c r="S273" s="45">
        <v>0.313444</v>
      </c>
      <c r="T273" s="43">
        <v>0</v>
      </c>
      <c r="U273" s="43">
        <v>0</v>
      </c>
      <c r="V273" s="729">
        <v>1</v>
      </c>
      <c r="W273" s="616">
        <v>1</v>
      </c>
    </row>
    <row r="274" spans="2:23" x14ac:dyDescent="0.3">
      <c r="B274" s="380" t="s">
        <v>1567</v>
      </c>
      <c r="C274" s="179" t="s">
        <v>745</v>
      </c>
      <c r="D274" s="182">
        <v>0.45128699999999999</v>
      </c>
      <c r="E274" s="43">
        <v>0.54883099999999996</v>
      </c>
      <c r="F274" s="43">
        <v>1.4253E-2</v>
      </c>
      <c r="G274" s="729">
        <v>0.44836900000000002</v>
      </c>
      <c r="H274" s="750">
        <v>1</v>
      </c>
      <c r="I274" s="43">
        <v>0.122582</v>
      </c>
      <c r="J274" s="43">
        <v>0</v>
      </c>
      <c r="K274" s="43">
        <v>0</v>
      </c>
      <c r="L274" s="729">
        <v>1</v>
      </c>
      <c r="M274" s="750">
        <v>1</v>
      </c>
      <c r="N274" s="45">
        <v>9.2846999999999999E-2</v>
      </c>
      <c r="O274" s="43">
        <v>0</v>
      </c>
      <c r="P274" s="43">
        <v>0</v>
      </c>
      <c r="Q274" s="729">
        <v>0.99919500000000006</v>
      </c>
      <c r="R274" s="750">
        <v>1</v>
      </c>
      <c r="S274" s="45">
        <v>0.15446399999999999</v>
      </c>
      <c r="T274" s="43">
        <v>0</v>
      </c>
      <c r="U274" s="43">
        <v>0</v>
      </c>
      <c r="V274" s="729">
        <v>1</v>
      </c>
      <c r="W274" s="616">
        <v>1</v>
      </c>
    </row>
    <row r="275" spans="2:23" x14ac:dyDescent="0.3">
      <c r="B275" s="380" t="s">
        <v>1568</v>
      </c>
      <c r="C275" s="179" t="s">
        <v>746</v>
      </c>
      <c r="D275" s="182">
        <v>1.989778</v>
      </c>
      <c r="E275" s="43">
        <v>0.50936700000000001</v>
      </c>
      <c r="F275" s="43">
        <v>9.3449999999999991E-3</v>
      </c>
      <c r="G275" s="729">
        <v>0.445801</v>
      </c>
      <c r="H275" s="750">
        <v>1</v>
      </c>
      <c r="I275" s="43">
        <v>0.43115900000000001</v>
      </c>
      <c r="J275" s="43">
        <v>0</v>
      </c>
      <c r="K275" s="43">
        <v>0</v>
      </c>
      <c r="L275" s="729">
        <v>1</v>
      </c>
      <c r="M275" s="750">
        <v>1</v>
      </c>
      <c r="N275" s="45">
        <v>0.31851499999999999</v>
      </c>
      <c r="O275" s="43">
        <v>0</v>
      </c>
      <c r="P275" s="43">
        <v>0</v>
      </c>
      <c r="Q275" s="729">
        <v>0.99970800000000004</v>
      </c>
      <c r="R275" s="750">
        <v>1</v>
      </c>
      <c r="S275" s="45">
        <v>0.552091</v>
      </c>
      <c r="T275" s="43">
        <v>0</v>
      </c>
      <c r="U275" s="43">
        <v>0</v>
      </c>
      <c r="V275" s="729">
        <v>1</v>
      </c>
      <c r="W275" s="616">
        <v>1</v>
      </c>
    </row>
    <row r="276" spans="2:23" x14ac:dyDescent="0.3">
      <c r="B276" s="380" t="s">
        <v>1569</v>
      </c>
      <c r="C276" s="179" t="s">
        <v>747</v>
      </c>
      <c r="D276" s="182">
        <v>1.1616759999999999</v>
      </c>
      <c r="E276" s="43">
        <v>0.85992199999999996</v>
      </c>
      <c r="F276" s="43">
        <v>2.4854000000000001E-2</v>
      </c>
      <c r="G276" s="729">
        <v>0.36752299999999999</v>
      </c>
      <c r="H276" s="750">
        <v>1</v>
      </c>
      <c r="I276" s="43">
        <v>0.33297300000000002</v>
      </c>
      <c r="J276" s="43">
        <v>0</v>
      </c>
      <c r="K276" s="43">
        <v>0</v>
      </c>
      <c r="L276" s="729">
        <v>1</v>
      </c>
      <c r="M276" s="750">
        <v>1</v>
      </c>
      <c r="N276" s="45">
        <v>0.225857</v>
      </c>
      <c r="O276" s="43">
        <v>0</v>
      </c>
      <c r="P276" s="43">
        <v>0</v>
      </c>
      <c r="Q276" s="729">
        <v>0.99925399999999998</v>
      </c>
      <c r="R276" s="750">
        <v>1</v>
      </c>
      <c r="S276" s="45">
        <v>0.40065000000000001</v>
      </c>
      <c r="T276" s="43">
        <v>0</v>
      </c>
      <c r="U276" s="43">
        <v>0</v>
      </c>
      <c r="V276" s="729">
        <v>1</v>
      </c>
      <c r="W276" s="616">
        <v>1</v>
      </c>
    </row>
    <row r="277" spans="2:23" x14ac:dyDescent="0.3">
      <c r="B277" s="380" t="s">
        <v>1570</v>
      </c>
      <c r="C277" s="179" t="s">
        <v>748</v>
      </c>
      <c r="D277" s="182">
        <v>1.7659849999999999</v>
      </c>
      <c r="E277" s="43">
        <v>0.41020600000000002</v>
      </c>
      <c r="F277" s="43">
        <v>4.9379999999999997E-3</v>
      </c>
      <c r="G277" s="729">
        <v>0.72653199999999996</v>
      </c>
      <c r="H277" s="750">
        <v>1</v>
      </c>
      <c r="I277" s="43">
        <v>0.47594700000000001</v>
      </c>
      <c r="J277" s="43">
        <v>0</v>
      </c>
      <c r="K277" s="43">
        <v>0</v>
      </c>
      <c r="L277" s="729">
        <v>1</v>
      </c>
      <c r="M277" s="750">
        <v>1</v>
      </c>
      <c r="N277" s="45">
        <v>0.34455200000000002</v>
      </c>
      <c r="O277" s="43">
        <v>0</v>
      </c>
      <c r="P277" s="43">
        <v>0</v>
      </c>
      <c r="Q277" s="729">
        <v>0.99998100000000001</v>
      </c>
      <c r="R277" s="750">
        <v>1</v>
      </c>
      <c r="S277" s="45">
        <v>0.59773600000000005</v>
      </c>
      <c r="T277" s="43">
        <v>0</v>
      </c>
      <c r="U277" s="43">
        <v>0</v>
      </c>
      <c r="V277" s="729">
        <v>1</v>
      </c>
      <c r="W277" s="616">
        <v>1</v>
      </c>
    </row>
    <row r="278" spans="2:23" x14ac:dyDescent="0.3">
      <c r="B278" s="380" t="s">
        <v>1571</v>
      </c>
      <c r="C278" s="179" t="s">
        <v>749</v>
      </c>
      <c r="D278" s="182">
        <v>0.780748</v>
      </c>
      <c r="E278" s="43">
        <v>0.97647399999999995</v>
      </c>
      <c r="F278" s="43">
        <v>7.4359999999999999E-3</v>
      </c>
      <c r="G278" s="729">
        <v>0.826874</v>
      </c>
      <c r="H278" s="750">
        <v>1</v>
      </c>
      <c r="I278" s="43">
        <v>0.348632</v>
      </c>
      <c r="J278" s="43">
        <v>0</v>
      </c>
      <c r="K278" s="43">
        <v>0</v>
      </c>
      <c r="L278" s="729">
        <v>1</v>
      </c>
      <c r="M278" s="750">
        <v>1</v>
      </c>
      <c r="N278" s="45">
        <v>0.22820799999999999</v>
      </c>
      <c r="O278" s="43">
        <v>0</v>
      </c>
      <c r="P278" s="43">
        <v>0</v>
      </c>
      <c r="Q278" s="729">
        <v>0.99990599999999996</v>
      </c>
      <c r="R278" s="750">
        <v>1</v>
      </c>
      <c r="S278" s="45">
        <v>0.41644100000000001</v>
      </c>
      <c r="T278" s="43">
        <v>0</v>
      </c>
      <c r="U278" s="43">
        <v>0</v>
      </c>
      <c r="V278" s="729">
        <v>1</v>
      </c>
      <c r="W278" s="616">
        <v>1</v>
      </c>
    </row>
    <row r="279" spans="2:23" x14ac:dyDescent="0.3">
      <c r="B279" s="380" t="s">
        <v>1572</v>
      </c>
      <c r="C279" s="179" t="s">
        <v>750</v>
      </c>
      <c r="D279" s="182">
        <v>0.58884999999999998</v>
      </c>
      <c r="E279" s="43">
        <v>0.77281</v>
      </c>
      <c r="F279" s="43">
        <v>0</v>
      </c>
      <c r="G279" s="729">
        <v>0.91183099999999995</v>
      </c>
      <c r="H279" s="750">
        <v>1</v>
      </c>
      <c r="I279" s="43">
        <v>0.19985800000000001</v>
      </c>
      <c r="J279" s="43">
        <v>0</v>
      </c>
      <c r="K279" s="43">
        <v>0</v>
      </c>
      <c r="L279" s="729">
        <v>1</v>
      </c>
      <c r="M279" s="750">
        <v>1</v>
      </c>
      <c r="N279" s="45">
        <v>0.147286</v>
      </c>
      <c r="O279" s="43">
        <v>0</v>
      </c>
      <c r="P279" s="43">
        <v>0</v>
      </c>
      <c r="Q279" s="729">
        <v>0.999996</v>
      </c>
      <c r="R279" s="750">
        <v>1</v>
      </c>
      <c r="S279" s="45">
        <v>0.228875</v>
      </c>
      <c r="T279" s="43">
        <v>0</v>
      </c>
      <c r="U279" s="43">
        <v>0</v>
      </c>
      <c r="V279" s="729">
        <v>1</v>
      </c>
      <c r="W279" s="616">
        <v>1</v>
      </c>
    </row>
    <row r="280" spans="2:23" x14ac:dyDescent="0.3">
      <c r="B280" s="380" t="s">
        <v>1573</v>
      </c>
      <c r="C280" s="179" t="s">
        <v>751</v>
      </c>
      <c r="D280" s="182">
        <v>0.68550199999999994</v>
      </c>
      <c r="E280" s="43">
        <v>0.440695</v>
      </c>
      <c r="F280" s="43">
        <v>0</v>
      </c>
      <c r="G280" s="729">
        <v>0.74060300000000001</v>
      </c>
      <c r="H280" s="750">
        <v>1</v>
      </c>
      <c r="I280" s="43">
        <v>0.23508399999999999</v>
      </c>
      <c r="J280" s="43">
        <v>0</v>
      </c>
      <c r="K280" s="43">
        <v>0</v>
      </c>
      <c r="L280" s="729">
        <v>0.99989099999999997</v>
      </c>
      <c r="M280" s="750">
        <v>1</v>
      </c>
      <c r="N280" s="45">
        <v>0.135855</v>
      </c>
      <c r="O280" s="43">
        <v>0</v>
      </c>
      <c r="P280" s="43">
        <v>0</v>
      </c>
      <c r="Q280" s="729">
        <v>0.999888</v>
      </c>
      <c r="R280" s="750">
        <v>1</v>
      </c>
      <c r="S280" s="45">
        <v>0.25739099999999998</v>
      </c>
      <c r="T280" s="43">
        <v>0</v>
      </c>
      <c r="U280" s="43">
        <v>0</v>
      </c>
      <c r="V280" s="729">
        <v>0.99989099999999997</v>
      </c>
      <c r="W280" s="616">
        <v>1</v>
      </c>
    </row>
    <row r="281" spans="2:23" x14ac:dyDescent="0.3">
      <c r="B281" s="380" t="s">
        <v>1574</v>
      </c>
      <c r="C281" s="179" t="s">
        <v>752</v>
      </c>
      <c r="D281" s="182">
        <v>0.91933500000000001</v>
      </c>
      <c r="E281" s="43">
        <v>0.72258900000000004</v>
      </c>
      <c r="F281" s="43">
        <v>0</v>
      </c>
      <c r="G281" s="729">
        <v>0.49106899999999998</v>
      </c>
      <c r="H281" s="750">
        <v>0.97192199999999995</v>
      </c>
      <c r="I281" s="43">
        <v>0.33797700000000003</v>
      </c>
      <c r="J281" s="43">
        <v>0</v>
      </c>
      <c r="K281" s="43">
        <v>0</v>
      </c>
      <c r="L281" s="729">
        <v>0.99872899999999998</v>
      </c>
      <c r="M281" s="750">
        <v>0.62588299999999997</v>
      </c>
      <c r="N281" s="45">
        <v>0.27977800000000003</v>
      </c>
      <c r="O281" s="43">
        <v>0</v>
      </c>
      <c r="P281" s="43">
        <v>0</v>
      </c>
      <c r="Q281" s="729">
        <v>0.98795500000000003</v>
      </c>
      <c r="R281" s="750">
        <v>0.98763800000000002</v>
      </c>
      <c r="S281" s="45">
        <v>0.43012699999999998</v>
      </c>
      <c r="T281" s="43">
        <v>0</v>
      </c>
      <c r="U281" s="43">
        <v>0</v>
      </c>
      <c r="V281" s="729">
        <v>0.997614</v>
      </c>
      <c r="W281" s="616">
        <v>0.87870999999999999</v>
      </c>
    </row>
    <row r="282" spans="2:23" x14ac:dyDescent="0.3">
      <c r="B282" s="380" t="s">
        <v>1575</v>
      </c>
      <c r="C282" s="179" t="s">
        <v>753</v>
      </c>
      <c r="D282" s="182">
        <v>1.26702</v>
      </c>
      <c r="E282" s="43">
        <v>0.52890099999999995</v>
      </c>
      <c r="F282" s="43">
        <v>2.5170000000000001E-3</v>
      </c>
      <c r="G282" s="729">
        <v>0.60333099999999995</v>
      </c>
      <c r="H282" s="750">
        <v>0.99393399999999998</v>
      </c>
      <c r="I282" s="43">
        <v>0.32264599999999999</v>
      </c>
      <c r="J282" s="43">
        <v>0</v>
      </c>
      <c r="K282" s="43">
        <v>0</v>
      </c>
      <c r="L282" s="729">
        <v>0.99834000000000001</v>
      </c>
      <c r="M282" s="750">
        <v>0.95368799999999998</v>
      </c>
      <c r="N282" s="45">
        <v>0.20811399999999999</v>
      </c>
      <c r="O282" s="43">
        <v>0</v>
      </c>
      <c r="P282" s="43">
        <v>0</v>
      </c>
      <c r="Q282" s="729">
        <v>0.99793299999999996</v>
      </c>
      <c r="R282" s="750">
        <v>0.99836499999999995</v>
      </c>
      <c r="S282" s="45">
        <v>0.35963400000000001</v>
      </c>
      <c r="T282" s="43">
        <v>0</v>
      </c>
      <c r="U282" s="43">
        <v>0</v>
      </c>
      <c r="V282" s="729">
        <v>0.99958800000000003</v>
      </c>
      <c r="W282" s="616">
        <v>0.98529</v>
      </c>
    </row>
    <row r="283" spans="2:23" x14ac:dyDescent="0.3">
      <c r="B283" s="380" t="s">
        <v>1576</v>
      </c>
      <c r="C283" s="179" t="s">
        <v>754</v>
      </c>
      <c r="D283" s="182">
        <v>0.73779700000000004</v>
      </c>
      <c r="E283" s="43">
        <v>0.69453600000000004</v>
      </c>
      <c r="F283" s="43">
        <v>1.1941999999999999E-2</v>
      </c>
      <c r="G283" s="729">
        <v>0.42017199999999999</v>
      </c>
      <c r="H283" s="750">
        <v>1</v>
      </c>
      <c r="I283" s="43">
        <v>0.21160899999999999</v>
      </c>
      <c r="J283" s="43">
        <v>0</v>
      </c>
      <c r="K283" s="43">
        <v>0</v>
      </c>
      <c r="L283" s="729">
        <v>0.99967099999999998</v>
      </c>
      <c r="M283" s="750">
        <v>0.99648000000000003</v>
      </c>
      <c r="N283" s="45">
        <v>0.14566399999999999</v>
      </c>
      <c r="O283" s="43">
        <v>0</v>
      </c>
      <c r="P283" s="43">
        <v>0</v>
      </c>
      <c r="Q283" s="729">
        <v>0.998645</v>
      </c>
      <c r="R283" s="750">
        <v>0.99989499999999998</v>
      </c>
      <c r="S283" s="45">
        <v>0.25260700000000003</v>
      </c>
      <c r="T283" s="43">
        <v>0</v>
      </c>
      <c r="U283" s="43">
        <v>0</v>
      </c>
      <c r="V283" s="729">
        <v>0.99918399999999996</v>
      </c>
      <c r="W283" s="616">
        <v>0.999143</v>
      </c>
    </row>
    <row r="284" spans="2:23" x14ac:dyDescent="0.3">
      <c r="B284" s="380" t="s">
        <v>1577</v>
      </c>
      <c r="C284" s="179" t="s">
        <v>755</v>
      </c>
      <c r="D284" s="182">
        <v>1.109677</v>
      </c>
      <c r="E284" s="43">
        <v>0.45383699999999999</v>
      </c>
      <c r="F284" s="43">
        <v>2.4961000000000001E-2</v>
      </c>
      <c r="G284" s="729">
        <v>0.41037099999999999</v>
      </c>
      <c r="H284" s="750">
        <v>0.92013299999999998</v>
      </c>
      <c r="I284" s="43">
        <v>0.464034</v>
      </c>
      <c r="J284" s="43">
        <v>0</v>
      </c>
      <c r="K284" s="43">
        <v>0</v>
      </c>
      <c r="L284" s="729">
        <v>0.99925799999999998</v>
      </c>
      <c r="M284" s="750">
        <v>0.26929799999999998</v>
      </c>
      <c r="N284" s="45">
        <v>0.53758399999999995</v>
      </c>
      <c r="O284" s="43">
        <v>0</v>
      </c>
      <c r="P284" s="43">
        <v>0</v>
      </c>
      <c r="Q284" s="729">
        <v>0.99247399999999997</v>
      </c>
      <c r="R284" s="750">
        <v>0.93989699999999998</v>
      </c>
      <c r="S284" s="45">
        <v>0.75514800000000004</v>
      </c>
      <c r="T284" s="43">
        <v>0</v>
      </c>
      <c r="U284" s="43">
        <v>0</v>
      </c>
      <c r="V284" s="729">
        <v>0.996089</v>
      </c>
      <c r="W284" s="616">
        <v>0.66281999999999996</v>
      </c>
    </row>
    <row r="285" spans="2:23" x14ac:dyDescent="0.3">
      <c r="B285" s="380" t="s">
        <v>1578</v>
      </c>
      <c r="C285" s="179" t="s">
        <v>756</v>
      </c>
      <c r="D285" s="182">
        <v>0.37975199999999998</v>
      </c>
      <c r="E285" s="43">
        <v>0</v>
      </c>
      <c r="F285" s="43">
        <v>0</v>
      </c>
      <c r="G285" s="729">
        <v>0.133434</v>
      </c>
      <c r="H285" s="750">
        <v>0</v>
      </c>
      <c r="I285" s="43">
        <v>0.42789199999999999</v>
      </c>
      <c r="J285" s="43">
        <v>0</v>
      </c>
      <c r="K285" s="43">
        <v>0</v>
      </c>
      <c r="L285" s="729">
        <v>0</v>
      </c>
      <c r="M285" s="750">
        <v>0</v>
      </c>
      <c r="N285" s="45">
        <v>0.291848</v>
      </c>
      <c r="O285" s="43">
        <v>0</v>
      </c>
      <c r="P285" s="43">
        <v>0</v>
      </c>
      <c r="Q285" s="729">
        <v>0.96699400000000002</v>
      </c>
      <c r="R285" s="750">
        <v>0</v>
      </c>
      <c r="S285" s="45">
        <v>0.32275599999999999</v>
      </c>
      <c r="T285" s="43">
        <v>0</v>
      </c>
      <c r="U285" s="43">
        <v>0</v>
      </c>
      <c r="V285" s="729">
        <v>0.96699400000000002</v>
      </c>
      <c r="W285" s="616">
        <v>0</v>
      </c>
    </row>
    <row r="286" spans="2:23" x14ac:dyDescent="0.3">
      <c r="B286" s="380" t="s">
        <v>1579</v>
      </c>
      <c r="C286" s="179" t="s">
        <v>757</v>
      </c>
      <c r="D286" s="182">
        <v>1.812049</v>
      </c>
      <c r="E286" s="43">
        <v>0</v>
      </c>
      <c r="F286" s="43">
        <v>0</v>
      </c>
      <c r="G286" s="729">
        <v>0.118461</v>
      </c>
      <c r="H286" s="750">
        <v>4.3688999999999999E-2</v>
      </c>
      <c r="I286" s="43">
        <v>2.252748</v>
      </c>
      <c r="J286" s="43">
        <v>0</v>
      </c>
      <c r="K286" s="43">
        <v>0</v>
      </c>
      <c r="L286" s="729">
        <v>0</v>
      </c>
      <c r="M286" s="750">
        <v>0</v>
      </c>
      <c r="N286" s="45">
        <v>0.92144300000000001</v>
      </c>
      <c r="O286" s="43">
        <v>0</v>
      </c>
      <c r="P286" s="43">
        <v>0</v>
      </c>
      <c r="Q286" s="729">
        <v>0.99311400000000005</v>
      </c>
      <c r="R286" s="750">
        <v>0.40243699999999999</v>
      </c>
      <c r="S286" s="45">
        <v>1.0889740000000001</v>
      </c>
      <c r="T286" s="43">
        <v>0</v>
      </c>
      <c r="U286" s="43">
        <v>0</v>
      </c>
      <c r="V286" s="729">
        <v>0.99339999999999995</v>
      </c>
      <c r="W286" s="616">
        <v>0.107444</v>
      </c>
    </row>
    <row r="287" spans="2:23" x14ac:dyDescent="0.3">
      <c r="B287" s="380" t="s">
        <v>1580</v>
      </c>
      <c r="C287" s="179" t="s">
        <v>758</v>
      </c>
      <c r="D287" s="182">
        <v>1.5709</v>
      </c>
      <c r="E287" s="43">
        <v>0</v>
      </c>
      <c r="F287" s="43">
        <v>0</v>
      </c>
      <c r="G287" s="729">
        <v>3.5992999999999997E-2</v>
      </c>
      <c r="H287" s="750">
        <v>0</v>
      </c>
      <c r="I287" s="43">
        <v>1.5354270000000001</v>
      </c>
      <c r="J287" s="43">
        <v>0</v>
      </c>
      <c r="K287" s="43">
        <v>0</v>
      </c>
      <c r="L287" s="729">
        <v>0.26615</v>
      </c>
      <c r="M287" s="750">
        <v>0</v>
      </c>
      <c r="N287" s="45">
        <v>0.87665800000000005</v>
      </c>
      <c r="O287" s="43">
        <v>0</v>
      </c>
      <c r="P287" s="43">
        <v>0</v>
      </c>
      <c r="Q287" s="729">
        <v>0.99713200000000002</v>
      </c>
      <c r="R287" s="750">
        <v>0</v>
      </c>
      <c r="S287" s="45">
        <v>1.0695539999999999</v>
      </c>
      <c r="T287" s="43">
        <v>0</v>
      </c>
      <c r="U287" s="43">
        <v>0</v>
      </c>
      <c r="V287" s="729">
        <v>0.99713200000000002</v>
      </c>
      <c r="W287" s="616">
        <v>0</v>
      </c>
    </row>
    <row r="288" spans="2:23" x14ac:dyDescent="0.3">
      <c r="B288" s="380" t="s">
        <v>1581</v>
      </c>
      <c r="C288" s="179" t="s">
        <v>759</v>
      </c>
      <c r="D288" s="182">
        <v>0.93043100000000001</v>
      </c>
      <c r="E288" s="43">
        <v>0</v>
      </c>
      <c r="F288" s="43">
        <v>0</v>
      </c>
      <c r="G288" s="729">
        <v>0.54115899999999995</v>
      </c>
      <c r="H288" s="750">
        <v>0</v>
      </c>
      <c r="I288" s="43">
        <v>0.79958799999999997</v>
      </c>
      <c r="J288" s="43">
        <v>0</v>
      </c>
      <c r="K288" s="43">
        <v>0</v>
      </c>
      <c r="L288" s="729">
        <v>0.64745399999999997</v>
      </c>
      <c r="M288" s="750">
        <v>0</v>
      </c>
      <c r="N288" s="45">
        <v>0.64659500000000003</v>
      </c>
      <c r="O288" s="43">
        <v>0</v>
      </c>
      <c r="P288" s="43">
        <v>0</v>
      </c>
      <c r="Q288" s="729">
        <v>0.99752600000000002</v>
      </c>
      <c r="R288" s="750">
        <v>0</v>
      </c>
      <c r="S288" s="45">
        <v>0.79116200000000003</v>
      </c>
      <c r="T288" s="43">
        <v>0</v>
      </c>
      <c r="U288" s="43">
        <v>0</v>
      </c>
      <c r="V288" s="729">
        <v>0.99752600000000002</v>
      </c>
      <c r="W288" s="616">
        <v>0</v>
      </c>
    </row>
    <row r="289" spans="2:23" x14ac:dyDescent="0.3">
      <c r="B289" s="380" t="s">
        <v>1582</v>
      </c>
      <c r="C289" s="179" t="s">
        <v>760</v>
      </c>
      <c r="D289" s="182">
        <v>1.053102</v>
      </c>
      <c r="E289" s="43">
        <v>0</v>
      </c>
      <c r="F289" s="43">
        <v>0</v>
      </c>
      <c r="G289" s="729">
        <v>1.1231E-2</v>
      </c>
      <c r="H289" s="750">
        <v>0</v>
      </c>
      <c r="I289" s="43">
        <v>1.1459729999999999</v>
      </c>
      <c r="J289" s="43">
        <v>0</v>
      </c>
      <c r="K289" s="43">
        <v>0</v>
      </c>
      <c r="L289" s="729">
        <v>0</v>
      </c>
      <c r="M289" s="750">
        <v>0</v>
      </c>
      <c r="N289" s="45">
        <v>0.53933799999999998</v>
      </c>
      <c r="O289" s="43">
        <v>0</v>
      </c>
      <c r="P289" s="43">
        <v>0</v>
      </c>
      <c r="Q289" s="729">
        <v>0.992232</v>
      </c>
      <c r="R289" s="750">
        <v>0</v>
      </c>
      <c r="S289" s="45">
        <v>0.64480800000000005</v>
      </c>
      <c r="T289" s="43">
        <v>0</v>
      </c>
      <c r="U289" s="43">
        <v>0</v>
      </c>
      <c r="V289" s="729">
        <v>0.992232</v>
      </c>
      <c r="W289" s="616">
        <v>0</v>
      </c>
    </row>
    <row r="290" spans="2:23" x14ac:dyDescent="0.3">
      <c r="B290" s="380" t="s">
        <v>1583</v>
      </c>
      <c r="C290" s="179" t="s">
        <v>761</v>
      </c>
      <c r="D290" s="182">
        <v>1.163427</v>
      </c>
      <c r="E290" s="43">
        <v>0</v>
      </c>
      <c r="F290" s="43">
        <v>0</v>
      </c>
      <c r="G290" s="729">
        <v>0.38784800000000003</v>
      </c>
      <c r="H290" s="750">
        <v>0</v>
      </c>
      <c r="I290" s="43">
        <v>0.46510099999999999</v>
      </c>
      <c r="J290" s="43">
        <v>0</v>
      </c>
      <c r="K290" s="43">
        <v>0</v>
      </c>
      <c r="L290" s="729">
        <v>0.997054</v>
      </c>
      <c r="M290" s="750">
        <v>1.5180000000000001E-2</v>
      </c>
      <c r="N290" s="45">
        <v>0.72026199999999996</v>
      </c>
      <c r="O290" s="43">
        <v>0</v>
      </c>
      <c r="P290" s="43">
        <v>0</v>
      </c>
      <c r="Q290" s="729">
        <v>0.99638599999999999</v>
      </c>
      <c r="R290" s="750">
        <v>0.35742699999999999</v>
      </c>
      <c r="S290" s="45">
        <v>0.90220999999999996</v>
      </c>
      <c r="T290" s="43">
        <v>0</v>
      </c>
      <c r="U290" s="43">
        <v>0</v>
      </c>
      <c r="V290" s="729">
        <v>0.99791099999999999</v>
      </c>
      <c r="W290" s="616">
        <v>0.12912399999999999</v>
      </c>
    </row>
    <row r="291" spans="2:23" x14ac:dyDescent="0.3">
      <c r="B291" s="380" t="s">
        <v>1584</v>
      </c>
      <c r="C291" s="179" t="s">
        <v>762</v>
      </c>
      <c r="D291" s="182">
        <v>1.2992950000000001</v>
      </c>
      <c r="E291" s="43">
        <v>0</v>
      </c>
      <c r="F291" s="43">
        <v>0</v>
      </c>
      <c r="G291" s="729">
        <v>3.2801999999999998E-2</v>
      </c>
      <c r="H291" s="750">
        <v>0</v>
      </c>
      <c r="I291" s="43">
        <v>1.4425319999999999</v>
      </c>
      <c r="J291" s="43">
        <v>0</v>
      </c>
      <c r="K291" s="43">
        <v>0</v>
      </c>
      <c r="L291" s="729">
        <v>0</v>
      </c>
      <c r="M291" s="750">
        <v>0</v>
      </c>
      <c r="N291" s="45">
        <v>0.70261099999999999</v>
      </c>
      <c r="O291" s="43">
        <v>0</v>
      </c>
      <c r="P291" s="43">
        <v>0</v>
      </c>
      <c r="Q291" s="729">
        <v>0.99896600000000002</v>
      </c>
      <c r="R291" s="750">
        <v>0</v>
      </c>
      <c r="S291" s="45">
        <v>0.86683299999999996</v>
      </c>
      <c r="T291" s="43">
        <v>0</v>
      </c>
      <c r="U291" s="43">
        <v>0</v>
      </c>
      <c r="V291" s="729">
        <v>0.99896600000000002</v>
      </c>
      <c r="W291" s="616">
        <v>0</v>
      </c>
    </row>
    <row r="292" spans="2:23" x14ac:dyDescent="0.3">
      <c r="B292" s="380" t="s">
        <v>1585</v>
      </c>
      <c r="C292" s="179" t="s">
        <v>763</v>
      </c>
      <c r="D292" s="182">
        <v>0.89458400000000005</v>
      </c>
      <c r="E292" s="43">
        <v>0</v>
      </c>
      <c r="F292" s="43">
        <v>0</v>
      </c>
      <c r="G292" s="729">
        <v>1.9889E-2</v>
      </c>
      <c r="H292" s="750">
        <v>0</v>
      </c>
      <c r="I292" s="43">
        <v>0.98550499999999996</v>
      </c>
      <c r="J292" s="43">
        <v>0</v>
      </c>
      <c r="K292" s="43">
        <v>0</v>
      </c>
      <c r="L292" s="729">
        <v>0</v>
      </c>
      <c r="M292" s="750">
        <v>0</v>
      </c>
      <c r="N292" s="45">
        <v>0.45058199999999998</v>
      </c>
      <c r="O292" s="43">
        <v>0</v>
      </c>
      <c r="P292" s="43">
        <v>0</v>
      </c>
      <c r="Q292" s="729">
        <v>0.99143800000000004</v>
      </c>
      <c r="R292" s="750">
        <v>0</v>
      </c>
      <c r="S292" s="45">
        <v>0.53565600000000002</v>
      </c>
      <c r="T292" s="43">
        <v>0</v>
      </c>
      <c r="U292" s="43">
        <v>0</v>
      </c>
      <c r="V292" s="729">
        <v>0.99143800000000004</v>
      </c>
      <c r="W292" s="616">
        <v>0</v>
      </c>
    </row>
    <row r="293" spans="2:23" x14ac:dyDescent="0.3">
      <c r="B293" s="380" t="s">
        <v>1586</v>
      </c>
      <c r="C293" s="179" t="s">
        <v>764</v>
      </c>
      <c r="D293" s="182">
        <v>0.86931000000000003</v>
      </c>
      <c r="E293" s="43">
        <v>0</v>
      </c>
      <c r="F293" s="43">
        <v>0</v>
      </c>
      <c r="G293" s="729">
        <v>7.4496999999999994E-2</v>
      </c>
      <c r="H293" s="750">
        <v>0</v>
      </c>
      <c r="I293" s="43">
        <v>0.94604200000000005</v>
      </c>
      <c r="J293" s="43">
        <v>0</v>
      </c>
      <c r="K293" s="43">
        <v>0</v>
      </c>
      <c r="L293" s="729">
        <v>0</v>
      </c>
      <c r="M293" s="750">
        <v>0</v>
      </c>
      <c r="N293" s="45">
        <v>0.42031099999999999</v>
      </c>
      <c r="O293" s="43">
        <v>0</v>
      </c>
      <c r="P293" s="43">
        <v>0</v>
      </c>
      <c r="Q293" s="729">
        <v>0.99784399999999995</v>
      </c>
      <c r="R293" s="750">
        <v>0</v>
      </c>
      <c r="S293" s="45">
        <v>0.47882599999999997</v>
      </c>
      <c r="T293" s="43">
        <v>0</v>
      </c>
      <c r="U293" s="43">
        <v>0</v>
      </c>
      <c r="V293" s="729">
        <v>0.99784399999999995</v>
      </c>
      <c r="W293" s="616">
        <v>0</v>
      </c>
    </row>
    <row r="294" spans="2:23" x14ac:dyDescent="0.3">
      <c r="B294" s="380" t="s">
        <v>1587</v>
      </c>
      <c r="C294" s="179" t="s">
        <v>765</v>
      </c>
      <c r="D294" s="182">
        <v>0.45782699999999998</v>
      </c>
      <c r="E294" s="43">
        <v>0</v>
      </c>
      <c r="F294" s="43">
        <v>0</v>
      </c>
      <c r="G294" s="729">
        <v>2.5283E-2</v>
      </c>
      <c r="H294" s="750">
        <v>0</v>
      </c>
      <c r="I294" s="43">
        <v>0.47964699999999999</v>
      </c>
      <c r="J294" s="43">
        <v>0</v>
      </c>
      <c r="K294" s="43">
        <v>0</v>
      </c>
      <c r="L294" s="729">
        <v>0</v>
      </c>
      <c r="M294" s="750">
        <v>0</v>
      </c>
      <c r="N294" s="45">
        <v>0.22614500000000001</v>
      </c>
      <c r="O294" s="43">
        <v>0</v>
      </c>
      <c r="P294" s="43">
        <v>0</v>
      </c>
      <c r="Q294" s="729">
        <v>0.98650400000000005</v>
      </c>
      <c r="R294" s="750">
        <v>0</v>
      </c>
      <c r="S294" s="45">
        <v>0.2576</v>
      </c>
      <c r="T294" s="43">
        <v>0</v>
      </c>
      <c r="U294" s="43">
        <v>0</v>
      </c>
      <c r="V294" s="729">
        <v>0.98650400000000005</v>
      </c>
      <c r="W294" s="616">
        <v>0</v>
      </c>
    </row>
    <row r="295" spans="2:23" x14ac:dyDescent="0.3">
      <c r="B295" s="380" t="s">
        <v>1588</v>
      </c>
      <c r="C295" s="179" t="s">
        <v>766</v>
      </c>
      <c r="D295" s="182">
        <v>0.35867399999999999</v>
      </c>
      <c r="E295" s="43">
        <v>0</v>
      </c>
      <c r="F295" s="43">
        <v>0</v>
      </c>
      <c r="G295" s="729">
        <v>0</v>
      </c>
      <c r="H295" s="750">
        <v>0</v>
      </c>
      <c r="I295" s="43">
        <v>0.41494999999999999</v>
      </c>
      <c r="J295" s="43">
        <v>0</v>
      </c>
      <c r="K295" s="43">
        <v>0</v>
      </c>
      <c r="L295" s="729">
        <v>0</v>
      </c>
      <c r="M295" s="750">
        <v>0</v>
      </c>
      <c r="N295" s="45">
        <v>0.317021</v>
      </c>
      <c r="O295" s="43">
        <v>0</v>
      </c>
      <c r="P295" s="43">
        <v>0</v>
      </c>
      <c r="Q295" s="729">
        <v>0.99438099999999996</v>
      </c>
      <c r="R295" s="750">
        <v>0</v>
      </c>
      <c r="S295" s="45">
        <v>0.37106600000000001</v>
      </c>
      <c r="T295" s="43">
        <v>0</v>
      </c>
      <c r="U295" s="43">
        <v>0</v>
      </c>
      <c r="V295" s="729">
        <v>0.99438099999999996</v>
      </c>
      <c r="W295" s="616">
        <v>0</v>
      </c>
    </row>
    <row r="296" spans="2:23" x14ac:dyDescent="0.3">
      <c r="B296" s="380" t="s">
        <v>1589</v>
      </c>
      <c r="C296" s="179" t="s">
        <v>767</v>
      </c>
      <c r="D296" s="182">
        <v>0.95745199999999997</v>
      </c>
      <c r="E296" s="43">
        <v>0</v>
      </c>
      <c r="F296" s="43">
        <v>0</v>
      </c>
      <c r="G296" s="729">
        <v>8.7093000000000004E-2</v>
      </c>
      <c r="H296" s="750">
        <v>0</v>
      </c>
      <c r="I296" s="43">
        <v>1.0482089999999999</v>
      </c>
      <c r="J296" s="43">
        <v>0</v>
      </c>
      <c r="K296" s="43">
        <v>0</v>
      </c>
      <c r="L296" s="729">
        <v>0</v>
      </c>
      <c r="M296" s="750">
        <v>0</v>
      </c>
      <c r="N296" s="45">
        <v>0.66478599999999999</v>
      </c>
      <c r="O296" s="43">
        <v>0.47982900000000001</v>
      </c>
      <c r="P296" s="43">
        <v>0.5</v>
      </c>
      <c r="Q296" s="729">
        <v>0.65732500000000005</v>
      </c>
      <c r="R296" s="750">
        <v>0</v>
      </c>
      <c r="S296" s="45">
        <v>0.74695199999999995</v>
      </c>
      <c r="T296" s="43">
        <v>0.47982900000000001</v>
      </c>
      <c r="U296" s="43">
        <v>0.5</v>
      </c>
      <c r="V296" s="729">
        <v>0.65732500000000005</v>
      </c>
      <c r="W296" s="616">
        <v>0</v>
      </c>
    </row>
    <row r="297" spans="2:23" x14ac:dyDescent="0.3">
      <c r="B297" s="380" t="s">
        <v>1590</v>
      </c>
      <c r="C297" s="179" t="s">
        <v>768</v>
      </c>
      <c r="D297" s="182">
        <v>0.64746300000000001</v>
      </c>
      <c r="E297" s="43">
        <v>0</v>
      </c>
      <c r="F297" s="43">
        <v>0</v>
      </c>
      <c r="G297" s="729">
        <v>0.361068</v>
      </c>
      <c r="H297" s="750">
        <v>0.148148</v>
      </c>
      <c r="I297" s="43">
        <v>0.29292499999999999</v>
      </c>
      <c r="J297" s="43">
        <v>0</v>
      </c>
      <c r="K297" s="43">
        <v>0</v>
      </c>
      <c r="L297" s="729">
        <v>0.998332</v>
      </c>
      <c r="M297" s="750">
        <v>3.5847999999999998E-2</v>
      </c>
      <c r="N297" s="45">
        <v>0.43573200000000001</v>
      </c>
      <c r="O297" s="43">
        <v>0</v>
      </c>
      <c r="P297" s="43">
        <v>0</v>
      </c>
      <c r="Q297" s="729">
        <v>0.995286</v>
      </c>
      <c r="R297" s="750">
        <v>0.67837800000000004</v>
      </c>
      <c r="S297" s="45">
        <v>0.70886499999999997</v>
      </c>
      <c r="T297" s="43">
        <v>0.333181</v>
      </c>
      <c r="U297" s="43">
        <v>0.5</v>
      </c>
      <c r="V297" s="729">
        <v>0.61221099999999995</v>
      </c>
      <c r="W297" s="616">
        <v>0</v>
      </c>
    </row>
    <row r="298" spans="2:23" x14ac:dyDescent="0.3">
      <c r="B298" s="380" t="s">
        <v>1591</v>
      </c>
      <c r="C298" s="179" t="s">
        <v>769</v>
      </c>
      <c r="D298" s="182">
        <v>1.077491</v>
      </c>
      <c r="E298" s="43">
        <v>0</v>
      </c>
      <c r="F298" s="43">
        <v>0</v>
      </c>
      <c r="G298" s="729">
        <v>0.141097</v>
      </c>
      <c r="H298" s="750">
        <v>0</v>
      </c>
      <c r="I298" s="43">
        <v>1.111504</v>
      </c>
      <c r="J298" s="43">
        <v>0</v>
      </c>
      <c r="K298" s="43">
        <v>0</v>
      </c>
      <c r="L298" s="729">
        <v>0</v>
      </c>
      <c r="M298" s="750">
        <v>0</v>
      </c>
      <c r="N298" s="45">
        <v>0.82353900000000002</v>
      </c>
      <c r="O298" s="43">
        <v>0.45190000000000002</v>
      </c>
      <c r="P298" s="43">
        <v>0.5</v>
      </c>
      <c r="Q298" s="729">
        <v>0.70981799999999995</v>
      </c>
      <c r="R298" s="750">
        <v>0</v>
      </c>
      <c r="S298" s="45">
        <v>0.92327800000000004</v>
      </c>
      <c r="T298" s="43">
        <v>0.45190000000000002</v>
      </c>
      <c r="U298" s="43">
        <v>0.5</v>
      </c>
      <c r="V298" s="729">
        <v>0.70981799999999995</v>
      </c>
      <c r="W298" s="616">
        <v>0</v>
      </c>
    </row>
    <row r="299" spans="2:23" x14ac:dyDescent="0.3">
      <c r="B299" s="380" t="s">
        <v>1592</v>
      </c>
      <c r="C299" s="179" t="s">
        <v>770</v>
      </c>
      <c r="D299" s="182">
        <v>0.95080900000000002</v>
      </c>
      <c r="E299" s="43">
        <v>0</v>
      </c>
      <c r="F299" s="43">
        <v>0</v>
      </c>
      <c r="G299" s="729">
        <v>2.5189E-2</v>
      </c>
      <c r="H299" s="750">
        <v>0</v>
      </c>
      <c r="I299" s="43">
        <v>1.009987</v>
      </c>
      <c r="J299" s="43">
        <v>0</v>
      </c>
      <c r="K299" s="43">
        <v>0</v>
      </c>
      <c r="L299" s="729">
        <v>0</v>
      </c>
      <c r="M299" s="750">
        <v>0</v>
      </c>
      <c r="N299" s="45">
        <v>0.36901600000000001</v>
      </c>
      <c r="O299" s="43">
        <v>0</v>
      </c>
      <c r="P299" s="43">
        <v>0</v>
      </c>
      <c r="Q299" s="729">
        <v>0.98970999999999998</v>
      </c>
      <c r="R299" s="750">
        <v>0</v>
      </c>
      <c r="S299" s="45">
        <v>0.43393799999999999</v>
      </c>
      <c r="T299" s="43">
        <v>0</v>
      </c>
      <c r="U299" s="43">
        <v>0</v>
      </c>
      <c r="V299" s="729">
        <v>0.98970999999999998</v>
      </c>
      <c r="W299" s="616">
        <v>0</v>
      </c>
    </row>
    <row r="300" spans="2:23" x14ac:dyDescent="0.3">
      <c r="B300" s="380" t="s">
        <v>1593</v>
      </c>
      <c r="C300" s="179" t="s">
        <v>771</v>
      </c>
      <c r="D300" s="182">
        <v>0.25813700000000001</v>
      </c>
      <c r="E300" s="43">
        <v>0</v>
      </c>
      <c r="F300" s="43">
        <v>0</v>
      </c>
      <c r="G300" s="729">
        <v>0.68546600000000002</v>
      </c>
      <c r="H300" s="750">
        <v>0</v>
      </c>
      <c r="I300" s="43">
        <v>0.33012900000000001</v>
      </c>
      <c r="J300" s="43">
        <v>0</v>
      </c>
      <c r="K300" s="43">
        <v>0</v>
      </c>
      <c r="L300" s="729">
        <v>0</v>
      </c>
      <c r="M300" s="750">
        <v>0</v>
      </c>
      <c r="N300" s="45">
        <v>0.35521599999999998</v>
      </c>
      <c r="O300" s="43">
        <v>0.445212</v>
      </c>
      <c r="P300" s="43">
        <v>0.52</v>
      </c>
      <c r="Q300" s="729">
        <v>0</v>
      </c>
      <c r="R300" s="750">
        <v>0</v>
      </c>
      <c r="S300" s="45">
        <v>0.35521599999999998</v>
      </c>
      <c r="T300" s="43">
        <v>0.445212</v>
      </c>
      <c r="U300" s="43">
        <v>0.52</v>
      </c>
      <c r="V300" s="729">
        <v>0</v>
      </c>
      <c r="W300" s="616">
        <v>0</v>
      </c>
    </row>
    <row r="301" spans="2:23" x14ac:dyDescent="0.3">
      <c r="B301" s="380" t="s">
        <v>1594</v>
      </c>
      <c r="C301" s="179" t="s">
        <v>772</v>
      </c>
      <c r="D301" s="182">
        <v>0.99524000000000001</v>
      </c>
      <c r="E301" s="43">
        <v>0</v>
      </c>
      <c r="F301" s="43">
        <v>0</v>
      </c>
      <c r="G301" s="729">
        <v>0.29226099999999999</v>
      </c>
      <c r="H301" s="750">
        <v>0.97164200000000001</v>
      </c>
      <c r="I301" s="43">
        <v>0.53502499999999997</v>
      </c>
      <c r="J301" s="43">
        <v>0</v>
      </c>
      <c r="K301" s="43">
        <v>0</v>
      </c>
      <c r="L301" s="729">
        <v>0.99979600000000002</v>
      </c>
      <c r="M301" s="750">
        <v>9.2715000000000006E-2</v>
      </c>
      <c r="N301" s="45">
        <v>0.72090100000000001</v>
      </c>
      <c r="O301" s="43">
        <v>0</v>
      </c>
      <c r="P301" s="43">
        <v>0</v>
      </c>
      <c r="Q301" s="729">
        <v>0.99980500000000005</v>
      </c>
      <c r="R301" s="750">
        <v>0.81984800000000002</v>
      </c>
      <c r="S301" s="45">
        <v>0.99402299999999999</v>
      </c>
      <c r="T301" s="43">
        <v>0</v>
      </c>
      <c r="U301" s="43">
        <v>0</v>
      </c>
      <c r="V301" s="729">
        <v>1</v>
      </c>
      <c r="W301" s="616">
        <v>0.47483500000000001</v>
      </c>
    </row>
    <row r="302" spans="2:23" x14ac:dyDescent="0.3">
      <c r="B302" s="380" t="s">
        <v>1595</v>
      </c>
      <c r="C302" s="179" t="s">
        <v>773</v>
      </c>
      <c r="D302" s="182">
        <v>1.8954869999999999</v>
      </c>
      <c r="E302" s="43">
        <v>0.52183500000000005</v>
      </c>
      <c r="F302" s="43">
        <v>1.1710999999999999E-2</v>
      </c>
      <c r="G302" s="729">
        <v>0.40712399999999999</v>
      </c>
      <c r="H302" s="750">
        <v>0.982935</v>
      </c>
      <c r="I302" s="43">
        <v>0.46025199999999999</v>
      </c>
      <c r="J302" s="43">
        <v>0</v>
      </c>
      <c r="K302" s="43">
        <v>0</v>
      </c>
      <c r="L302" s="729">
        <v>0.99924400000000002</v>
      </c>
      <c r="M302" s="750">
        <v>0.64538799999999996</v>
      </c>
      <c r="N302" s="45">
        <v>0.41495300000000002</v>
      </c>
      <c r="O302" s="43">
        <v>0</v>
      </c>
      <c r="P302" s="43">
        <v>0</v>
      </c>
      <c r="Q302" s="729">
        <v>0.99980000000000002</v>
      </c>
      <c r="R302" s="750">
        <v>0.97958299999999998</v>
      </c>
      <c r="S302" s="45">
        <v>0.64147900000000002</v>
      </c>
      <c r="T302" s="43">
        <v>0</v>
      </c>
      <c r="U302" s="43">
        <v>0</v>
      </c>
      <c r="V302" s="729">
        <v>0.99977300000000002</v>
      </c>
      <c r="W302" s="616">
        <v>0.85666399999999998</v>
      </c>
    </row>
    <row r="303" spans="2:23" x14ac:dyDescent="0.3">
      <c r="B303" s="380" t="s">
        <v>1596</v>
      </c>
      <c r="C303" s="179" t="s">
        <v>774</v>
      </c>
      <c r="D303" s="182">
        <v>1.5960780000000001</v>
      </c>
      <c r="E303" s="43">
        <v>0.46472999999999998</v>
      </c>
      <c r="F303" s="43">
        <v>6.6736000000000004E-2</v>
      </c>
      <c r="G303" s="729">
        <v>0.75298900000000002</v>
      </c>
      <c r="H303" s="750">
        <v>0.97910399999999997</v>
      </c>
      <c r="I303" s="43">
        <v>0.59298899999999999</v>
      </c>
      <c r="J303" s="43">
        <v>0</v>
      </c>
      <c r="K303" s="43">
        <v>0</v>
      </c>
      <c r="L303" s="729">
        <v>0.99956900000000004</v>
      </c>
      <c r="M303" s="750">
        <v>0.82525099999999996</v>
      </c>
      <c r="N303" s="45">
        <v>0.68978899999999999</v>
      </c>
      <c r="O303" s="43">
        <v>0</v>
      </c>
      <c r="P303" s="43">
        <v>0</v>
      </c>
      <c r="Q303" s="729">
        <v>0.999946</v>
      </c>
      <c r="R303" s="750">
        <v>0.95336600000000005</v>
      </c>
      <c r="S303" s="45">
        <v>1.004257</v>
      </c>
      <c r="T303" s="43">
        <v>0</v>
      </c>
      <c r="U303" s="43">
        <v>0</v>
      </c>
      <c r="V303" s="729">
        <v>0.99956400000000001</v>
      </c>
      <c r="W303" s="616">
        <v>0.89327599999999996</v>
      </c>
    </row>
    <row r="304" spans="2:23" x14ac:dyDescent="0.3">
      <c r="B304" s="380" t="s">
        <v>1597</v>
      </c>
      <c r="C304" s="179" t="s">
        <v>775</v>
      </c>
      <c r="D304" s="182">
        <v>0.60585199999999995</v>
      </c>
      <c r="E304" s="43">
        <v>0.375444</v>
      </c>
      <c r="F304" s="43">
        <v>0</v>
      </c>
      <c r="G304" s="729">
        <v>0.154804</v>
      </c>
      <c r="H304" s="750">
        <v>0</v>
      </c>
      <c r="I304" s="43">
        <v>0.64425699999999997</v>
      </c>
      <c r="J304" s="43">
        <v>0</v>
      </c>
      <c r="K304" s="43">
        <v>0</v>
      </c>
      <c r="L304" s="729">
        <v>0</v>
      </c>
      <c r="M304" s="750">
        <v>0</v>
      </c>
      <c r="N304" s="45">
        <v>0.459231</v>
      </c>
      <c r="O304" s="43">
        <v>0.46096399999999998</v>
      </c>
      <c r="P304" s="43">
        <v>0.59</v>
      </c>
      <c r="Q304" s="729">
        <v>0</v>
      </c>
      <c r="R304" s="750">
        <v>0</v>
      </c>
      <c r="S304" s="45">
        <v>0.459231</v>
      </c>
      <c r="T304" s="43">
        <v>0.46096399999999998</v>
      </c>
      <c r="U304" s="43">
        <v>0.59</v>
      </c>
      <c r="V304" s="729">
        <v>0</v>
      </c>
      <c r="W304" s="616">
        <v>0</v>
      </c>
    </row>
    <row r="305" spans="2:23" x14ac:dyDescent="0.3">
      <c r="B305" s="380" t="s">
        <v>1598</v>
      </c>
      <c r="C305" s="179" t="s">
        <v>776</v>
      </c>
      <c r="D305" s="182">
        <v>0.73901799999999995</v>
      </c>
      <c r="E305" s="43">
        <v>0</v>
      </c>
      <c r="F305" s="43">
        <v>0</v>
      </c>
      <c r="G305" s="729">
        <v>0.21943699999999999</v>
      </c>
      <c r="H305" s="750">
        <v>0</v>
      </c>
      <c r="I305" s="43">
        <v>0.82623500000000005</v>
      </c>
      <c r="J305" s="43">
        <v>0</v>
      </c>
      <c r="K305" s="43">
        <v>0</v>
      </c>
      <c r="L305" s="729">
        <v>0</v>
      </c>
      <c r="M305" s="750">
        <v>0</v>
      </c>
      <c r="N305" s="45">
        <v>0.76827800000000002</v>
      </c>
      <c r="O305" s="43">
        <v>0.52768599999999999</v>
      </c>
      <c r="P305" s="43">
        <v>0.5</v>
      </c>
      <c r="Q305" s="729">
        <v>0.62002500000000005</v>
      </c>
      <c r="R305" s="750">
        <v>0</v>
      </c>
      <c r="S305" s="45">
        <v>0.82664499999999996</v>
      </c>
      <c r="T305" s="43">
        <v>0.52768599999999999</v>
      </c>
      <c r="U305" s="43">
        <v>0.5</v>
      </c>
      <c r="V305" s="729">
        <v>0.62002500000000005</v>
      </c>
      <c r="W305" s="616">
        <v>0</v>
      </c>
    </row>
    <row r="306" spans="2:23" x14ac:dyDescent="0.3">
      <c r="B306" s="380" t="s">
        <v>1599</v>
      </c>
      <c r="C306" s="179" t="s">
        <v>777</v>
      </c>
      <c r="D306" s="182">
        <v>0.16603200000000001</v>
      </c>
      <c r="E306" s="43">
        <v>0</v>
      </c>
      <c r="F306" s="43">
        <v>0</v>
      </c>
      <c r="G306" s="729">
        <v>0.41961199999999999</v>
      </c>
      <c r="H306" s="750">
        <v>0</v>
      </c>
      <c r="I306" s="43">
        <v>0.18173600000000001</v>
      </c>
      <c r="J306" s="43">
        <v>0</v>
      </c>
      <c r="K306" s="43">
        <v>0</v>
      </c>
      <c r="L306" s="729">
        <v>0</v>
      </c>
      <c r="M306" s="750">
        <v>0</v>
      </c>
      <c r="N306" s="45">
        <v>0.26471699999999998</v>
      </c>
      <c r="O306" s="43">
        <v>0.68855100000000002</v>
      </c>
      <c r="P306" s="43">
        <v>0.5</v>
      </c>
      <c r="Q306" s="729">
        <v>0</v>
      </c>
      <c r="R306" s="750">
        <v>0</v>
      </c>
      <c r="S306" s="45">
        <v>0.26471699999999998</v>
      </c>
      <c r="T306" s="43">
        <v>0.68855100000000002</v>
      </c>
      <c r="U306" s="43">
        <v>0.5</v>
      </c>
      <c r="V306" s="729">
        <v>0</v>
      </c>
      <c r="W306" s="616">
        <v>0</v>
      </c>
    </row>
    <row r="307" spans="2:23" x14ac:dyDescent="0.3">
      <c r="B307" s="380" t="s">
        <v>1600</v>
      </c>
      <c r="C307" s="179" t="s">
        <v>778</v>
      </c>
      <c r="D307" s="182">
        <v>0.37985799999999997</v>
      </c>
      <c r="E307" s="43">
        <v>0.71143400000000001</v>
      </c>
      <c r="F307" s="43">
        <v>0</v>
      </c>
      <c r="G307" s="729">
        <v>0.25059900000000002</v>
      </c>
      <c r="H307" s="750">
        <v>0</v>
      </c>
      <c r="I307" s="43">
        <v>0.47297699999999998</v>
      </c>
      <c r="J307" s="43">
        <v>0</v>
      </c>
      <c r="K307" s="43">
        <v>0</v>
      </c>
      <c r="L307" s="729">
        <v>0</v>
      </c>
      <c r="M307" s="750">
        <v>0</v>
      </c>
      <c r="N307" s="45">
        <v>0.42909999999999998</v>
      </c>
      <c r="O307" s="43">
        <v>0</v>
      </c>
      <c r="P307" s="43">
        <v>0</v>
      </c>
      <c r="Q307" s="729">
        <v>0.98255999999999999</v>
      </c>
      <c r="R307" s="750">
        <v>5.3210000000000002E-3</v>
      </c>
      <c r="S307" s="45">
        <v>0.50590500000000005</v>
      </c>
      <c r="T307" s="43">
        <v>0</v>
      </c>
      <c r="U307" s="43">
        <v>0</v>
      </c>
      <c r="V307" s="729">
        <v>0.982568</v>
      </c>
      <c r="W307" s="616">
        <v>4.8999999999999998E-4</v>
      </c>
    </row>
    <row r="308" spans="2:23" x14ac:dyDescent="0.3">
      <c r="B308" s="380" t="s">
        <v>1601</v>
      </c>
      <c r="C308" s="179" t="s">
        <v>779</v>
      </c>
      <c r="D308" s="182">
        <v>0.37335299999999999</v>
      </c>
      <c r="E308" s="43">
        <v>0</v>
      </c>
      <c r="F308" s="43">
        <v>0</v>
      </c>
      <c r="G308" s="729">
        <v>0.48936200000000002</v>
      </c>
      <c r="H308" s="750">
        <v>0</v>
      </c>
      <c r="I308" s="43">
        <v>0.47986400000000001</v>
      </c>
      <c r="J308" s="43">
        <v>0</v>
      </c>
      <c r="K308" s="43">
        <v>0</v>
      </c>
      <c r="L308" s="729">
        <v>0</v>
      </c>
      <c r="M308" s="750">
        <v>0</v>
      </c>
      <c r="N308" s="45">
        <v>0.45648</v>
      </c>
      <c r="O308" s="43">
        <v>0</v>
      </c>
      <c r="P308" s="43">
        <v>0</v>
      </c>
      <c r="Q308" s="729">
        <v>0.93829399999999996</v>
      </c>
      <c r="R308" s="750">
        <v>0</v>
      </c>
      <c r="S308" s="45">
        <v>0.50010699999999997</v>
      </c>
      <c r="T308" s="43">
        <v>0</v>
      </c>
      <c r="U308" s="43">
        <v>0</v>
      </c>
      <c r="V308" s="729">
        <v>0.93829399999999996</v>
      </c>
      <c r="W308" s="616">
        <v>0</v>
      </c>
    </row>
    <row r="309" spans="2:23" x14ac:dyDescent="0.3">
      <c r="B309" s="380" t="s">
        <v>1602</v>
      </c>
      <c r="C309" s="179" t="s">
        <v>780</v>
      </c>
      <c r="D309" s="182">
        <v>0.19520699999999999</v>
      </c>
      <c r="E309" s="43">
        <v>0</v>
      </c>
      <c r="F309" s="43">
        <v>0</v>
      </c>
      <c r="G309" s="729">
        <v>0.40206599999999998</v>
      </c>
      <c r="H309" s="750">
        <v>0</v>
      </c>
      <c r="I309" s="43">
        <v>0.21565200000000001</v>
      </c>
      <c r="J309" s="43">
        <v>0</v>
      </c>
      <c r="K309" s="43">
        <v>0</v>
      </c>
      <c r="L309" s="729">
        <v>0</v>
      </c>
      <c r="M309" s="750">
        <v>0</v>
      </c>
      <c r="N309" s="45">
        <v>0.307753</v>
      </c>
      <c r="O309" s="43">
        <v>0.61623000000000006</v>
      </c>
      <c r="P309" s="43">
        <v>0.49</v>
      </c>
      <c r="Q309" s="729">
        <v>0</v>
      </c>
      <c r="R309" s="750">
        <v>0</v>
      </c>
      <c r="S309" s="45">
        <v>0.307753</v>
      </c>
      <c r="T309" s="43">
        <v>0.61623000000000006</v>
      </c>
      <c r="U309" s="43">
        <v>0.49</v>
      </c>
      <c r="V309" s="729">
        <v>0</v>
      </c>
      <c r="W309" s="616">
        <v>0</v>
      </c>
    </row>
    <row r="310" spans="2:23" x14ac:dyDescent="0.3">
      <c r="B310" s="380" t="s">
        <v>1603</v>
      </c>
      <c r="C310" s="179" t="s">
        <v>781</v>
      </c>
      <c r="D310" s="182">
        <v>0.22653899999999999</v>
      </c>
      <c r="E310" s="43">
        <v>0</v>
      </c>
      <c r="F310" s="43">
        <v>0</v>
      </c>
      <c r="G310" s="729">
        <v>0.30007400000000001</v>
      </c>
      <c r="H310" s="750">
        <v>0</v>
      </c>
      <c r="I310" s="43">
        <v>0.23961499999999999</v>
      </c>
      <c r="J310" s="43">
        <v>0</v>
      </c>
      <c r="K310" s="43">
        <v>0</v>
      </c>
      <c r="L310" s="729">
        <v>0</v>
      </c>
      <c r="M310" s="750">
        <v>0</v>
      </c>
      <c r="N310" s="45">
        <v>0.31137500000000001</v>
      </c>
      <c r="O310" s="43">
        <v>0.56285200000000002</v>
      </c>
      <c r="P310" s="43">
        <v>0.5</v>
      </c>
      <c r="Q310" s="729">
        <v>0</v>
      </c>
      <c r="R310" s="750">
        <v>0</v>
      </c>
      <c r="S310" s="45">
        <v>0.31137500000000001</v>
      </c>
      <c r="T310" s="43">
        <v>0.56285200000000002</v>
      </c>
      <c r="U310" s="43">
        <v>0.5</v>
      </c>
      <c r="V310" s="729">
        <v>0</v>
      </c>
      <c r="W310" s="616">
        <v>0</v>
      </c>
    </row>
    <row r="311" spans="2:23" x14ac:dyDescent="0.3">
      <c r="B311" s="380" t="s">
        <v>1604</v>
      </c>
      <c r="C311" s="179" t="s">
        <v>782</v>
      </c>
      <c r="D311" s="182">
        <v>0.14605000000000001</v>
      </c>
      <c r="E311" s="43">
        <v>0</v>
      </c>
      <c r="F311" s="43">
        <v>0</v>
      </c>
      <c r="G311" s="729">
        <v>0.32262099999999999</v>
      </c>
      <c r="H311" s="750">
        <v>0</v>
      </c>
      <c r="I311" s="43">
        <v>0.156331</v>
      </c>
      <c r="J311" s="43">
        <v>0</v>
      </c>
      <c r="K311" s="43">
        <v>0</v>
      </c>
      <c r="L311" s="729">
        <v>0</v>
      </c>
      <c r="M311" s="750">
        <v>0</v>
      </c>
      <c r="N311" s="45">
        <v>0.199188</v>
      </c>
      <c r="O311" s="43">
        <v>0.72160299999999999</v>
      </c>
      <c r="P311" s="43">
        <v>0.51</v>
      </c>
      <c r="Q311" s="729">
        <v>0</v>
      </c>
      <c r="R311" s="750">
        <v>0</v>
      </c>
      <c r="S311" s="45">
        <v>0.199188</v>
      </c>
      <c r="T311" s="43">
        <v>0.72160299999999999</v>
      </c>
      <c r="U311" s="43">
        <v>0.51</v>
      </c>
      <c r="V311" s="729">
        <v>0</v>
      </c>
      <c r="W311" s="616">
        <v>0</v>
      </c>
    </row>
    <row r="312" spans="2:23" x14ac:dyDescent="0.3">
      <c r="B312" s="380" t="s">
        <v>1605</v>
      </c>
      <c r="C312" s="179" t="s">
        <v>783</v>
      </c>
      <c r="D312" s="182">
        <v>0.624637</v>
      </c>
      <c r="E312" s="43">
        <v>0</v>
      </c>
      <c r="F312" s="43">
        <v>0</v>
      </c>
      <c r="G312" s="729">
        <v>4.2111999999999997E-2</v>
      </c>
      <c r="H312" s="750">
        <v>0.43</v>
      </c>
      <c r="I312" s="43">
        <v>0.11712</v>
      </c>
      <c r="J312" s="43">
        <v>0</v>
      </c>
      <c r="K312" s="43">
        <v>0</v>
      </c>
      <c r="L312" s="729">
        <v>0.99491099999999999</v>
      </c>
      <c r="M312" s="750">
        <v>1.187E-2</v>
      </c>
      <c r="N312" s="45">
        <v>0.39633800000000002</v>
      </c>
      <c r="O312" s="43">
        <v>0.46111099999999999</v>
      </c>
      <c r="P312" s="43">
        <v>0.6</v>
      </c>
      <c r="Q312" s="729">
        <v>0</v>
      </c>
      <c r="R312" s="750">
        <v>0</v>
      </c>
      <c r="S312" s="45">
        <v>0.43547200000000003</v>
      </c>
      <c r="T312" s="43">
        <v>0.42327100000000001</v>
      </c>
      <c r="U312" s="43">
        <v>0.57999999999999996</v>
      </c>
      <c r="V312" s="729">
        <v>0</v>
      </c>
      <c r="W312" s="616">
        <v>0</v>
      </c>
    </row>
    <row r="313" spans="2:23" x14ac:dyDescent="0.3">
      <c r="B313" s="380" t="s">
        <v>1606</v>
      </c>
      <c r="C313" s="179" t="s">
        <v>784</v>
      </c>
      <c r="D313" s="182">
        <v>0.61536999999999997</v>
      </c>
      <c r="E313" s="43">
        <v>0</v>
      </c>
      <c r="F313" s="43">
        <v>0</v>
      </c>
      <c r="G313" s="729">
        <v>0.22037000000000001</v>
      </c>
      <c r="H313" s="750">
        <v>0</v>
      </c>
      <c r="I313" s="43">
        <v>0.71476700000000004</v>
      </c>
      <c r="J313" s="43">
        <v>0</v>
      </c>
      <c r="K313" s="43">
        <v>0</v>
      </c>
      <c r="L313" s="729">
        <v>0</v>
      </c>
      <c r="M313" s="750">
        <v>0</v>
      </c>
      <c r="N313" s="45">
        <v>0.52764500000000003</v>
      </c>
      <c r="O313" s="43">
        <v>0</v>
      </c>
      <c r="P313" s="43">
        <v>0</v>
      </c>
      <c r="Q313" s="729">
        <v>0.97437200000000002</v>
      </c>
      <c r="R313" s="750">
        <v>0</v>
      </c>
      <c r="S313" s="45">
        <v>0.60326999999999997</v>
      </c>
      <c r="T313" s="43">
        <v>0</v>
      </c>
      <c r="U313" s="43">
        <v>0</v>
      </c>
      <c r="V313" s="729">
        <v>0.97437200000000002</v>
      </c>
      <c r="W313" s="616">
        <v>0</v>
      </c>
    </row>
    <row r="314" spans="2:23" x14ac:dyDescent="0.3">
      <c r="B314" s="380" t="s">
        <v>1607</v>
      </c>
      <c r="C314" s="179" t="s">
        <v>785</v>
      </c>
      <c r="D314" s="182">
        <v>1.8454280000000001</v>
      </c>
      <c r="E314" s="43">
        <v>0.57265900000000003</v>
      </c>
      <c r="F314" s="43">
        <v>4.9709999999999997E-2</v>
      </c>
      <c r="G314" s="729">
        <v>0.385656</v>
      </c>
      <c r="H314" s="750">
        <v>0.88947699999999996</v>
      </c>
      <c r="I314" s="43">
        <v>0.67759999999999998</v>
      </c>
      <c r="J314" s="43">
        <v>0</v>
      </c>
      <c r="K314" s="43">
        <v>0</v>
      </c>
      <c r="L314" s="729">
        <v>0.99868500000000004</v>
      </c>
      <c r="M314" s="750">
        <v>0.75920399999999999</v>
      </c>
      <c r="N314" s="45">
        <v>0.74573299999999998</v>
      </c>
      <c r="O314" s="43">
        <v>0</v>
      </c>
      <c r="P314" s="43">
        <v>0</v>
      </c>
      <c r="Q314" s="729">
        <v>0.99824599999999997</v>
      </c>
      <c r="R314" s="750">
        <v>0.99019400000000002</v>
      </c>
      <c r="S314" s="45">
        <v>1.1206119999999999</v>
      </c>
      <c r="T314" s="43">
        <v>0</v>
      </c>
      <c r="U314" s="43">
        <v>0</v>
      </c>
      <c r="V314" s="729">
        <v>0.99959900000000002</v>
      </c>
      <c r="W314" s="616">
        <v>0.91914499999999999</v>
      </c>
    </row>
    <row r="315" spans="2:23" x14ac:dyDescent="0.3">
      <c r="B315" s="380" t="s">
        <v>1608</v>
      </c>
      <c r="C315" s="179" t="s">
        <v>786</v>
      </c>
      <c r="D315" s="182">
        <v>0.61853400000000003</v>
      </c>
      <c r="E315" s="43">
        <v>0.58645000000000003</v>
      </c>
      <c r="F315" s="43">
        <v>0</v>
      </c>
      <c r="G315" s="729">
        <v>0.655779</v>
      </c>
      <c r="H315" s="750">
        <v>0.44444400000000001</v>
      </c>
      <c r="I315" s="43">
        <v>0.3281</v>
      </c>
      <c r="J315" s="43">
        <v>0</v>
      </c>
      <c r="K315" s="43">
        <v>0</v>
      </c>
      <c r="L315" s="729">
        <v>0.99587499999999995</v>
      </c>
      <c r="M315" s="750">
        <v>0.31937900000000002</v>
      </c>
      <c r="N315" s="45">
        <v>0.46900999999999998</v>
      </c>
      <c r="O315" s="43">
        <v>0</v>
      </c>
      <c r="P315" s="43">
        <v>0</v>
      </c>
      <c r="Q315" s="729">
        <v>0.98182800000000003</v>
      </c>
      <c r="R315" s="750">
        <v>0.891648</v>
      </c>
      <c r="S315" s="45">
        <v>0.617645</v>
      </c>
      <c r="T315" s="43">
        <v>0</v>
      </c>
      <c r="U315" s="43">
        <v>0</v>
      </c>
      <c r="V315" s="729">
        <v>0.986761</v>
      </c>
      <c r="W315" s="616">
        <v>0.51156500000000005</v>
      </c>
    </row>
    <row r="316" spans="2:23" x14ac:dyDescent="0.3">
      <c r="B316" s="380" t="s">
        <v>1609</v>
      </c>
      <c r="C316" s="179" t="s">
        <v>787</v>
      </c>
      <c r="D316" s="182">
        <v>0.52163000000000004</v>
      </c>
      <c r="E316" s="43">
        <v>0.37182700000000002</v>
      </c>
      <c r="F316" s="43">
        <v>0</v>
      </c>
      <c r="G316" s="729">
        <v>0.36532100000000001</v>
      </c>
      <c r="H316" s="750">
        <v>0</v>
      </c>
      <c r="I316" s="43">
        <v>0.64510000000000001</v>
      </c>
      <c r="J316" s="43">
        <v>0</v>
      </c>
      <c r="K316" s="43">
        <v>0</v>
      </c>
      <c r="L316" s="729">
        <v>0</v>
      </c>
      <c r="M316" s="750">
        <v>0</v>
      </c>
      <c r="N316" s="45">
        <v>0.57846299999999995</v>
      </c>
      <c r="O316" s="43">
        <v>0</v>
      </c>
      <c r="P316" s="43">
        <v>0</v>
      </c>
      <c r="Q316" s="729">
        <v>0.95662000000000003</v>
      </c>
      <c r="R316" s="750">
        <v>0</v>
      </c>
      <c r="S316" s="45">
        <v>0.66472299999999995</v>
      </c>
      <c r="T316" s="43">
        <v>0</v>
      </c>
      <c r="U316" s="43">
        <v>0</v>
      </c>
      <c r="V316" s="729">
        <v>0.95662000000000003</v>
      </c>
      <c r="W316" s="616">
        <v>0</v>
      </c>
    </row>
    <row r="317" spans="2:23" x14ac:dyDescent="0.3">
      <c r="B317" s="380" t="s">
        <v>1610</v>
      </c>
      <c r="C317" s="179" t="s">
        <v>788</v>
      </c>
      <c r="D317" s="182">
        <v>0.62171299999999996</v>
      </c>
      <c r="E317" s="43">
        <v>0.35444599999999998</v>
      </c>
      <c r="F317" s="43">
        <v>0.01</v>
      </c>
      <c r="G317" s="729">
        <v>0.35577199999999998</v>
      </c>
      <c r="H317" s="750">
        <v>0</v>
      </c>
      <c r="I317" s="43">
        <v>0.80666700000000002</v>
      </c>
      <c r="J317" s="43">
        <v>0</v>
      </c>
      <c r="K317" s="43">
        <v>0</v>
      </c>
      <c r="L317" s="729">
        <v>0</v>
      </c>
      <c r="M317" s="750">
        <v>0</v>
      </c>
      <c r="N317" s="45">
        <v>0.71973200000000004</v>
      </c>
      <c r="O317" s="43">
        <v>0</v>
      </c>
      <c r="P317" s="43">
        <v>0</v>
      </c>
      <c r="Q317" s="729">
        <v>0.97587599999999997</v>
      </c>
      <c r="R317" s="750">
        <v>0</v>
      </c>
      <c r="S317" s="45">
        <v>0.83784199999999998</v>
      </c>
      <c r="T317" s="43">
        <v>0</v>
      </c>
      <c r="U317" s="43">
        <v>0</v>
      </c>
      <c r="V317" s="729">
        <v>0.97587599999999997</v>
      </c>
      <c r="W317" s="616">
        <v>0</v>
      </c>
    </row>
    <row r="318" spans="2:23" x14ac:dyDescent="0.3">
      <c r="B318" s="380" t="s">
        <v>1611</v>
      </c>
      <c r="C318" s="179" t="s">
        <v>789</v>
      </c>
      <c r="D318" s="182">
        <v>0.325845</v>
      </c>
      <c r="E318" s="43">
        <v>0</v>
      </c>
      <c r="F318" s="43">
        <v>0</v>
      </c>
      <c r="G318" s="729">
        <v>0.33591500000000002</v>
      </c>
      <c r="H318" s="750">
        <v>0</v>
      </c>
      <c r="I318" s="43">
        <v>0.40715699999999999</v>
      </c>
      <c r="J318" s="43">
        <v>0</v>
      </c>
      <c r="K318" s="43">
        <v>0</v>
      </c>
      <c r="L318" s="729">
        <v>0</v>
      </c>
      <c r="M318" s="750">
        <v>0</v>
      </c>
      <c r="N318" s="45">
        <v>0.27497700000000003</v>
      </c>
      <c r="O318" s="43">
        <v>0</v>
      </c>
      <c r="P318" s="43">
        <v>0</v>
      </c>
      <c r="Q318" s="729">
        <v>0.99622900000000003</v>
      </c>
      <c r="R318" s="750">
        <v>0</v>
      </c>
      <c r="S318" s="45">
        <v>0.32875799999999999</v>
      </c>
      <c r="T318" s="43">
        <v>0</v>
      </c>
      <c r="U318" s="43">
        <v>0</v>
      </c>
      <c r="V318" s="729">
        <v>0.99622900000000003</v>
      </c>
      <c r="W318" s="616">
        <v>0</v>
      </c>
    </row>
    <row r="319" spans="2:23" x14ac:dyDescent="0.3">
      <c r="B319" s="380" t="s">
        <v>1612</v>
      </c>
      <c r="C319" s="179" t="s">
        <v>790</v>
      </c>
      <c r="D319" s="182">
        <v>0.19921800000000001</v>
      </c>
      <c r="E319" s="43">
        <v>0</v>
      </c>
      <c r="F319" s="43">
        <v>0</v>
      </c>
      <c r="G319" s="729">
        <v>0.40330899999999997</v>
      </c>
      <c r="H319" s="750">
        <v>0</v>
      </c>
      <c r="I319" s="43">
        <v>0.208929</v>
      </c>
      <c r="J319" s="43">
        <v>0</v>
      </c>
      <c r="K319" s="43">
        <v>0</v>
      </c>
      <c r="L319" s="729">
        <v>0</v>
      </c>
      <c r="M319" s="750">
        <v>0</v>
      </c>
      <c r="N319" s="45">
        <v>0.26686700000000002</v>
      </c>
      <c r="O319" s="43">
        <v>0.54879699999999998</v>
      </c>
      <c r="P319" s="43">
        <v>0.5</v>
      </c>
      <c r="Q319" s="729">
        <v>0</v>
      </c>
      <c r="R319" s="750">
        <v>0</v>
      </c>
      <c r="S319" s="45">
        <v>0.26686700000000002</v>
      </c>
      <c r="T319" s="43">
        <v>0.54879699999999998</v>
      </c>
      <c r="U319" s="43">
        <v>0.5</v>
      </c>
      <c r="V319" s="729">
        <v>0</v>
      </c>
      <c r="W319" s="616">
        <v>0</v>
      </c>
    </row>
    <row r="320" spans="2:23" x14ac:dyDescent="0.3">
      <c r="B320" s="380" t="s">
        <v>1613</v>
      </c>
      <c r="C320" s="179" t="s">
        <v>791</v>
      </c>
      <c r="D320" s="182">
        <v>1.0936920000000001</v>
      </c>
      <c r="E320" s="43">
        <v>0.384185</v>
      </c>
      <c r="F320" s="43">
        <v>0.01</v>
      </c>
      <c r="G320" s="729">
        <v>0.37967000000000001</v>
      </c>
      <c r="H320" s="750">
        <v>0.95066399999999995</v>
      </c>
      <c r="I320" s="43">
        <v>0.41619200000000001</v>
      </c>
      <c r="J320" s="43">
        <v>0</v>
      </c>
      <c r="K320" s="43">
        <v>0</v>
      </c>
      <c r="L320" s="729">
        <v>0.99920200000000003</v>
      </c>
      <c r="M320" s="750">
        <v>0.28310800000000003</v>
      </c>
      <c r="N320" s="45">
        <v>0.493921</v>
      </c>
      <c r="O320" s="43">
        <v>0</v>
      </c>
      <c r="P320" s="43">
        <v>0</v>
      </c>
      <c r="Q320" s="729">
        <v>0.99189099999999997</v>
      </c>
      <c r="R320" s="750">
        <v>0.95135000000000003</v>
      </c>
      <c r="S320" s="45">
        <v>0.71877899999999995</v>
      </c>
      <c r="T320" s="43">
        <v>0</v>
      </c>
      <c r="U320" s="43">
        <v>0</v>
      </c>
      <c r="V320" s="729">
        <v>0.99144399999999999</v>
      </c>
      <c r="W320" s="616">
        <v>0.70711000000000002</v>
      </c>
    </row>
    <row r="321" spans="2:23" x14ac:dyDescent="0.3">
      <c r="B321" s="380" t="s">
        <v>1614</v>
      </c>
      <c r="C321" s="179" t="s">
        <v>792</v>
      </c>
      <c r="D321" s="182">
        <v>0.54755699999999996</v>
      </c>
      <c r="E321" s="43">
        <v>0</v>
      </c>
      <c r="F321" s="43">
        <v>0</v>
      </c>
      <c r="G321" s="729">
        <v>0.27632000000000001</v>
      </c>
      <c r="H321" s="750">
        <v>0</v>
      </c>
      <c r="I321" s="43">
        <v>0.62854900000000002</v>
      </c>
      <c r="J321" s="43">
        <v>0</v>
      </c>
      <c r="K321" s="43">
        <v>0</v>
      </c>
      <c r="L321" s="729">
        <v>0</v>
      </c>
      <c r="M321" s="750">
        <v>0</v>
      </c>
      <c r="N321" s="45">
        <v>0.49063400000000001</v>
      </c>
      <c r="O321" s="43">
        <v>0</v>
      </c>
      <c r="P321" s="43">
        <v>0</v>
      </c>
      <c r="Q321" s="729">
        <v>0.97246299999999997</v>
      </c>
      <c r="R321" s="750">
        <v>0</v>
      </c>
      <c r="S321" s="45">
        <v>0.54474999999999996</v>
      </c>
      <c r="T321" s="43">
        <v>0</v>
      </c>
      <c r="U321" s="43">
        <v>0</v>
      </c>
      <c r="V321" s="729">
        <v>0.97246299999999997</v>
      </c>
      <c r="W321" s="616">
        <v>0</v>
      </c>
    </row>
    <row r="322" spans="2:23" x14ac:dyDescent="0.3">
      <c r="B322" s="380" t="s">
        <v>1615</v>
      </c>
      <c r="C322" s="179" t="s">
        <v>793</v>
      </c>
      <c r="D322" s="182">
        <v>0.61689000000000005</v>
      </c>
      <c r="E322" s="43">
        <v>0</v>
      </c>
      <c r="F322" s="43">
        <v>0</v>
      </c>
      <c r="G322" s="729">
        <v>7.2964000000000001E-2</v>
      </c>
      <c r="H322" s="750">
        <v>0.16279099999999999</v>
      </c>
      <c r="I322" s="43">
        <v>0.22567100000000001</v>
      </c>
      <c r="J322" s="43">
        <v>0</v>
      </c>
      <c r="K322" s="43">
        <v>0</v>
      </c>
      <c r="L322" s="729">
        <v>0.99947900000000001</v>
      </c>
      <c r="M322" s="750">
        <v>0.18883900000000001</v>
      </c>
      <c r="N322" s="45">
        <v>0.30260900000000002</v>
      </c>
      <c r="O322" s="43">
        <v>0</v>
      </c>
      <c r="P322" s="43">
        <v>0</v>
      </c>
      <c r="Q322" s="729">
        <v>0.99857200000000002</v>
      </c>
      <c r="R322" s="750">
        <v>0.630166</v>
      </c>
      <c r="S322" s="45">
        <v>0.43381799999999998</v>
      </c>
      <c r="T322" s="43">
        <v>0</v>
      </c>
      <c r="U322" s="43">
        <v>0</v>
      </c>
      <c r="V322" s="729">
        <v>0.99507100000000004</v>
      </c>
      <c r="W322" s="616">
        <v>0.485292</v>
      </c>
    </row>
    <row r="323" spans="2:23" x14ac:dyDescent="0.3">
      <c r="B323" s="380" t="s">
        <v>1616</v>
      </c>
      <c r="C323" s="179" t="s">
        <v>794</v>
      </c>
      <c r="D323" s="182">
        <v>9.2981999999999995E-2</v>
      </c>
      <c r="E323" s="43">
        <v>0</v>
      </c>
      <c r="F323" s="43">
        <v>0</v>
      </c>
      <c r="G323" s="729">
        <v>0.13014100000000001</v>
      </c>
      <c r="H323" s="750">
        <v>0</v>
      </c>
      <c r="I323" s="43">
        <v>4.8548000000000001E-2</v>
      </c>
      <c r="J323" s="43">
        <v>0</v>
      </c>
      <c r="K323" s="43">
        <v>0</v>
      </c>
      <c r="L323" s="729">
        <v>0.99991300000000005</v>
      </c>
      <c r="M323" s="750">
        <v>0.116351</v>
      </c>
      <c r="N323" s="45">
        <v>6.4786999999999997E-2</v>
      </c>
      <c r="O323" s="43">
        <v>0</v>
      </c>
      <c r="P323" s="43">
        <v>0</v>
      </c>
      <c r="Q323" s="729">
        <v>0.99844200000000005</v>
      </c>
      <c r="R323" s="750">
        <v>0.94664199999999998</v>
      </c>
      <c r="S323" s="45">
        <v>9.1108999999999996E-2</v>
      </c>
      <c r="T323" s="43">
        <v>0</v>
      </c>
      <c r="U323" s="43">
        <v>0</v>
      </c>
      <c r="V323" s="729">
        <v>1</v>
      </c>
      <c r="W323" s="616">
        <v>0.593391</v>
      </c>
    </row>
    <row r="324" spans="2:23" x14ac:dyDescent="0.3">
      <c r="B324" s="380" t="s">
        <v>1617</v>
      </c>
      <c r="C324" s="179" t="s">
        <v>795</v>
      </c>
      <c r="D324" s="182">
        <v>0.39021099999999997</v>
      </c>
      <c r="E324" s="43">
        <v>0.267984</v>
      </c>
      <c r="F324" s="43">
        <v>0</v>
      </c>
      <c r="G324" s="729">
        <v>0.52926899999999999</v>
      </c>
      <c r="H324" s="750">
        <v>0.53448300000000004</v>
      </c>
      <c r="I324" s="43">
        <v>0.33272200000000002</v>
      </c>
      <c r="J324" s="43">
        <v>0.51888900000000004</v>
      </c>
      <c r="K324" s="43">
        <v>0.56999999999999995</v>
      </c>
      <c r="L324" s="729">
        <v>0</v>
      </c>
      <c r="M324" s="750">
        <v>0</v>
      </c>
      <c r="N324" s="45">
        <v>0.31327500000000003</v>
      </c>
      <c r="O324" s="43">
        <v>0.62498200000000004</v>
      </c>
      <c r="P324" s="43">
        <v>0.57999999999999996</v>
      </c>
      <c r="Q324" s="729">
        <v>0</v>
      </c>
      <c r="R324" s="750">
        <v>0</v>
      </c>
      <c r="S324" s="45">
        <v>0.247062</v>
      </c>
      <c r="T324" s="43">
        <v>0</v>
      </c>
      <c r="U324" s="43">
        <v>0</v>
      </c>
      <c r="V324" s="729">
        <v>0.99704300000000001</v>
      </c>
      <c r="W324" s="616">
        <v>0.50808900000000001</v>
      </c>
    </row>
    <row r="325" spans="2:23" x14ac:dyDescent="0.3">
      <c r="B325" s="380" t="s">
        <v>1618</v>
      </c>
      <c r="C325" s="179" t="s">
        <v>796</v>
      </c>
      <c r="D325" s="182">
        <v>0.92436799999999997</v>
      </c>
      <c r="E325" s="43">
        <v>0</v>
      </c>
      <c r="F325" s="43">
        <v>0</v>
      </c>
      <c r="G325" s="729">
        <v>0.65983700000000001</v>
      </c>
      <c r="H325" s="750">
        <v>0.74358999999999997</v>
      </c>
      <c r="I325" s="43">
        <v>0.43797700000000001</v>
      </c>
      <c r="J325" s="43">
        <v>0</v>
      </c>
      <c r="K325" s="43">
        <v>0</v>
      </c>
      <c r="L325" s="729">
        <v>0.99745099999999998</v>
      </c>
      <c r="M325" s="750">
        <v>0.24624199999999999</v>
      </c>
      <c r="N325" s="45">
        <v>0.54990399999999995</v>
      </c>
      <c r="O325" s="43">
        <v>0</v>
      </c>
      <c r="P325" s="43">
        <v>0</v>
      </c>
      <c r="Q325" s="729">
        <v>0.98956500000000003</v>
      </c>
      <c r="R325" s="750">
        <v>0.70725000000000005</v>
      </c>
      <c r="S325" s="45">
        <v>0.72545899999999996</v>
      </c>
      <c r="T325" s="43">
        <v>0</v>
      </c>
      <c r="U325" s="43">
        <v>0</v>
      </c>
      <c r="V325" s="729">
        <v>0.99492899999999995</v>
      </c>
      <c r="W325" s="616">
        <v>0.43401800000000001</v>
      </c>
    </row>
    <row r="326" spans="2:23" x14ac:dyDescent="0.3">
      <c r="B326" s="380" t="s">
        <v>1619</v>
      </c>
      <c r="C326" s="179" t="s">
        <v>797</v>
      </c>
      <c r="D326" s="182">
        <v>0.51208900000000002</v>
      </c>
      <c r="E326" s="43">
        <v>0</v>
      </c>
      <c r="F326" s="43">
        <v>0</v>
      </c>
      <c r="G326" s="729">
        <v>0.30224699999999999</v>
      </c>
      <c r="H326" s="750">
        <v>0.954955</v>
      </c>
      <c r="I326" s="43">
        <v>0.18651899999999999</v>
      </c>
      <c r="J326" s="43">
        <v>0</v>
      </c>
      <c r="K326" s="43">
        <v>0</v>
      </c>
      <c r="L326" s="729">
        <v>0.99990999999999997</v>
      </c>
      <c r="M326" s="750">
        <v>0.14202699999999999</v>
      </c>
      <c r="N326" s="45">
        <v>0.22644900000000001</v>
      </c>
      <c r="O326" s="43">
        <v>0</v>
      </c>
      <c r="P326" s="43">
        <v>0</v>
      </c>
      <c r="Q326" s="729">
        <v>0.99945099999999998</v>
      </c>
      <c r="R326" s="750">
        <v>0.92407399999999995</v>
      </c>
      <c r="S326" s="45">
        <v>0.30391800000000002</v>
      </c>
      <c r="T326" s="43">
        <v>0</v>
      </c>
      <c r="U326" s="43">
        <v>0</v>
      </c>
      <c r="V326" s="729">
        <v>0.99978</v>
      </c>
      <c r="W326" s="616">
        <v>0.547176</v>
      </c>
    </row>
    <row r="327" spans="2:23" x14ac:dyDescent="0.3">
      <c r="B327" s="380" t="s">
        <v>1620</v>
      </c>
      <c r="C327" s="179" t="s">
        <v>798</v>
      </c>
      <c r="D327" s="182">
        <v>0.62697800000000004</v>
      </c>
      <c r="E327" s="43">
        <v>0</v>
      </c>
      <c r="F327" s="43">
        <v>0</v>
      </c>
      <c r="G327" s="729">
        <v>0.33934399999999998</v>
      </c>
      <c r="H327" s="750">
        <v>0.49450499999999997</v>
      </c>
      <c r="I327" s="43">
        <v>0.29629699999999998</v>
      </c>
      <c r="J327" s="43">
        <v>0</v>
      </c>
      <c r="K327" s="43">
        <v>0</v>
      </c>
      <c r="L327" s="729">
        <v>0.99568199999999996</v>
      </c>
      <c r="M327" s="750">
        <v>3.7873999999999998E-2</v>
      </c>
      <c r="N327" s="45">
        <v>0.41811799999999999</v>
      </c>
      <c r="O327" s="43">
        <v>0</v>
      </c>
      <c r="P327" s="43">
        <v>0</v>
      </c>
      <c r="Q327" s="729">
        <v>0.995842</v>
      </c>
      <c r="R327" s="750">
        <v>0.772733</v>
      </c>
      <c r="S327" s="45">
        <v>0.50911799999999996</v>
      </c>
      <c r="T327" s="43">
        <v>0</v>
      </c>
      <c r="U327" s="43">
        <v>0</v>
      </c>
      <c r="V327" s="729">
        <v>0.99617900000000004</v>
      </c>
      <c r="W327" s="616">
        <v>0.25404900000000002</v>
      </c>
    </row>
    <row r="328" spans="2:23" x14ac:dyDescent="0.3">
      <c r="B328" s="380" t="s">
        <v>1621</v>
      </c>
      <c r="C328" s="179" t="s">
        <v>799</v>
      </c>
      <c r="D328" s="182">
        <v>0.85309900000000005</v>
      </c>
      <c r="E328" s="43">
        <v>0</v>
      </c>
      <c r="F328" s="43">
        <v>0</v>
      </c>
      <c r="G328" s="729">
        <v>0.35878300000000002</v>
      </c>
      <c r="H328" s="750">
        <v>0</v>
      </c>
      <c r="I328" s="43">
        <v>1.0405139999999999</v>
      </c>
      <c r="J328" s="43">
        <v>0</v>
      </c>
      <c r="K328" s="43">
        <v>0</v>
      </c>
      <c r="L328" s="729">
        <v>0</v>
      </c>
      <c r="M328" s="750">
        <v>0</v>
      </c>
      <c r="N328" s="45">
        <v>0.62514800000000004</v>
      </c>
      <c r="O328" s="43">
        <v>0</v>
      </c>
      <c r="P328" s="43">
        <v>0</v>
      </c>
      <c r="Q328" s="729">
        <v>0.99518600000000002</v>
      </c>
      <c r="R328" s="750">
        <v>4.4041999999999998E-2</v>
      </c>
      <c r="S328" s="45">
        <v>0.73496499999999998</v>
      </c>
      <c r="T328" s="43">
        <v>0</v>
      </c>
      <c r="U328" s="43">
        <v>0</v>
      </c>
      <c r="V328" s="729">
        <v>0.99425799999999998</v>
      </c>
      <c r="W328" s="616">
        <v>5.4140000000000004E-3</v>
      </c>
    </row>
    <row r="329" spans="2:23" x14ac:dyDescent="0.3">
      <c r="B329" s="380" t="s">
        <v>1622</v>
      </c>
      <c r="C329" s="179" t="s">
        <v>800</v>
      </c>
      <c r="D329" s="182">
        <v>0.28665499999999999</v>
      </c>
      <c r="E329" s="43">
        <v>0</v>
      </c>
      <c r="F329" s="43">
        <v>0</v>
      </c>
      <c r="G329" s="729">
        <v>0.25420399999999999</v>
      </c>
      <c r="H329" s="750">
        <v>0</v>
      </c>
      <c r="I329" s="43">
        <v>0.30040600000000001</v>
      </c>
      <c r="J329" s="43">
        <v>0</v>
      </c>
      <c r="K329" s="43">
        <v>0</v>
      </c>
      <c r="L329" s="729">
        <v>0</v>
      </c>
      <c r="M329" s="750">
        <v>0</v>
      </c>
      <c r="N329" s="45">
        <v>0.368114</v>
      </c>
      <c r="O329" s="43">
        <v>0.47189599999999998</v>
      </c>
      <c r="P329" s="43">
        <v>0.49</v>
      </c>
      <c r="Q329" s="729">
        <v>0</v>
      </c>
      <c r="R329" s="750">
        <v>0</v>
      </c>
      <c r="S329" s="45">
        <v>0.368114</v>
      </c>
      <c r="T329" s="43">
        <v>0.47189599999999998</v>
      </c>
      <c r="U329" s="43">
        <v>0.49</v>
      </c>
      <c r="V329" s="729">
        <v>0</v>
      </c>
      <c r="W329" s="616">
        <v>0</v>
      </c>
    </row>
    <row r="330" spans="2:23" x14ac:dyDescent="0.3">
      <c r="B330" s="380" t="s">
        <v>1623</v>
      </c>
      <c r="C330" s="179" t="s">
        <v>801</v>
      </c>
      <c r="D330" s="182">
        <v>0.78067600000000004</v>
      </c>
      <c r="E330" s="43">
        <v>0.87926800000000005</v>
      </c>
      <c r="F330" s="43">
        <v>1.0258E-2</v>
      </c>
      <c r="G330" s="729">
        <v>0.42871799999999999</v>
      </c>
      <c r="H330" s="750">
        <v>0.94874999999999998</v>
      </c>
      <c r="I330" s="43">
        <v>0.30069000000000001</v>
      </c>
      <c r="J330" s="43">
        <v>0</v>
      </c>
      <c r="K330" s="43">
        <v>0</v>
      </c>
      <c r="L330" s="729">
        <v>0.99284399999999995</v>
      </c>
      <c r="M330" s="750">
        <v>0.30063600000000001</v>
      </c>
      <c r="N330" s="45">
        <v>0.28378700000000001</v>
      </c>
      <c r="O330" s="43">
        <v>0</v>
      </c>
      <c r="P330" s="43">
        <v>0</v>
      </c>
      <c r="Q330" s="729">
        <v>0.99240399999999995</v>
      </c>
      <c r="R330" s="750">
        <v>0.97061799999999998</v>
      </c>
      <c r="S330" s="45">
        <v>0.43049999999999999</v>
      </c>
      <c r="T330" s="43">
        <v>0</v>
      </c>
      <c r="U330" s="43">
        <v>0</v>
      </c>
      <c r="V330" s="729">
        <v>0.99135700000000004</v>
      </c>
      <c r="W330" s="616">
        <v>0.741124</v>
      </c>
    </row>
    <row r="331" spans="2:23" x14ac:dyDescent="0.3">
      <c r="B331" s="380" t="s">
        <v>1624</v>
      </c>
      <c r="C331" s="179" t="s">
        <v>802</v>
      </c>
      <c r="D331" s="182">
        <v>1.9806950000000001</v>
      </c>
      <c r="E331" s="43">
        <v>0.55161199999999999</v>
      </c>
      <c r="F331" s="43">
        <v>7.0790000000000002E-3</v>
      </c>
      <c r="G331" s="729">
        <v>0.65979699999999997</v>
      </c>
      <c r="H331" s="750">
        <v>1</v>
      </c>
      <c r="I331" s="43">
        <v>0.726163</v>
      </c>
      <c r="J331" s="43">
        <v>0</v>
      </c>
      <c r="K331" s="43">
        <v>0</v>
      </c>
      <c r="L331" s="729">
        <v>0.99823799999999996</v>
      </c>
      <c r="M331" s="750">
        <v>0.94328999999999996</v>
      </c>
      <c r="N331" s="45">
        <v>0.59216299999999999</v>
      </c>
      <c r="O331" s="43">
        <v>0</v>
      </c>
      <c r="P331" s="43">
        <v>0</v>
      </c>
      <c r="Q331" s="729">
        <v>0.99875599999999998</v>
      </c>
      <c r="R331" s="750">
        <v>0.99836400000000003</v>
      </c>
      <c r="S331" s="45">
        <v>0.97975699999999999</v>
      </c>
      <c r="T331" s="43">
        <v>0</v>
      </c>
      <c r="U331" s="43">
        <v>0</v>
      </c>
      <c r="V331" s="729">
        <v>0.99865199999999998</v>
      </c>
      <c r="W331" s="616">
        <v>0.98078799999999999</v>
      </c>
    </row>
    <row r="332" spans="2:23" x14ac:dyDescent="0.3">
      <c r="B332" s="380" t="s">
        <v>1625</v>
      </c>
      <c r="C332" s="179" t="s">
        <v>803</v>
      </c>
      <c r="D332" s="182">
        <v>0.57657000000000003</v>
      </c>
      <c r="E332" s="43">
        <v>0.385573</v>
      </c>
      <c r="F332" s="43">
        <v>5.0679999999999996E-3</v>
      </c>
      <c r="G332" s="729">
        <v>0.54708000000000001</v>
      </c>
      <c r="H332" s="750">
        <v>0.54861099999999996</v>
      </c>
      <c r="I332" s="43">
        <v>0.24029400000000001</v>
      </c>
      <c r="J332" s="43">
        <v>0</v>
      </c>
      <c r="K332" s="43">
        <v>0</v>
      </c>
      <c r="L332" s="729">
        <v>0.99859799999999999</v>
      </c>
      <c r="M332" s="750">
        <v>0.56570600000000004</v>
      </c>
      <c r="N332" s="45">
        <v>0.21942500000000001</v>
      </c>
      <c r="O332" s="43">
        <v>0</v>
      </c>
      <c r="P332" s="43">
        <v>0</v>
      </c>
      <c r="Q332" s="729">
        <v>0.99910600000000005</v>
      </c>
      <c r="R332" s="750">
        <v>0.984344</v>
      </c>
      <c r="S332" s="45">
        <v>0.33339299999999999</v>
      </c>
      <c r="T332" s="43">
        <v>0</v>
      </c>
      <c r="U332" s="43">
        <v>0</v>
      </c>
      <c r="V332" s="729">
        <v>0.99791700000000005</v>
      </c>
      <c r="W332" s="616">
        <v>0.844638</v>
      </c>
    </row>
    <row r="333" spans="2:23" x14ac:dyDescent="0.3">
      <c r="B333" s="380" t="s">
        <v>1626</v>
      </c>
      <c r="C333" s="179" t="s">
        <v>804</v>
      </c>
      <c r="D333" s="182">
        <v>1.153964</v>
      </c>
      <c r="E333" s="43">
        <v>0</v>
      </c>
      <c r="F333" s="43">
        <v>0</v>
      </c>
      <c r="G333" s="729">
        <v>0.22387199999999999</v>
      </c>
      <c r="H333" s="750">
        <v>0.84818899999999997</v>
      </c>
      <c r="I333" s="43">
        <v>0.405997</v>
      </c>
      <c r="J333" s="43">
        <v>0</v>
      </c>
      <c r="K333" s="43">
        <v>0</v>
      </c>
      <c r="L333" s="729">
        <v>0.99902599999999997</v>
      </c>
      <c r="M333" s="750">
        <v>0.113445</v>
      </c>
      <c r="N333" s="45">
        <v>0.48855199999999999</v>
      </c>
      <c r="O333" s="43">
        <v>0</v>
      </c>
      <c r="P333" s="43">
        <v>0</v>
      </c>
      <c r="Q333" s="729">
        <v>0.997448</v>
      </c>
      <c r="R333" s="750">
        <v>0.77158499999999997</v>
      </c>
      <c r="S333" s="45">
        <v>0.66045500000000001</v>
      </c>
      <c r="T333" s="43">
        <v>0</v>
      </c>
      <c r="U333" s="43">
        <v>0</v>
      </c>
      <c r="V333" s="729">
        <v>0.99870300000000001</v>
      </c>
      <c r="W333" s="616">
        <v>0.49790400000000001</v>
      </c>
    </row>
    <row r="334" spans="2:23" x14ac:dyDescent="0.3">
      <c r="B334" s="380" t="s">
        <v>1627</v>
      </c>
      <c r="C334" s="179" t="s">
        <v>805</v>
      </c>
      <c r="D334" s="182">
        <v>1.5698209999999999</v>
      </c>
      <c r="E334" s="43">
        <v>0.51463800000000004</v>
      </c>
      <c r="F334" s="43">
        <v>1.9587E-2</v>
      </c>
      <c r="G334" s="729">
        <v>0.32425999999999999</v>
      </c>
      <c r="H334" s="750">
        <v>0.87020600000000004</v>
      </c>
      <c r="I334" s="43">
        <v>0.58988300000000005</v>
      </c>
      <c r="J334" s="43">
        <v>0</v>
      </c>
      <c r="K334" s="43">
        <v>0</v>
      </c>
      <c r="L334" s="729">
        <v>0.99478</v>
      </c>
      <c r="M334" s="750">
        <v>0.227411</v>
      </c>
      <c r="N334" s="45">
        <v>0.61287899999999995</v>
      </c>
      <c r="O334" s="43">
        <v>0</v>
      </c>
      <c r="P334" s="43">
        <v>0</v>
      </c>
      <c r="Q334" s="729">
        <v>0.98804499999999995</v>
      </c>
      <c r="R334" s="750">
        <v>0.93521399999999999</v>
      </c>
      <c r="S334" s="45">
        <v>0.81779999999999997</v>
      </c>
      <c r="T334" s="43">
        <v>0</v>
      </c>
      <c r="U334" s="43">
        <v>0</v>
      </c>
      <c r="V334" s="729">
        <v>0.99231000000000003</v>
      </c>
      <c r="W334" s="616">
        <v>0.599912</v>
      </c>
    </row>
    <row r="335" spans="2:23" x14ac:dyDescent="0.3">
      <c r="B335" s="380" t="s">
        <v>1628</v>
      </c>
      <c r="C335" s="179" t="s">
        <v>806</v>
      </c>
      <c r="D335" s="182">
        <v>0.50530900000000001</v>
      </c>
      <c r="E335" s="43">
        <v>0.45183600000000002</v>
      </c>
      <c r="F335" s="43">
        <v>0</v>
      </c>
      <c r="G335" s="729">
        <v>0.22164400000000001</v>
      </c>
      <c r="H335" s="750">
        <v>0</v>
      </c>
      <c r="I335" s="43">
        <v>0.57340500000000005</v>
      </c>
      <c r="J335" s="43">
        <v>0</v>
      </c>
      <c r="K335" s="43">
        <v>0</v>
      </c>
      <c r="L335" s="729">
        <v>0</v>
      </c>
      <c r="M335" s="750">
        <v>0</v>
      </c>
      <c r="N335" s="45">
        <v>0.38128499999999999</v>
      </c>
      <c r="O335" s="43">
        <v>0</v>
      </c>
      <c r="P335" s="43">
        <v>0</v>
      </c>
      <c r="Q335" s="729">
        <v>0.99157499999999998</v>
      </c>
      <c r="R335" s="750">
        <v>0</v>
      </c>
      <c r="S335" s="45">
        <v>0.420684</v>
      </c>
      <c r="T335" s="43">
        <v>0</v>
      </c>
      <c r="U335" s="43">
        <v>0</v>
      </c>
      <c r="V335" s="729">
        <v>0.99157499999999998</v>
      </c>
      <c r="W335" s="616">
        <v>0</v>
      </c>
    </row>
    <row r="336" spans="2:23" x14ac:dyDescent="0.3">
      <c r="B336" s="380" t="s">
        <v>1629</v>
      </c>
      <c r="C336" s="179" t="s">
        <v>807</v>
      </c>
      <c r="D336" s="182">
        <v>0.46587899999999999</v>
      </c>
      <c r="E336" s="43">
        <v>0</v>
      </c>
      <c r="F336" s="43">
        <v>0</v>
      </c>
      <c r="G336" s="729">
        <v>0.302346</v>
      </c>
      <c r="H336" s="750">
        <v>0</v>
      </c>
      <c r="I336" s="43">
        <v>0.52407099999999995</v>
      </c>
      <c r="J336" s="43">
        <v>0</v>
      </c>
      <c r="K336" s="43">
        <v>0</v>
      </c>
      <c r="L336" s="729">
        <v>0</v>
      </c>
      <c r="M336" s="750">
        <v>0</v>
      </c>
      <c r="N336" s="45">
        <v>0.32318999999999998</v>
      </c>
      <c r="O336" s="43">
        <v>0</v>
      </c>
      <c r="P336" s="43">
        <v>0</v>
      </c>
      <c r="Q336" s="729">
        <v>0.99197400000000002</v>
      </c>
      <c r="R336" s="750">
        <v>2.504E-2</v>
      </c>
      <c r="S336" s="45">
        <v>0.36668099999999998</v>
      </c>
      <c r="T336" s="43">
        <v>0</v>
      </c>
      <c r="U336" s="43">
        <v>0</v>
      </c>
      <c r="V336" s="729">
        <v>0.99199599999999999</v>
      </c>
      <c r="W336" s="616">
        <v>2.8549999999999999E-3</v>
      </c>
    </row>
    <row r="337" spans="2:23" x14ac:dyDescent="0.3">
      <c r="B337" s="380" t="s">
        <v>1630</v>
      </c>
      <c r="C337" s="179" t="s">
        <v>808</v>
      </c>
      <c r="D337" s="182">
        <v>0.37410700000000002</v>
      </c>
      <c r="E337" s="43">
        <v>0</v>
      </c>
      <c r="F337" s="43">
        <v>0</v>
      </c>
      <c r="G337" s="729">
        <v>0.196328</v>
      </c>
      <c r="H337" s="750">
        <v>0.47619</v>
      </c>
      <c r="I337" s="43">
        <v>0.21363199999999999</v>
      </c>
      <c r="J337" s="43">
        <v>1.0326850000000001</v>
      </c>
      <c r="K337" s="43">
        <v>0.54</v>
      </c>
      <c r="L337" s="729">
        <v>0</v>
      </c>
      <c r="M337" s="750">
        <v>0</v>
      </c>
      <c r="N337" s="45">
        <v>0.216556</v>
      </c>
      <c r="O337" s="43">
        <v>0</v>
      </c>
      <c r="P337" s="43">
        <v>0</v>
      </c>
      <c r="Q337" s="729">
        <v>0.99460599999999999</v>
      </c>
      <c r="R337" s="750">
        <v>0.708561</v>
      </c>
      <c r="S337" s="45">
        <v>0.247894</v>
      </c>
      <c r="T337" s="43">
        <v>0</v>
      </c>
      <c r="U337" s="43">
        <v>0</v>
      </c>
      <c r="V337" s="729">
        <v>0.99488799999999999</v>
      </c>
      <c r="W337" s="616">
        <v>0.20871999999999999</v>
      </c>
    </row>
    <row r="338" spans="2:23" x14ac:dyDescent="0.3">
      <c r="B338" s="380" t="s">
        <v>1631</v>
      </c>
      <c r="C338" s="179" t="s">
        <v>809</v>
      </c>
      <c r="D338" s="182">
        <v>0.74265599999999998</v>
      </c>
      <c r="E338" s="43">
        <v>0</v>
      </c>
      <c r="F338" s="43">
        <v>0</v>
      </c>
      <c r="G338" s="729">
        <v>0.25301699999999999</v>
      </c>
      <c r="H338" s="750">
        <v>0.28873199999999999</v>
      </c>
      <c r="I338" s="43">
        <v>0.329569</v>
      </c>
      <c r="J338" s="43">
        <v>0</v>
      </c>
      <c r="K338" s="43">
        <v>0</v>
      </c>
      <c r="L338" s="729">
        <v>0.99863000000000002</v>
      </c>
      <c r="M338" s="750">
        <v>4.4284999999999998E-2</v>
      </c>
      <c r="N338" s="45">
        <v>0.48841699999999999</v>
      </c>
      <c r="O338" s="43">
        <v>0</v>
      </c>
      <c r="P338" s="43">
        <v>0</v>
      </c>
      <c r="Q338" s="729">
        <v>0.98994700000000002</v>
      </c>
      <c r="R338" s="750">
        <v>0.81933</v>
      </c>
      <c r="S338" s="45">
        <v>0.60936299999999999</v>
      </c>
      <c r="T338" s="43">
        <v>0</v>
      </c>
      <c r="U338" s="43">
        <v>0</v>
      </c>
      <c r="V338" s="729">
        <v>0.99223899999999998</v>
      </c>
      <c r="W338" s="616">
        <v>0.30422900000000003</v>
      </c>
    </row>
    <row r="339" spans="2:23" x14ac:dyDescent="0.3">
      <c r="B339" s="380" t="s">
        <v>1632</v>
      </c>
      <c r="C339" s="179" t="s">
        <v>810</v>
      </c>
      <c r="D339" s="182">
        <v>0.37378</v>
      </c>
      <c r="E339" s="43">
        <v>0</v>
      </c>
      <c r="F339" s="43">
        <v>0</v>
      </c>
      <c r="G339" s="729">
        <v>0.60585299999999997</v>
      </c>
      <c r="H339" s="750">
        <v>0.59259300000000004</v>
      </c>
      <c r="I339" s="43">
        <v>0.12121700000000001</v>
      </c>
      <c r="J339" s="43">
        <v>0</v>
      </c>
      <c r="K339" s="43">
        <v>0</v>
      </c>
      <c r="L339" s="729">
        <v>0.99721499999999996</v>
      </c>
      <c r="M339" s="750">
        <v>0.179095</v>
      </c>
      <c r="N339" s="45">
        <v>0.149867</v>
      </c>
      <c r="O339" s="43">
        <v>0</v>
      </c>
      <c r="P339" s="43">
        <v>0</v>
      </c>
      <c r="Q339" s="729">
        <v>0.99922</v>
      </c>
      <c r="R339" s="750">
        <v>0.39227499999999998</v>
      </c>
      <c r="S339" s="45">
        <v>0.18762400000000001</v>
      </c>
      <c r="T339" s="43">
        <v>0</v>
      </c>
      <c r="U339" s="43">
        <v>0</v>
      </c>
      <c r="V339" s="729">
        <v>0.99974300000000005</v>
      </c>
      <c r="W339" s="616">
        <v>0.237287</v>
      </c>
    </row>
    <row r="340" spans="2:23" x14ac:dyDescent="0.3">
      <c r="B340" s="380" t="s">
        <v>1633</v>
      </c>
      <c r="C340" s="179" t="s">
        <v>811</v>
      </c>
      <c r="D340" s="182">
        <v>0.48291299999999998</v>
      </c>
      <c r="E340" s="43">
        <v>0.39146700000000001</v>
      </c>
      <c r="F340" s="43">
        <v>6.5389999999999997E-3</v>
      </c>
      <c r="G340" s="729">
        <v>0.23428399999999999</v>
      </c>
      <c r="H340" s="750">
        <v>0.71812100000000001</v>
      </c>
      <c r="I340" s="43">
        <v>0.37372899999999998</v>
      </c>
      <c r="J340" s="43">
        <v>0.46748400000000001</v>
      </c>
      <c r="K340" s="43">
        <v>0.53</v>
      </c>
      <c r="L340" s="729">
        <v>0</v>
      </c>
      <c r="M340" s="750">
        <v>0</v>
      </c>
      <c r="N340" s="45">
        <v>0.23743</v>
      </c>
      <c r="O340" s="43">
        <v>0</v>
      </c>
      <c r="P340" s="43">
        <v>0</v>
      </c>
      <c r="Q340" s="729">
        <v>0.97760100000000005</v>
      </c>
      <c r="R340" s="750">
        <v>0.91788599999999998</v>
      </c>
      <c r="S340" s="45">
        <v>0.32203300000000001</v>
      </c>
      <c r="T340" s="43">
        <v>0</v>
      </c>
      <c r="U340" s="43">
        <v>0</v>
      </c>
      <c r="V340" s="729">
        <v>0.98612699999999998</v>
      </c>
      <c r="W340" s="616">
        <v>0.60797400000000001</v>
      </c>
    </row>
    <row r="341" spans="2:23" x14ac:dyDescent="0.3">
      <c r="B341" s="380" t="s">
        <v>1634</v>
      </c>
      <c r="C341" s="179" t="s">
        <v>812</v>
      </c>
      <c r="D341" s="182">
        <v>1.1400440000000001</v>
      </c>
      <c r="E341" s="43">
        <v>0.837538</v>
      </c>
      <c r="F341" s="43">
        <v>0</v>
      </c>
      <c r="G341" s="729">
        <v>0.46608100000000002</v>
      </c>
      <c r="H341" s="750">
        <v>0.99475100000000005</v>
      </c>
      <c r="I341" s="43">
        <v>0.33819199999999999</v>
      </c>
      <c r="J341" s="43">
        <v>0</v>
      </c>
      <c r="K341" s="43">
        <v>0</v>
      </c>
      <c r="L341" s="729">
        <v>0.99999300000000002</v>
      </c>
      <c r="M341" s="750">
        <v>0.91982699999999995</v>
      </c>
      <c r="N341" s="45">
        <v>0.23943300000000001</v>
      </c>
      <c r="O341" s="43">
        <v>0</v>
      </c>
      <c r="P341" s="43">
        <v>0</v>
      </c>
      <c r="Q341" s="729">
        <v>0.99367899999999998</v>
      </c>
      <c r="R341" s="750">
        <v>0.99796499999999999</v>
      </c>
      <c r="S341" s="45">
        <v>0.41828500000000002</v>
      </c>
      <c r="T341" s="43">
        <v>0</v>
      </c>
      <c r="U341" s="43">
        <v>0</v>
      </c>
      <c r="V341" s="729">
        <v>0.999359</v>
      </c>
      <c r="W341" s="616">
        <v>0.98392999999999997</v>
      </c>
    </row>
    <row r="342" spans="2:23" x14ac:dyDescent="0.3">
      <c r="B342" s="380" t="s">
        <v>1635</v>
      </c>
      <c r="C342" s="179" t="s">
        <v>813</v>
      </c>
      <c r="D342" s="182">
        <v>1.0093369999999999</v>
      </c>
      <c r="E342" s="43">
        <v>0.43475900000000001</v>
      </c>
      <c r="F342" s="43">
        <v>0.01</v>
      </c>
      <c r="G342" s="729">
        <v>6.6854999999999998E-2</v>
      </c>
      <c r="H342" s="750">
        <v>0.106061</v>
      </c>
      <c r="I342" s="43">
        <v>0.45277499999999998</v>
      </c>
      <c r="J342" s="43">
        <v>0</v>
      </c>
      <c r="K342" s="43">
        <v>0</v>
      </c>
      <c r="L342" s="729">
        <v>0.99027399999999999</v>
      </c>
      <c r="M342" s="750">
        <v>1.7944000000000002E-2</v>
      </c>
      <c r="N342" s="45">
        <v>0.70836299999999996</v>
      </c>
      <c r="O342" s="43">
        <v>0</v>
      </c>
      <c r="P342" s="43">
        <v>0</v>
      </c>
      <c r="Q342" s="729">
        <v>0.98211999999999999</v>
      </c>
      <c r="R342" s="750">
        <v>0.58969499999999997</v>
      </c>
      <c r="S342" s="45">
        <v>1.0677430000000001</v>
      </c>
      <c r="T342" s="43">
        <v>0.398565</v>
      </c>
      <c r="U342" s="43">
        <v>0.48</v>
      </c>
      <c r="V342" s="729">
        <v>0.65273199999999998</v>
      </c>
      <c r="W342" s="616">
        <v>0.18854899999999999</v>
      </c>
    </row>
    <row r="343" spans="2:23" x14ac:dyDescent="0.3">
      <c r="B343" s="380" t="s">
        <v>1636</v>
      </c>
      <c r="C343" s="179" t="s">
        <v>814</v>
      </c>
      <c r="D343" s="182">
        <v>0.92564000000000002</v>
      </c>
      <c r="E343" s="43">
        <v>0</v>
      </c>
      <c r="F343" s="43">
        <v>0</v>
      </c>
      <c r="G343" s="729">
        <v>0.19456899999999999</v>
      </c>
      <c r="H343" s="750">
        <v>0.28799999999999998</v>
      </c>
      <c r="I343" s="43">
        <v>1.439303</v>
      </c>
      <c r="J343" s="43">
        <v>0</v>
      </c>
      <c r="K343" s="43">
        <v>0</v>
      </c>
      <c r="L343" s="729">
        <v>0</v>
      </c>
      <c r="M343" s="750">
        <v>0</v>
      </c>
      <c r="N343" s="45">
        <v>0.76405000000000001</v>
      </c>
      <c r="O343" s="43">
        <v>0</v>
      </c>
      <c r="P343" s="43">
        <v>0</v>
      </c>
      <c r="Q343" s="729">
        <v>0.98021999999999998</v>
      </c>
      <c r="R343" s="750">
        <v>0.26194400000000001</v>
      </c>
      <c r="S343" s="45">
        <v>0.93184199999999995</v>
      </c>
      <c r="T343" s="43">
        <v>0</v>
      </c>
      <c r="U343" s="43">
        <v>0</v>
      </c>
      <c r="V343" s="729">
        <v>0.98256200000000005</v>
      </c>
      <c r="W343" s="616">
        <v>6.8110000000000004E-2</v>
      </c>
    </row>
    <row r="344" spans="2:23" x14ac:dyDescent="0.3">
      <c r="B344" s="380" t="s">
        <v>1637</v>
      </c>
      <c r="C344" s="179" t="s">
        <v>815</v>
      </c>
      <c r="D344" s="182">
        <v>0.55288999999999999</v>
      </c>
      <c r="E344" s="43">
        <v>0</v>
      </c>
      <c r="F344" s="43">
        <v>0</v>
      </c>
      <c r="G344" s="729">
        <v>0.244447</v>
      </c>
      <c r="H344" s="750">
        <v>0</v>
      </c>
      <c r="I344" s="43">
        <v>0.629139</v>
      </c>
      <c r="J344" s="43">
        <v>0</v>
      </c>
      <c r="K344" s="43">
        <v>0</v>
      </c>
      <c r="L344" s="729">
        <v>0</v>
      </c>
      <c r="M344" s="750">
        <v>0</v>
      </c>
      <c r="N344" s="45">
        <v>0.62737200000000004</v>
      </c>
      <c r="O344" s="43">
        <v>0.42669800000000002</v>
      </c>
      <c r="P344" s="43">
        <v>0.49</v>
      </c>
      <c r="Q344" s="729">
        <v>0.54962</v>
      </c>
      <c r="R344" s="750">
        <v>0</v>
      </c>
      <c r="S344" s="45">
        <v>0.68596500000000005</v>
      </c>
      <c r="T344" s="43">
        <v>0.42669800000000002</v>
      </c>
      <c r="U344" s="43">
        <v>0.49</v>
      </c>
      <c r="V344" s="729">
        <v>0.54962</v>
      </c>
      <c r="W344" s="616">
        <v>0</v>
      </c>
    </row>
    <row r="345" spans="2:23" x14ac:dyDescent="0.3">
      <c r="B345" s="380" t="s">
        <v>1638</v>
      </c>
      <c r="C345" s="179" t="s">
        <v>816</v>
      </c>
      <c r="D345" s="182">
        <v>0.47575600000000001</v>
      </c>
      <c r="E345" s="43">
        <v>0</v>
      </c>
      <c r="F345" s="43">
        <v>0</v>
      </c>
      <c r="G345" s="729">
        <v>0.12712799999999999</v>
      </c>
      <c r="H345" s="750">
        <v>0</v>
      </c>
      <c r="I345" s="43">
        <v>0.55285700000000004</v>
      </c>
      <c r="J345" s="43">
        <v>0</v>
      </c>
      <c r="K345" s="43">
        <v>0</v>
      </c>
      <c r="L345" s="729">
        <v>0</v>
      </c>
      <c r="M345" s="750">
        <v>0</v>
      </c>
      <c r="N345" s="45">
        <v>0.40727000000000002</v>
      </c>
      <c r="O345" s="43">
        <v>0</v>
      </c>
      <c r="P345" s="43">
        <v>0</v>
      </c>
      <c r="Q345" s="729">
        <v>0.99296700000000004</v>
      </c>
      <c r="R345" s="750">
        <v>0</v>
      </c>
      <c r="S345" s="45">
        <v>0.47772799999999999</v>
      </c>
      <c r="T345" s="43">
        <v>0</v>
      </c>
      <c r="U345" s="43">
        <v>0</v>
      </c>
      <c r="V345" s="729">
        <v>0.99296700000000004</v>
      </c>
      <c r="W345" s="616">
        <v>0</v>
      </c>
    </row>
    <row r="346" spans="2:23" x14ac:dyDescent="0.3">
      <c r="B346" s="380" t="s">
        <v>1639</v>
      </c>
      <c r="C346" s="179" t="s">
        <v>817</v>
      </c>
      <c r="D346" s="182">
        <v>0.455789</v>
      </c>
      <c r="E346" s="43">
        <v>0</v>
      </c>
      <c r="F346" s="43">
        <v>0</v>
      </c>
      <c r="G346" s="729">
        <v>0.256332</v>
      </c>
      <c r="H346" s="750">
        <v>0</v>
      </c>
      <c r="I346" s="43">
        <v>0.551373</v>
      </c>
      <c r="J346" s="43">
        <v>0</v>
      </c>
      <c r="K346" s="43">
        <v>0</v>
      </c>
      <c r="L346" s="729">
        <v>0</v>
      </c>
      <c r="M346" s="750">
        <v>0</v>
      </c>
      <c r="N346" s="45">
        <v>0.37442399999999998</v>
      </c>
      <c r="O346" s="43">
        <v>0</v>
      </c>
      <c r="P346" s="43">
        <v>0</v>
      </c>
      <c r="Q346" s="729">
        <v>0.99617900000000004</v>
      </c>
      <c r="R346" s="750">
        <v>1.9657999999999998E-2</v>
      </c>
      <c r="S346" s="45">
        <v>0.44496200000000002</v>
      </c>
      <c r="T346" s="43">
        <v>0</v>
      </c>
      <c r="U346" s="43">
        <v>0</v>
      </c>
      <c r="V346" s="729">
        <v>0.99618700000000004</v>
      </c>
      <c r="W346" s="616">
        <v>2.1679999999999998E-3</v>
      </c>
    </row>
    <row r="347" spans="2:23" x14ac:dyDescent="0.3">
      <c r="B347" s="380" t="s">
        <v>1640</v>
      </c>
      <c r="C347" s="179" t="s">
        <v>818</v>
      </c>
      <c r="D347" s="182">
        <v>6.7627000000000007E-2</v>
      </c>
      <c r="E347" s="43">
        <v>0</v>
      </c>
      <c r="F347" s="43">
        <v>0</v>
      </c>
      <c r="G347" s="729">
        <v>3.5393000000000001E-2</v>
      </c>
      <c r="H347" s="750">
        <v>0</v>
      </c>
      <c r="I347" s="43">
        <v>6.2754000000000004E-2</v>
      </c>
      <c r="J347" s="43">
        <v>0</v>
      </c>
      <c r="K347" s="43">
        <v>0</v>
      </c>
      <c r="L347" s="729">
        <v>0</v>
      </c>
      <c r="M347" s="750">
        <v>0</v>
      </c>
      <c r="N347" s="45">
        <v>8.7985999999999995E-2</v>
      </c>
      <c r="O347" s="43">
        <v>0.46854600000000002</v>
      </c>
      <c r="P347" s="43">
        <v>0.5</v>
      </c>
      <c r="Q347" s="729">
        <v>0</v>
      </c>
      <c r="R347" s="750">
        <v>0</v>
      </c>
      <c r="S347" s="45">
        <v>8.7985999999999995E-2</v>
      </c>
      <c r="T347" s="43">
        <v>0.46854600000000002</v>
      </c>
      <c r="U347" s="43">
        <v>0.5</v>
      </c>
      <c r="V347" s="729">
        <v>0</v>
      </c>
      <c r="W347" s="616">
        <v>0</v>
      </c>
    </row>
    <row r="348" spans="2:23" x14ac:dyDescent="0.3">
      <c r="B348" s="380" t="s">
        <v>1641</v>
      </c>
      <c r="C348" s="179" t="s">
        <v>819</v>
      </c>
      <c r="D348" s="182">
        <v>1.1353850000000001</v>
      </c>
      <c r="E348" s="43">
        <v>0</v>
      </c>
      <c r="F348" s="43">
        <v>0</v>
      </c>
      <c r="G348" s="729">
        <v>1.3708E-2</v>
      </c>
      <c r="H348" s="750">
        <v>0</v>
      </c>
      <c r="I348" s="43">
        <v>0.96498099999999998</v>
      </c>
      <c r="J348" s="43">
        <v>0</v>
      </c>
      <c r="K348" s="43">
        <v>0</v>
      </c>
      <c r="L348" s="729">
        <v>0.27564100000000002</v>
      </c>
      <c r="M348" s="750">
        <v>0</v>
      </c>
      <c r="N348" s="45">
        <v>0.55027300000000001</v>
      </c>
      <c r="O348" s="43">
        <v>0.47527999999999998</v>
      </c>
      <c r="P348" s="43">
        <v>0.59</v>
      </c>
      <c r="Q348" s="729">
        <v>0.399698</v>
      </c>
      <c r="R348" s="750">
        <v>0</v>
      </c>
      <c r="S348" s="45">
        <v>0.593024</v>
      </c>
      <c r="T348" s="43">
        <v>0.47527999999999998</v>
      </c>
      <c r="U348" s="43">
        <v>0.59</v>
      </c>
      <c r="V348" s="729">
        <v>0.399698</v>
      </c>
      <c r="W348" s="616">
        <v>0</v>
      </c>
    </row>
    <row r="349" spans="2:23" x14ac:dyDescent="0.3">
      <c r="B349" s="380" t="s">
        <v>1642</v>
      </c>
      <c r="C349" s="179" t="s">
        <v>820</v>
      </c>
      <c r="D349" s="182">
        <v>0.62550300000000003</v>
      </c>
      <c r="E349" s="43">
        <v>0</v>
      </c>
      <c r="F349" s="43">
        <v>0</v>
      </c>
      <c r="G349" s="729">
        <v>0.23006299999999999</v>
      </c>
      <c r="H349" s="750">
        <v>0</v>
      </c>
      <c r="I349" s="43">
        <v>0.673072</v>
      </c>
      <c r="J349" s="43">
        <v>0</v>
      </c>
      <c r="K349" s="43">
        <v>0</v>
      </c>
      <c r="L349" s="729">
        <v>0</v>
      </c>
      <c r="M349" s="750">
        <v>0</v>
      </c>
      <c r="N349" s="45">
        <v>0.66342900000000005</v>
      </c>
      <c r="O349" s="43">
        <v>0.43190000000000001</v>
      </c>
      <c r="P349" s="43">
        <v>0.543771</v>
      </c>
      <c r="Q349" s="729">
        <v>0</v>
      </c>
      <c r="R349" s="750">
        <v>0</v>
      </c>
      <c r="S349" s="45">
        <v>0.66342900000000005</v>
      </c>
      <c r="T349" s="43">
        <v>0.43190000000000001</v>
      </c>
      <c r="U349" s="43">
        <v>0.543771</v>
      </c>
      <c r="V349" s="729">
        <v>0</v>
      </c>
      <c r="W349" s="616">
        <v>0</v>
      </c>
    </row>
    <row r="350" spans="2:23" x14ac:dyDescent="0.3">
      <c r="B350" s="380" t="s">
        <v>1643</v>
      </c>
      <c r="C350" s="179" t="s">
        <v>821</v>
      </c>
      <c r="D350" s="182">
        <v>0.90327900000000005</v>
      </c>
      <c r="E350" s="43">
        <v>0</v>
      </c>
      <c r="F350" s="43">
        <v>0</v>
      </c>
      <c r="G350" s="729">
        <v>0.117992</v>
      </c>
      <c r="H350" s="750">
        <v>0</v>
      </c>
      <c r="I350" s="43">
        <v>1.0575349999999999</v>
      </c>
      <c r="J350" s="43">
        <v>0</v>
      </c>
      <c r="K350" s="43">
        <v>0</v>
      </c>
      <c r="L350" s="729">
        <v>0</v>
      </c>
      <c r="M350" s="750">
        <v>0</v>
      </c>
      <c r="N350" s="45">
        <v>0.69271000000000005</v>
      </c>
      <c r="O350" s="43">
        <v>0</v>
      </c>
      <c r="P350" s="43">
        <v>0</v>
      </c>
      <c r="Q350" s="729">
        <v>0.984352</v>
      </c>
      <c r="R350" s="750">
        <v>0</v>
      </c>
      <c r="S350" s="45">
        <v>0.82219900000000001</v>
      </c>
      <c r="T350" s="43">
        <v>0</v>
      </c>
      <c r="U350" s="43">
        <v>0</v>
      </c>
      <c r="V350" s="729">
        <v>0.984352</v>
      </c>
      <c r="W350" s="616">
        <v>0</v>
      </c>
    </row>
    <row r="351" spans="2:23" x14ac:dyDescent="0.3">
      <c r="B351" s="380" t="s">
        <v>1644</v>
      </c>
      <c r="C351" s="179" t="s">
        <v>822</v>
      </c>
      <c r="D351" s="182">
        <v>1.284465</v>
      </c>
      <c r="E351" s="43">
        <v>0</v>
      </c>
      <c r="F351" s="43">
        <v>0</v>
      </c>
      <c r="G351" s="729">
        <v>0.120088</v>
      </c>
      <c r="H351" s="750">
        <v>0</v>
      </c>
      <c r="I351" s="43">
        <v>1.3862410000000001</v>
      </c>
      <c r="J351" s="43">
        <v>0</v>
      </c>
      <c r="K351" s="43">
        <v>0</v>
      </c>
      <c r="L351" s="729">
        <v>0</v>
      </c>
      <c r="M351" s="750">
        <v>0</v>
      </c>
      <c r="N351" s="45">
        <v>0.898312</v>
      </c>
      <c r="O351" s="43">
        <v>0.48564800000000002</v>
      </c>
      <c r="P351" s="43">
        <v>0.62</v>
      </c>
      <c r="Q351" s="729">
        <v>0.46614800000000001</v>
      </c>
      <c r="R351" s="750">
        <v>0</v>
      </c>
      <c r="S351" s="45">
        <v>0.97285299999999997</v>
      </c>
      <c r="T351" s="43">
        <v>0.48564800000000002</v>
      </c>
      <c r="U351" s="43">
        <v>0.62</v>
      </c>
      <c r="V351" s="729">
        <v>0.46614800000000001</v>
      </c>
      <c r="W351" s="616">
        <v>0</v>
      </c>
    </row>
    <row r="352" spans="2:23" x14ac:dyDescent="0.3">
      <c r="B352" s="380" t="s">
        <v>1645</v>
      </c>
      <c r="C352" s="179" t="s">
        <v>823</v>
      </c>
      <c r="D352" s="182">
        <v>0.61112200000000005</v>
      </c>
      <c r="E352" s="43">
        <v>0.19154299999999999</v>
      </c>
      <c r="F352" s="43">
        <v>0</v>
      </c>
      <c r="G352" s="729">
        <v>0.14439099999999999</v>
      </c>
      <c r="H352" s="750">
        <v>0</v>
      </c>
      <c r="I352" s="43">
        <v>0.28923500000000002</v>
      </c>
      <c r="J352" s="43">
        <v>0</v>
      </c>
      <c r="K352" s="43">
        <v>0</v>
      </c>
      <c r="L352" s="729">
        <v>0.89263999999999999</v>
      </c>
      <c r="M352" s="750">
        <v>0</v>
      </c>
      <c r="N352" s="45">
        <v>0.372525</v>
      </c>
      <c r="O352" s="43">
        <v>0</v>
      </c>
      <c r="P352" s="43">
        <v>0</v>
      </c>
      <c r="Q352" s="729">
        <v>0.991892</v>
      </c>
      <c r="R352" s="750">
        <v>0</v>
      </c>
      <c r="S352" s="45">
        <v>0.45295600000000003</v>
      </c>
      <c r="T352" s="43">
        <v>0</v>
      </c>
      <c r="U352" s="43">
        <v>0</v>
      </c>
      <c r="V352" s="729">
        <v>0.991892</v>
      </c>
      <c r="W352" s="616">
        <v>0</v>
      </c>
    </row>
    <row r="353" spans="2:23" x14ac:dyDescent="0.3">
      <c r="B353" s="380" t="s">
        <v>1646</v>
      </c>
      <c r="C353" s="179" t="s">
        <v>824</v>
      </c>
      <c r="D353" s="182">
        <v>0.93306999999999995</v>
      </c>
      <c r="E353" s="43">
        <v>0</v>
      </c>
      <c r="F353" s="43">
        <v>0</v>
      </c>
      <c r="G353" s="729">
        <v>0.37324299999999999</v>
      </c>
      <c r="H353" s="750">
        <v>0</v>
      </c>
      <c r="I353" s="43">
        <v>1.2788889999999999</v>
      </c>
      <c r="J353" s="43">
        <v>0</v>
      </c>
      <c r="K353" s="43">
        <v>0</v>
      </c>
      <c r="L353" s="729">
        <v>0</v>
      </c>
      <c r="M353" s="750">
        <v>0</v>
      </c>
      <c r="N353" s="45">
        <v>0.58245599999999997</v>
      </c>
      <c r="O353" s="43">
        <v>0</v>
      </c>
      <c r="P353" s="43">
        <v>0</v>
      </c>
      <c r="Q353" s="729">
        <v>0.997224</v>
      </c>
      <c r="R353" s="750">
        <v>0</v>
      </c>
      <c r="S353" s="45">
        <v>0.70392900000000003</v>
      </c>
      <c r="T353" s="43">
        <v>0</v>
      </c>
      <c r="U353" s="43">
        <v>0</v>
      </c>
      <c r="V353" s="729">
        <v>0.997224</v>
      </c>
      <c r="W353" s="616">
        <v>0</v>
      </c>
    </row>
    <row r="354" spans="2:23" x14ac:dyDescent="0.3">
      <c r="B354" s="380" t="s">
        <v>1647</v>
      </c>
      <c r="C354" s="179" t="s">
        <v>825</v>
      </c>
      <c r="D354" s="182">
        <v>1.2752950000000001</v>
      </c>
      <c r="E354" s="43">
        <v>0.470694</v>
      </c>
      <c r="F354" s="43">
        <v>0</v>
      </c>
      <c r="G354" s="729">
        <v>0.42431799999999997</v>
      </c>
      <c r="H354" s="750">
        <v>0.121019</v>
      </c>
      <c r="I354" s="43">
        <v>0.32141399999999998</v>
      </c>
      <c r="J354" s="43">
        <v>0</v>
      </c>
      <c r="K354" s="43">
        <v>0</v>
      </c>
      <c r="L354" s="729">
        <v>0.99512400000000001</v>
      </c>
      <c r="M354" s="750">
        <v>3.1099999999999999E-3</v>
      </c>
      <c r="N354" s="45">
        <v>0.73997800000000002</v>
      </c>
      <c r="O354" s="43">
        <v>0.39241700000000002</v>
      </c>
      <c r="P354" s="43">
        <v>0.56999999999999995</v>
      </c>
      <c r="Q354" s="729">
        <v>0.65967299999999995</v>
      </c>
      <c r="R354" s="750">
        <v>0</v>
      </c>
      <c r="S354" s="45">
        <v>0.85570000000000002</v>
      </c>
      <c r="T354" s="43">
        <v>0.36286299999999999</v>
      </c>
      <c r="U354" s="43">
        <v>0.56000000000000005</v>
      </c>
      <c r="V354" s="729">
        <v>0.62898500000000002</v>
      </c>
      <c r="W354" s="616">
        <v>0</v>
      </c>
    </row>
    <row r="355" spans="2:23" x14ac:dyDescent="0.3">
      <c r="B355" s="380" t="s">
        <v>1648</v>
      </c>
      <c r="C355" s="179" t="s">
        <v>826</v>
      </c>
      <c r="D355" s="182">
        <v>0.93444799999999995</v>
      </c>
      <c r="E355" s="43">
        <v>0.30860700000000002</v>
      </c>
      <c r="F355" s="43">
        <v>0</v>
      </c>
      <c r="G355" s="729">
        <v>0.27424599999999999</v>
      </c>
      <c r="H355" s="750">
        <v>0.101449</v>
      </c>
      <c r="I355" s="43">
        <v>1.2417279999999999</v>
      </c>
      <c r="J355" s="43">
        <v>0</v>
      </c>
      <c r="K355" s="43">
        <v>0</v>
      </c>
      <c r="L355" s="729">
        <v>0</v>
      </c>
      <c r="M355" s="750">
        <v>0</v>
      </c>
      <c r="N355" s="45">
        <v>0.66537100000000005</v>
      </c>
      <c r="O355" s="43">
        <v>0</v>
      </c>
      <c r="P355" s="43">
        <v>0</v>
      </c>
      <c r="Q355" s="729">
        <v>0.99382000000000004</v>
      </c>
      <c r="R355" s="750">
        <v>0.23263900000000001</v>
      </c>
      <c r="S355" s="45">
        <v>0.78641000000000005</v>
      </c>
      <c r="T355" s="43">
        <v>0</v>
      </c>
      <c r="U355" s="43">
        <v>0</v>
      </c>
      <c r="V355" s="729">
        <v>0.992753</v>
      </c>
      <c r="W355" s="616">
        <v>3.6246E-2</v>
      </c>
    </row>
    <row r="356" spans="2:23" x14ac:dyDescent="0.3">
      <c r="B356" s="380" t="s">
        <v>1649</v>
      </c>
      <c r="C356" s="179" t="s">
        <v>827</v>
      </c>
      <c r="D356" s="182">
        <v>2.2088939999999999</v>
      </c>
      <c r="E356" s="43">
        <v>0.51278500000000005</v>
      </c>
      <c r="F356" s="43">
        <v>8.6261000000000004E-2</v>
      </c>
      <c r="G356" s="729">
        <v>0.15062900000000001</v>
      </c>
      <c r="H356" s="750">
        <v>2.0767999999999998E-2</v>
      </c>
      <c r="I356" s="43">
        <v>0.67053300000000005</v>
      </c>
      <c r="J356" s="43">
        <v>0</v>
      </c>
      <c r="K356" s="43">
        <v>0</v>
      </c>
      <c r="L356" s="729">
        <v>0.997027</v>
      </c>
      <c r="M356" s="750">
        <v>8.1411999999999998E-2</v>
      </c>
      <c r="N356" s="45">
        <v>0.91587700000000005</v>
      </c>
      <c r="O356" s="43">
        <v>0</v>
      </c>
      <c r="P356" s="43">
        <v>0</v>
      </c>
      <c r="Q356" s="729">
        <v>0.98855800000000005</v>
      </c>
      <c r="R356" s="750">
        <v>0.69733400000000001</v>
      </c>
      <c r="S356" s="45">
        <v>1.206996</v>
      </c>
      <c r="T356" s="43">
        <v>0</v>
      </c>
      <c r="U356" s="43">
        <v>0</v>
      </c>
      <c r="V356" s="729">
        <v>0.99267000000000005</v>
      </c>
      <c r="W356" s="616">
        <v>0.36073499999999997</v>
      </c>
    </row>
    <row r="357" spans="2:23" x14ac:dyDescent="0.3">
      <c r="B357" s="380" t="s">
        <v>1650</v>
      </c>
      <c r="C357" s="179" t="s">
        <v>828</v>
      </c>
      <c r="D357" s="182">
        <v>0.37664599999999998</v>
      </c>
      <c r="E357" s="43">
        <v>0</v>
      </c>
      <c r="F357" s="43">
        <v>0</v>
      </c>
      <c r="G357" s="729">
        <v>0.12123100000000001</v>
      </c>
      <c r="H357" s="750">
        <v>0</v>
      </c>
      <c r="I357" s="43">
        <v>0.38308300000000001</v>
      </c>
      <c r="J357" s="43">
        <v>0</v>
      </c>
      <c r="K357" s="43">
        <v>0</v>
      </c>
      <c r="L357" s="729">
        <v>0</v>
      </c>
      <c r="M357" s="750">
        <v>0</v>
      </c>
      <c r="N357" s="45">
        <v>0.40341900000000003</v>
      </c>
      <c r="O357" s="43">
        <v>0.48322999999999999</v>
      </c>
      <c r="P357" s="43">
        <v>0.53</v>
      </c>
      <c r="Q357" s="729">
        <v>0</v>
      </c>
      <c r="R357" s="750">
        <v>0</v>
      </c>
      <c r="S357" s="45">
        <v>0.40341900000000003</v>
      </c>
      <c r="T357" s="43">
        <v>0.48322999999999999</v>
      </c>
      <c r="U357" s="43">
        <v>0.53</v>
      </c>
      <c r="V357" s="729">
        <v>0</v>
      </c>
      <c r="W357" s="616">
        <v>0</v>
      </c>
    </row>
    <row r="358" spans="2:23" x14ac:dyDescent="0.3">
      <c r="B358" s="380" t="s">
        <v>1651</v>
      </c>
      <c r="C358" s="179" t="s">
        <v>829</v>
      </c>
      <c r="D358" s="182">
        <v>0.34783199999999997</v>
      </c>
      <c r="E358" s="43">
        <v>0</v>
      </c>
      <c r="F358" s="43">
        <v>0</v>
      </c>
      <c r="G358" s="729">
        <v>0.65752299999999997</v>
      </c>
      <c r="H358" s="750">
        <v>0</v>
      </c>
      <c r="I358" s="43">
        <v>0.49154500000000001</v>
      </c>
      <c r="J358" s="43">
        <v>0</v>
      </c>
      <c r="K358" s="43">
        <v>0</v>
      </c>
      <c r="L358" s="729">
        <v>0</v>
      </c>
      <c r="M358" s="750">
        <v>0</v>
      </c>
      <c r="N358" s="45">
        <v>0.458754</v>
      </c>
      <c r="O358" s="43">
        <v>0.47974499999999998</v>
      </c>
      <c r="P358" s="43">
        <v>0.54</v>
      </c>
      <c r="Q358" s="729">
        <v>0</v>
      </c>
      <c r="R358" s="750">
        <v>0</v>
      </c>
      <c r="S358" s="45">
        <v>0.458754</v>
      </c>
      <c r="T358" s="43">
        <v>0.47974499999999998</v>
      </c>
      <c r="U358" s="43">
        <v>0.54</v>
      </c>
      <c r="V358" s="729">
        <v>0</v>
      </c>
      <c r="W358" s="616">
        <v>0</v>
      </c>
    </row>
    <row r="359" spans="2:23" x14ac:dyDescent="0.3">
      <c r="B359" s="380" t="s">
        <v>1652</v>
      </c>
      <c r="C359" s="179" t="s">
        <v>830</v>
      </c>
      <c r="D359" s="182">
        <v>0.308805</v>
      </c>
      <c r="E359" s="43">
        <v>0</v>
      </c>
      <c r="F359" s="43">
        <v>0</v>
      </c>
      <c r="G359" s="729">
        <v>0.15141099999999999</v>
      </c>
      <c r="H359" s="750">
        <v>0</v>
      </c>
      <c r="I359" s="43">
        <v>0.30535400000000001</v>
      </c>
      <c r="J359" s="43">
        <v>0</v>
      </c>
      <c r="K359" s="43">
        <v>0</v>
      </c>
      <c r="L359" s="729">
        <v>0</v>
      </c>
      <c r="M359" s="750">
        <v>0</v>
      </c>
      <c r="N359" s="45">
        <v>0.43629600000000002</v>
      </c>
      <c r="O359" s="43">
        <v>0.56274900000000005</v>
      </c>
      <c r="P359" s="43">
        <v>0.48</v>
      </c>
      <c r="Q359" s="729">
        <v>0</v>
      </c>
      <c r="R359" s="750">
        <v>0</v>
      </c>
      <c r="S359" s="45">
        <v>0.43629600000000002</v>
      </c>
      <c r="T359" s="43">
        <v>0.56274900000000005</v>
      </c>
      <c r="U359" s="43">
        <v>0.48</v>
      </c>
      <c r="V359" s="729">
        <v>0</v>
      </c>
      <c r="W359" s="616">
        <v>0</v>
      </c>
    </row>
    <row r="360" spans="2:23" x14ac:dyDescent="0.3">
      <c r="B360" s="380" t="s">
        <v>1653</v>
      </c>
      <c r="C360" s="179" t="s">
        <v>831</v>
      </c>
      <c r="D360" s="182">
        <v>0.10283</v>
      </c>
      <c r="E360" s="43">
        <v>0</v>
      </c>
      <c r="F360" s="43">
        <v>0</v>
      </c>
      <c r="G360" s="729">
        <v>0.47176299999999999</v>
      </c>
      <c r="H360" s="750">
        <v>0</v>
      </c>
      <c r="I360" s="43">
        <v>0.115083</v>
      </c>
      <c r="J360" s="43">
        <v>0</v>
      </c>
      <c r="K360" s="43">
        <v>0</v>
      </c>
      <c r="L360" s="729">
        <v>0</v>
      </c>
      <c r="M360" s="750">
        <v>0</v>
      </c>
      <c r="N360" s="45">
        <v>0.168131</v>
      </c>
      <c r="O360" s="43">
        <v>0.53567399999999998</v>
      </c>
      <c r="P360" s="43">
        <v>0.5</v>
      </c>
      <c r="Q360" s="729">
        <v>0</v>
      </c>
      <c r="R360" s="750">
        <v>0</v>
      </c>
      <c r="S360" s="45">
        <v>0.168131</v>
      </c>
      <c r="T360" s="43">
        <v>0.53567399999999998</v>
      </c>
      <c r="U360" s="43">
        <v>0.5</v>
      </c>
      <c r="V360" s="729">
        <v>0</v>
      </c>
      <c r="W360" s="616">
        <v>0</v>
      </c>
    </row>
    <row r="361" spans="2:23" x14ac:dyDescent="0.3">
      <c r="B361" s="380" t="s">
        <v>1654</v>
      </c>
      <c r="C361" s="179" t="s">
        <v>832</v>
      </c>
      <c r="D361" s="182">
        <v>0.139208</v>
      </c>
      <c r="E361" s="43">
        <v>0</v>
      </c>
      <c r="F361" s="43">
        <v>0</v>
      </c>
      <c r="G361" s="729">
        <v>0.11930200000000001</v>
      </c>
      <c r="H361" s="750">
        <v>0</v>
      </c>
      <c r="I361" s="43">
        <v>0.140568</v>
      </c>
      <c r="J361" s="43">
        <v>0</v>
      </c>
      <c r="K361" s="43">
        <v>0</v>
      </c>
      <c r="L361" s="729">
        <v>0</v>
      </c>
      <c r="M361" s="750">
        <v>0</v>
      </c>
      <c r="N361" s="45">
        <v>0.19853599999999999</v>
      </c>
      <c r="O361" s="43">
        <v>0.58528899999999995</v>
      </c>
      <c r="P361" s="43">
        <v>0.5</v>
      </c>
      <c r="Q361" s="729">
        <v>0</v>
      </c>
      <c r="R361" s="750">
        <v>0</v>
      </c>
      <c r="S361" s="45">
        <v>0.19853599999999999</v>
      </c>
      <c r="T361" s="43">
        <v>0.58528899999999995</v>
      </c>
      <c r="U361" s="43">
        <v>0.5</v>
      </c>
      <c r="V361" s="729">
        <v>0</v>
      </c>
      <c r="W361" s="616">
        <v>0</v>
      </c>
    </row>
    <row r="362" spans="2:23" x14ac:dyDescent="0.3">
      <c r="B362" s="380" t="s">
        <v>1655</v>
      </c>
      <c r="C362" s="179" t="s">
        <v>833</v>
      </c>
      <c r="D362" s="182">
        <v>0.39757599999999998</v>
      </c>
      <c r="E362" s="43">
        <v>0</v>
      </c>
      <c r="F362" s="43">
        <v>0</v>
      </c>
      <c r="G362" s="729">
        <v>0.28257500000000002</v>
      </c>
      <c r="H362" s="750">
        <v>0</v>
      </c>
      <c r="I362" s="43">
        <v>0.44361099999999998</v>
      </c>
      <c r="J362" s="43">
        <v>0</v>
      </c>
      <c r="K362" s="43">
        <v>0</v>
      </c>
      <c r="L362" s="729">
        <v>0</v>
      </c>
      <c r="M362" s="750">
        <v>0</v>
      </c>
      <c r="N362" s="45">
        <v>0.48966999999999999</v>
      </c>
      <c r="O362" s="43">
        <v>0.54075799999999996</v>
      </c>
      <c r="P362" s="43">
        <v>0.52</v>
      </c>
      <c r="Q362" s="729">
        <v>0</v>
      </c>
      <c r="R362" s="750">
        <v>0</v>
      </c>
      <c r="S362" s="45">
        <v>0.48966999999999999</v>
      </c>
      <c r="T362" s="43">
        <v>0.54075799999999996</v>
      </c>
      <c r="U362" s="43">
        <v>0.52</v>
      </c>
      <c r="V362" s="729">
        <v>0</v>
      </c>
      <c r="W362" s="616">
        <v>0</v>
      </c>
    </row>
    <row r="363" spans="2:23" x14ac:dyDescent="0.3">
      <c r="B363" s="380" t="s">
        <v>1656</v>
      </c>
      <c r="C363" s="179" t="s">
        <v>834</v>
      </c>
      <c r="D363" s="182">
        <v>0.26736700000000002</v>
      </c>
      <c r="E363" s="43">
        <v>0</v>
      </c>
      <c r="F363" s="43">
        <v>0</v>
      </c>
      <c r="G363" s="729">
        <v>0.50097400000000003</v>
      </c>
      <c r="H363" s="750">
        <v>0</v>
      </c>
      <c r="I363" s="43">
        <v>0.30340099999999998</v>
      </c>
      <c r="J363" s="43">
        <v>0</v>
      </c>
      <c r="K363" s="43">
        <v>0</v>
      </c>
      <c r="L363" s="729">
        <v>0</v>
      </c>
      <c r="M363" s="750">
        <v>0</v>
      </c>
      <c r="N363" s="45">
        <v>0.46165600000000001</v>
      </c>
      <c r="O363" s="43">
        <v>0.531864</v>
      </c>
      <c r="P363" s="43">
        <v>0.48</v>
      </c>
      <c r="Q363" s="729">
        <v>0</v>
      </c>
      <c r="R363" s="750">
        <v>0</v>
      </c>
      <c r="S363" s="45">
        <v>0.46165600000000001</v>
      </c>
      <c r="T363" s="43">
        <v>0.531864</v>
      </c>
      <c r="U363" s="43">
        <v>0.48</v>
      </c>
      <c r="V363" s="729">
        <v>0</v>
      </c>
      <c r="W363" s="616">
        <v>0</v>
      </c>
    </row>
    <row r="364" spans="2:23" x14ac:dyDescent="0.3">
      <c r="B364" s="380" t="s">
        <v>1657</v>
      </c>
      <c r="C364" s="179" t="s">
        <v>835</v>
      </c>
      <c r="D364" s="182">
        <v>0.34646199999999999</v>
      </c>
      <c r="E364" s="43">
        <v>0</v>
      </c>
      <c r="F364" s="43">
        <v>0</v>
      </c>
      <c r="G364" s="729">
        <v>0.30463000000000001</v>
      </c>
      <c r="H364" s="750">
        <v>0</v>
      </c>
      <c r="I364" s="43">
        <v>0.39030799999999999</v>
      </c>
      <c r="J364" s="43">
        <v>0</v>
      </c>
      <c r="K364" s="43">
        <v>0</v>
      </c>
      <c r="L364" s="729">
        <v>0</v>
      </c>
      <c r="M364" s="750">
        <v>0</v>
      </c>
      <c r="N364" s="45">
        <v>0.45910099999999998</v>
      </c>
      <c r="O364" s="43">
        <v>0.49662699999999999</v>
      </c>
      <c r="P364" s="43">
        <v>0.51</v>
      </c>
      <c r="Q364" s="729">
        <v>0</v>
      </c>
      <c r="R364" s="750">
        <v>0</v>
      </c>
      <c r="S364" s="45">
        <v>0.45910099999999998</v>
      </c>
      <c r="T364" s="43">
        <v>0.49662699999999999</v>
      </c>
      <c r="U364" s="43">
        <v>0.51</v>
      </c>
      <c r="V364" s="729">
        <v>0</v>
      </c>
      <c r="W364" s="616">
        <v>0</v>
      </c>
    </row>
    <row r="365" spans="2:23" x14ac:dyDescent="0.3">
      <c r="B365" s="380" t="s">
        <v>1658</v>
      </c>
      <c r="C365" s="179" t="s">
        <v>836</v>
      </c>
      <c r="D365" s="182">
        <v>0.12792400000000001</v>
      </c>
      <c r="E365" s="43">
        <v>0</v>
      </c>
      <c r="F365" s="43">
        <v>0</v>
      </c>
      <c r="G365" s="729">
        <v>0.37225799999999998</v>
      </c>
      <c r="H365" s="750">
        <v>0</v>
      </c>
      <c r="I365" s="43">
        <v>0.13753499999999999</v>
      </c>
      <c r="J365" s="43">
        <v>0</v>
      </c>
      <c r="K365" s="43">
        <v>0</v>
      </c>
      <c r="L365" s="729">
        <v>0</v>
      </c>
      <c r="M365" s="750">
        <v>0</v>
      </c>
      <c r="N365" s="45">
        <v>0.19159200000000001</v>
      </c>
      <c r="O365" s="43">
        <v>0.57453200000000004</v>
      </c>
      <c r="P365" s="43">
        <v>0.5</v>
      </c>
      <c r="Q365" s="729">
        <v>0</v>
      </c>
      <c r="R365" s="750">
        <v>0</v>
      </c>
      <c r="S365" s="45">
        <v>0.19203700000000001</v>
      </c>
      <c r="T365" s="43">
        <v>0.57204999999999995</v>
      </c>
      <c r="U365" s="43">
        <v>0.5</v>
      </c>
      <c r="V365" s="729">
        <v>0</v>
      </c>
      <c r="W365" s="616">
        <v>0</v>
      </c>
    </row>
    <row r="366" spans="2:23" x14ac:dyDescent="0.3">
      <c r="B366" s="380" t="s">
        <v>1659</v>
      </c>
      <c r="C366" s="179" t="s">
        <v>837</v>
      </c>
      <c r="D366" s="182">
        <v>0.244391</v>
      </c>
      <c r="E366" s="43">
        <v>0</v>
      </c>
      <c r="F366" s="43">
        <v>0</v>
      </c>
      <c r="G366" s="729">
        <v>0.50340099999999999</v>
      </c>
      <c r="H366" s="750">
        <v>0</v>
      </c>
      <c r="I366" s="43">
        <v>0.29080699999999998</v>
      </c>
      <c r="J366" s="43">
        <v>0</v>
      </c>
      <c r="K366" s="43">
        <v>0</v>
      </c>
      <c r="L366" s="729">
        <v>0</v>
      </c>
      <c r="M366" s="750">
        <v>0</v>
      </c>
      <c r="N366" s="45">
        <v>0.34709899999999999</v>
      </c>
      <c r="O366" s="43">
        <v>0.54630000000000001</v>
      </c>
      <c r="P366" s="43">
        <v>0.5</v>
      </c>
      <c r="Q366" s="729">
        <v>0</v>
      </c>
      <c r="R366" s="750">
        <v>0</v>
      </c>
      <c r="S366" s="45">
        <v>0.34709899999999999</v>
      </c>
      <c r="T366" s="43">
        <v>0.54630000000000001</v>
      </c>
      <c r="U366" s="43">
        <v>0.5</v>
      </c>
      <c r="V366" s="729">
        <v>0</v>
      </c>
      <c r="W366" s="616">
        <v>0</v>
      </c>
    </row>
    <row r="367" spans="2:23" x14ac:dyDescent="0.3">
      <c r="B367" s="380" t="s">
        <v>1660</v>
      </c>
      <c r="C367" s="179" t="s">
        <v>838</v>
      </c>
      <c r="D367" s="182">
        <v>0.41572399999999998</v>
      </c>
      <c r="E367" s="43">
        <v>0</v>
      </c>
      <c r="F367" s="43">
        <v>0</v>
      </c>
      <c r="G367" s="729">
        <v>0.30582399999999998</v>
      </c>
      <c r="H367" s="750">
        <v>0</v>
      </c>
      <c r="I367" s="43">
        <v>0.48776999999999998</v>
      </c>
      <c r="J367" s="43">
        <v>0</v>
      </c>
      <c r="K367" s="43">
        <v>0</v>
      </c>
      <c r="L367" s="729">
        <v>0</v>
      </c>
      <c r="M367" s="750">
        <v>0</v>
      </c>
      <c r="N367" s="45">
        <v>0.39970299999999997</v>
      </c>
      <c r="O367" s="43">
        <v>0.47876200000000002</v>
      </c>
      <c r="P367" s="43">
        <v>0.55000000000000004</v>
      </c>
      <c r="Q367" s="729">
        <v>0</v>
      </c>
      <c r="R367" s="750">
        <v>0</v>
      </c>
      <c r="S367" s="45">
        <v>0.39970299999999997</v>
      </c>
      <c r="T367" s="43">
        <v>0.47876200000000002</v>
      </c>
      <c r="U367" s="43">
        <v>0.55000000000000004</v>
      </c>
      <c r="V367" s="729">
        <v>0</v>
      </c>
      <c r="W367" s="616">
        <v>0</v>
      </c>
    </row>
    <row r="368" spans="2:23" x14ac:dyDescent="0.3">
      <c r="B368" s="380" t="s">
        <v>1661</v>
      </c>
      <c r="C368" s="179" t="s">
        <v>839</v>
      </c>
      <c r="D368" s="182">
        <v>0.80751300000000004</v>
      </c>
      <c r="E368" s="43">
        <v>0.40262999999999999</v>
      </c>
      <c r="F368" s="43">
        <v>0</v>
      </c>
      <c r="G368" s="729">
        <v>0.25255</v>
      </c>
      <c r="H368" s="750">
        <v>8.9834999999999998E-2</v>
      </c>
      <c r="I368" s="43">
        <v>0.35212900000000003</v>
      </c>
      <c r="J368" s="43">
        <v>0</v>
      </c>
      <c r="K368" s="43">
        <v>0</v>
      </c>
      <c r="L368" s="729">
        <v>0.99232699999999996</v>
      </c>
      <c r="M368" s="750">
        <v>0.13758400000000001</v>
      </c>
      <c r="N368" s="45">
        <v>0.54178499999999996</v>
      </c>
      <c r="O368" s="43">
        <v>0</v>
      </c>
      <c r="P368" s="43">
        <v>0</v>
      </c>
      <c r="Q368" s="729">
        <v>0.98409800000000003</v>
      </c>
      <c r="R368" s="750">
        <v>0.56250100000000003</v>
      </c>
      <c r="S368" s="45">
        <v>0.64406799999999997</v>
      </c>
      <c r="T368" s="43">
        <v>0</v>
      </c>
      <c r="U368" s="43">
        <v>0</v>
      </c>
      <c r="V368" s="729">
        <v>0.98749399999999998</v>
      </c>
      <c r="W368" s="616">
        <v>0.29113499999999998</v>
      </c>
    </row>
    <row r="369" spans="2:23" x14ac:dyDescent="0.3">
      <c r="B369" s="380" t="s">
        <v>1662</v>
      </c>
      <c r="C369" s="179" t="s">
        <v>840</v>
      </c>
      <c r="D369" s="182">
        <v>0.29790100000000003</v>
      </c>
      <c r="E369" s="43">
        <v>0</v>
      </c>
      <c r="F369" s="43">
        <v>0</v>
      </c>
      <c r="G369" s="729">
        <v>0.29333500000000001</v>
      </c>
      <c r="H369" s="750">
        <v>0</v>
      </c>
      <c r="I369" s="43">
        <v>0.32303900000000002</v>
      </c>
      <c r="J369" s="43">
        <v>0</v>
      </c>
      <c r="K369" s="43">
        <v>0</v>
      </c>
      <c r="L369" s="729">
        <v>0</v>
      </c>
      <c r="M369" s="750">
        <v>0</v>
      </c>
      <c r="N369" s="45">
        <v>0.41760199999999997</v>
      </c>
      <c r="O369" s="43">
        <v>0.58328800000000003</v>
      </c>
      <c r="P369" s="43">
        <v>0.49</v>
      </c>
      <c r="Q369" s="729">
        <v>0</v>
      </c>
      <c r="R369" s="750">
        <v>0</v>
      </c>
      <c r="S369" s="45">
        <v>0.41760199999999997</v>
      </c>
      <c r="T369" s="43">
        <v>0.58328800000000003</v>
      </c>
      <c r="U369" s="43">
        <v>0.49</v>
      </c>
      <c r="V369" s="729">
        <v>0</v>
      </c>
      <c r="W369" s="616">
        <v>0</v>
      </c>
    </row>
    <row r="370" spans="2:23" x14ac:dyDescent="0.3">
      <c r="B370" s="380" t="s">
        <v>1663</v>
      </c>
      <c r="C370" s="179" t="s">
        <v>841</v>
      </c>
      <c r="D370" s="182">
        <v>0.29892099999999999</v>
      </c>
      <c r="E370" s="43">
        <v>0</v>
      </c>
      <c r="F370" s="43">
        <v>0</v>
      </c>
      <c r="G370" s="729">
        <v>0.30563299999999999</v>
      </c>
      <c r="H370" s="750">
        <v>0</v>
      </c>
      <c r="I370" s="43">
        <v>0.40729500000000002</v>
      </c>
      <c r="J370" s="43">
        <v>0</v>
      </c>
      <c r="K370" s="43">
        <v>0</v>
      </c>
      <c r="L370" s="729">
        <v>0</v>
      </c>
      <c r="M370" s="750">
        <v>0</v>
      </c>
      <c r="N370" s="45">
        <v>0.41820200000000002</v>
      </c>
      <c r="O370" s="43">
        <v>0.51666599999999996</v>
      </c>
      <c r="P370" s="43">
        <v>0.49</v>
      </c>
      <c r="Q370" s="729">
        <v>0</v>
      </c>
      <c r="R370" s="750">
        <v>0</v>
      </c>
      <c r="S370" s="45">
        <v>0.428651</v>
      </c>
      <c r="T370" s="43">
        <v>0.49147600000000002</v>
      </c>
      <c r="U370" s="43">
        <v>0.49</v>
      </c>
      <c r="V370" s="729">
        <v>0</v>
      </c>
      <c r="W370" s="616">
        <v>0</v>
      </c>
    </row>
    <row r="371" spans="2:23" x14ac:dyDescent="0.3">
      <c r="B371" s="380" t="s">
        <v>1664</v>
      </c>
      <c r="C371" s="179" t="s">
        <v>842</v>
      </c>
      <c r="D371" s="182">
        <v>0.112415</v>
      </c>
      <c r="E371" s="43">
        <v>0</v>
      </c>
      <c r="F371" s="43">
        <v>0</v>
      </c>
      <c r="G371" s="729">
        <v>0.49994</v>
      </c>
      <c r="H371" s="750">
        <v>0</v>
      </c>
      <c r="I371" s="43">
        <v>0.12941</v>
      </c>
      <c r="J371" s="43">
        <v>0</v>
      </c>
      <c r="K371" s="43">
        <v>0</v>
      </c>
      <c r="L371" s="729">
        <v>0</v>
      </c>
      <c r="M371" s="750">
        <v>0</v>
      </c>
      <c r="N371" s="45">
        <v>0.173843</v>
      </c>
      <c r="O371" s="43">
        <v>0.54328100000000001</v>
      </c>
      <c r="P371" s="43">
        <v>0.5</v>
      </c>
      <c r="Q371" s="729">
        <v>0</v>
      </c>
      <c r="R371" s="750">
        <v>0</v>
      </c>
      <c r="S371" s="45">
        <v>0.173843</v>
      </c>
      <c r="T371" s="43">
        <v>0.54328100000000001</v>
      </c>
      <c r="U371" s="43">
        <v>0.5</v>
      </c>
      <c r="V371" s="729">
        <v>0</v>
      </c>
      <c r="W371" s="616">
        <v>0</v>
      </c>
    </row>
    <row r="372" spans="2:23" x14ac:dyDescent="0.3">
      <c r="B372" s="380" t="s">
        <v>1665</v>
      </c>
      <c r="C372" s="179" t="s">
        <v>843</v>
      </c>
      <c r="D372" s="182">
        <v>0.32972000000000001</v>
      </c>
      <c r="E372" s="43">
        <v>0</v>
      </c>
      <c r="F372" s="43">
        <v>0</v>
      </c>
      <c r="G372" s="729">
        <v>0.36052600000000001</v>
      </c>
      <c r="H372" s="750">
        <v>0</v>
      </c>
      <c r="I372" s="43">
        <v>0.43314900000000001</v>
      </c>
      <c r="J372" s="43">
        <v>0</v>
      </c>
      <c r="K372" s="43">
        <v>0</v>
      </c>
      <c r="L372" s="729">
        <v>0</v>
      </c>
      <c r="M372" s="750">
        <v>0</v>
      </c>
      <c r="N372" s="45">
        <v>0.43166500000000002</v>
      </c>
      <c r="O372" s="43">
        <v>0</v>
      </c>
      <c r="P372" s="43">
        <v>0</v>
      </c>
      <c r="Q372" s="729">
        <v>0.98734599999999995</v>
      </c>
      <c r="R372" s="750">
        <v>0</v>
      </c>
      <c r="S372" s="45">
        <v>0.50940399999999997</v>
      </c>
      <c r="T372" s="43">
        <v>0</v>
      </c>
      <c r="U372" s="43">
        <v>0</v>
      </c>
      <c r="V372" s="729">
        <v>0.98734599999999995</v>
      </c>
      <c r="W372" s="616">
        <v>0</v>
      </c>
    </row>
    <row r="373" spans="2:23" x14ac:dyDescent="0.3">
      <c r="B373" s="380" t="s">
        <v>1666</v>
      </c>
      <c r="C373" s="179" t="s">
        <v>844</v>
      </c>
      <c r="D373" s="182">
        <v>0.30186000000000002</v>
      </c>
      <c r="E373" s="43">
        <v>0</v>
      </c>
      <c r="F373" s="43">
        <v>0</v>
      </c>
      <c r="G373" s="729">
        <v>0.45007399999999997</v>
      </c>
      <c r="H373" s="750">
        <v>0</v>
      </c>
      <c r="I373" s="43">
        <v>0.41842200000000002</v>
      </c>
      <c r="J373" s="43">
        <v>0</v>
      </c>
      <c r="K373" s="43">
        <v>0</v>
      </c>
      <c r="L373" s="729">
        <v>0</v>
      </c>
      <c r="M373" s="750">
        <v>0</v>
      </c>
      <c r="N373" s="45">
        <v>0.470831</v>
      </c>
      <c r="O373" s="43">
        <v>0</v>
      </c>
      <c r="P373" s="43">
        <v>0</v>
      </c>
      <c r="Q373" s="729">
        <v>0.97584700000000002</v>
      </c>
      <c r="R373" s="750">
        <v>0</v>
      </c>
      <c r="S373" s="45">
        <v>0.55960299999999996</v>
      </c>
      <c r="T373" s="43">
        <v>0</v>
      </c>
      <c r="U373" s="43">
        <v>0</v>
      </c>
      <c r="V373" s="729">
        <v>0.97584700000000002</v>
      </c>
      <c r="W373" s="616">
        <v>0</v>
      </c>
    </row>
    <row r="374" spans="2:23" x14ac:dyDescent="0.3">
      <c r="B374" s="380" t="s">
        <v>1667</v>
      </c>
      <c r="C374" s="179" t="s">
        <v>845</v>
      </c>
      <c r="D374" s="182">
        <v>0.18559200000000001</v>
      </c>
      <c r="E374" s="43">
        <v>0</v>
      </c>
      <c r="F374" s="43">
        <v>0</v>
      </c>
      <c r="G374" s="729">
        <v>0.66777299999999995</v>
      </c>
      <c r="H374" s="750">
        <v>0</v>
      </c>
      <c r="I374" s="43">
        <v>0.26563900000000001</v>
      </c>
      <c r="J374" s="43">
        <v>0</v>
      </c>
      <c r="K374" s="43">
        <v>0</v>
      </c>
      <c r="L374" s="729">
        <v>0</v>
      </c>
      <c r="M374" s="750">
        <v>0</v>
      </c>
      <c r="N374" s="45">
        <v>0.28355799999999998</v>
      </c>
      <c r="O374" s="43">
        <v>0.55298400000000003</v>
      </c>
      <c r="P374" s="43">
        <v>0.53</v>
      </c>
      <c r="Q374" s="729">
        <v>0</v>
      </c>
      <c r="R374" s="750">
        <v>0</v>
      </c>
      <c r="S374" s="45">
        <v>0.28355799999999998</v>
      </c>
      <c r="T374" s="43">
        <v>0.55298400000000003</v>
      </c>
      <c r="U374" s="43">
        <v>0.53</v>
      </c>
      <c r="V374" s="729">
        <v>0</v>
      </c>
      <c r="W374" s="616">
        <v>0</v>
      </c>
    </row>
    <row r="375" spans="2:23" x14ac:dyDescent="0.3">
      <c r="B375" s="380" t="s">
        <v>1668</v>
      </c>
      <c r="C375" s="179" t="s">
        <v>846</v>
      </c>
      <c r="D375" s="182">
        <v>0.46600799999999998</v>
      </c>
      <c r="E375" s="43">
        <v>0</v>
      </c>
      <c r="F375" s="43">
        <v>0</v>
      </c>
      <c r="G375" s="729">
        <v>0.14277999999999999</v>
      </c>
      <c r="H375" s="750">
        <v>0</v>
      </c>
      <c r="I375" s="43">
        <v>0.55448699999999995</v>
      </c>
      <c r="J375" s="43">
        <v>0</v>
      </c>
      <c r="K375" s="43">
        <v>0</v>
      </c>
      <c r="L375" s="729">
        <v>0</v>
      </c>
      <c r="M375" s="750">
        <v>0</v>
      </c>
      <c r="N375" s="45">
        <v>0.59794599999999998</v>
      </c>
      <c r="O375" s="43">
        <v>0</v>
      </c>
      <c r="P375" s="43">
        <v>0</v>
      </c>
      <c r="Q375" s="729">
        <v>0.95496000000000003</v>
      </c>
      <c r="R375" s="750">
        <v>0</v>
      </c>
      <c r="S375" s="45">
        <v>0.680593</v>
      </c>
      <c r="T375" s="43">
        <v>0</v>
      </c>
      <c r="U375" s="43">
        <v>0</v>
      </c>
      <c r="V375" s="729">
        <v>0.95496000000000003</v>
      </c>
      <c r="W375" s="616">
        <v>0</v>
      </c>
    </row>
    <row r="376" spans="2:23" x14ac:dyDescent="0.3">
      <c r="B376" s="380" t="s">
        <v>1669</v>
      </c>
      <c r="C376" s="179" t="s">
        <v>847</v>
      </c>
      <c r="D376" s="182">
        <v>0.89625299999999997</v>
      </c>
      <c r="E376" s="43">
        <v>0</v>
      </c>
      <c r="F376" s="43">
        <v>0</v>
      </c>
      <c r="G376" s="729">
        <v>0.372118</v>
      </c>
      <c r="H376" s="750">
        <v>0</v>
      </c>
      <c r="I376" s="43">
        <v>1.223835</v>
      </c>
      <c r="J376" s="43">
        <v>0</v>
      </c>
      <c r="K376" s="43">
        <v>0</v>
      </c>
      <c r="L376" s="729">
        <v>0</v>
      </c>
      <c r="M376" s="750">
        <v>0</v>
      </c>
      <c r="N376" s="45">
        <v>0.63483900000000004</v>
      </c>
      <c r="O376" s="43">
        <v>0</v>
      </c>
      <c r="P376" s="43">
        <v>0</v>
      </c>
      <c r="Q376" s="729">
        <v>0.98703700000000005</v>
      </c>
      <c r="R376" s="750">
        <v>3.6205000000000001E-2</v>
      </c>
      <c r="S376" s="45">
        <v>0.74882199999999999</v>
      </c>
      <c r="T376" s="43">
        <v>0</v>
      </c>
      <c r="U376" s="43">
        <v>0</v>
      </c>
      <c r="V376" s="729">
        <v>0.98716499999999996</v>
      </c>
      <c r="W376" s="616">
        <v>9.5329999999999998E-3</v>
      </c>
    </row>
    <row r="377" spans="2:23" x14ac:dyDescent="0.3">
      <c r="B377" s="380" t="s">
        <v>1670</v>
      </c>
      <c r="C377" s="179" t="s">
        <v>848</v>
      </c>
      <c r="D377" s="182">
        <v>0.78739300000000001</v>
      </c>
      <c r="E377" s="43">
        <v>0.71276399999999995</v>
      </c>
      <c r="F377" s="43">
        <v>0</v>
      </c>
      <c r="G377" s="729">
        <v>0.45716400000000001</v>
      </c>
      <c r="H377" s="750">
        <v>0.53982300000000005</v>
      </c>
      <c r="I377" s="43">
        <v>0.36092800000000003</v>
      </c>
      <c r="J377" s="43">
        <v>0</v>
      </c>
      <c r="K377" s="43">
        <v>0</v>
      </c>
      <c r="L377" s="729">
        <v>0.98831800000000003</v>
      </c>
      <c r="M377" s="750">
        <v>0.147872</v>
      </c>
      <c r="N377" s="45">
        <v>0.523312</v>
      </c>
      <c r="O377" s="43">
        <v>0</v>
      </c>
      <c r="P377" s="43">
        <v>0</v>
      </c>
      <c r="Q377" s="729">
        <v>0.98311800000000005</v>
      </c>
      <c r="R377" s="750">
        <v>0.39285900000000001</v>
      </c>
      <c r="S377" s="45">
        <v>0.64747299999999997</v>
      </c>
      <c r="T377" s="43">
        <v>0</v>
      </c>
      <c r="U377" s="43">
        <v>0</v>
      </c>
      <c r="V377" s="729">
        <v>0.986537</v>
      </c>
      <c r="W377" s="616">
        <v>0.26552199999999998</v>
      </c>
    </row>
    <row r="378" spans="2:23" x14ac:dyDescent="0.3">
      <c r="B378" s="380" t="s">
        <v>1671</v>
      </c>
      <c r="C378" s="179" t="s">
        <v>849</v>
      </c>
      <c r="D378" s="182">
        <v>0.54119799999999996</v>
      </c>
      <c r="E378" s="43">
        <v>0</v>
      </c>
      <c r="F378" s="43">
        <v>0</v>
      </c>
      <c r="G378" s="729">
        <v>0.37549900000000003</v>
      </c>
      <c r="H378" s="750">
        <v>0.48051899999999997</v>
      </c>
      <c r="I378" s="43">
        <v>0.598298</v>
      </c>
      <c r="J378" s="43">
        <v>0.55373300000000003</v>
      </c>
      <c r="K378" s="43">
        <v>0.52</v>
      </c>
      <c r="L378" s="729">
        <v>0</v>
      </c>
      <c r="M378" s="750">
        <v>0</v>
      </c>
      <c r="N378" s="45">
        <v>0.44808999999999999</v>
      </c>
      <c r="O378" s="43">
        <v>0</v>
      </c>
      <c r="P378" s="43">
        <v>0</v>
      </c>
      <c r="Q378" s="729">
        <v>0.98762099999999997</v>
      </c>
      <c r="R378" s="750">
        <v>0.64771599999999996</v>
      </c>
      <c r="S378" s="45">
        <v>0.56854700000000002</v>
      </c>
      <c r="T378" s="43">
        <v>0</v>
      </c>
      <c r="U378" s="43">
        <v>0</v>
      </c>
      <c r="V378" s="729">
        <v>0.98170500000000005</v>
      </c>
      <c r="W378" s="616">
        <v>0.184367</v>
      </c>
    </row>
    <row r="379" spans="2:23" x14ac:dyDescent="0.3">
      <c r="B379" s="380" t="s">
        <v>1672</v>
      </c>
      <c r="C379" s="179" t="s">
        <v>850</v>
      </c>
      <c r="D379" s="182">
        <v>0.42560799999999999</v>
      </c>
      <c r="E379" s="43">
        <v>0.30646600000000002</v>
      </c>
      <c r="F379" s="43">
        <v>0</v>
      </c>
      <c r="G379" s="729">
        <v>0.59199599999999997</v>
      </c>
      <c r="H379" s="750">
        <v>0</v>
      </c>
      <c r="I379" s="43">
        <v>0.61665499999999995</v>
      </c>
      <c r="J379" s="43">
        <v>0</v>
      </c>
      <c r="K379" s="43">
        <v>0</v>
      </c>
      <c r="L379" s="729">
        <v>0</v>
      </c>
      <c r="M379" s="750">
        <v>0</v>
      </c>
      <c r="N379" s="45">
        <v>0.45149899999999998</v>
      </c>
      <c r="O379" s="43">
        <v>0</v>
      </c>
      <c r="P379" s="43">
        <v>0</v>
      </c>
      <c r="Q379" s="729">
        <v>0.97346600000000005</v>
      </c>
      <c r="R379" s="750">
        <v>0</v>
      </c>
      <c r="S379" s="45">
        <v>0.51231099999999996</v>
      </c>
      <c r="T379" s="43">
        <v>0</v>
      </c>
      <c r="U379" s="43">
        <v>0</v>
      </c>
      <c r="V379" s="729">
        <v>0.97346600000000005</v>
      </c>
      <c r="W379" s="616">
        <v>0</v>
      </c>
    </row>
    <row r="380" spans="2:23" x14ac:dyDescent="0.3">
      <c r="B380" s="380" t="s">
        <v>1673</v>
      </c>
      <c r="C380" s="179" t="s">
        <v>851</v>
      </c>
      <c r="D380" s="182">
        <v>0.463667</v>
      </c>
      <c r="E380" s="43">
        <v>0</v>
      </c>
      <c r="F380" s="43">
        <v>0</v>
      </c>
      <c r="G380" s="729">
        <v>0.13965900000000001</v>
      </c>
      <c r="H380" s="750">
        <v>0</v>
      </c>
      <c r="I380" s="43">
        <v>0.53025199999999995</v>
      </c>
      <c r="J380" s="43">
        <v>0</v>
      </c>
      <c r="K380" s="43">
        <v>0</v>
      </c>
      <c r="L380" s="729">
        <v>0</v>
      </c>
      <c r="M380" s="750">
        <v>0</v>
      </c>
      <c r="N380" s="45">
        <v>0.104168</v>
      </c>
      <c r="O380" s="43">
        <v>0</v>
      </c>
      <c r="P380" s="43">
        <v>0</v>
      </c>
      <c r="Q380" s="729">
        <v>0.995035</v>
      </c>
      <c r="R380" s="750">
        <v>4.3545E-2</v>
      </c>
      <c r="S380" s="45">
        <v>0.27789700000000001</v>
      </c>
      <c r="T380" s="43">
        <v>0.43397400000000003</v>
      </c>
      <c r="U380" s="43">
        <v>0.62</v>
      </c>
      <c r="V380" s="729">
        <v>0</v>
      </c>
      <c r="W380" s="616">
        <v>0</v>
      </c>
    </row>
    <row r="381" spans="2:23" x14ac:dyDescent="0.3">
      <c r="B381" s="380" t="s">
        <v>1674</v>
      </c>
      <c r="C381" s="179" t="s">
        <v>852</v>
      </c>
      <c r="D381" s="182">
        <v>1.487311</v>
      </c>
      <c r="E381" s="43">
        <v>0.99421899999999996</v>
      </c>
      <c r="F381" s="43">
        <v>0</v>
      </c>
      <c r="G381" s="729">
        <v>0.31343900000000002</v>
      </c>
      <c r="H381" s="750">
        <v>0.40963899999999998</v>
      </c>
      <c r="I381" s="43">
        <v>0.51624499999999995</v>
      </c>
      <c r="J381" s="43">
        <v>0</v>
      </c>
      <c r="K381" s="43">
        <v>0</v>
      </c>
      <c r="L381" s="729">
        <v>0.99580100000000005</v>
      </c>
      <c r="M381" s="750">
        <v>0.129691</v>
      </c>
      <c r="N381" s="45">
        <v>0.64747399999999999</v>
      </c>
      <c r="O381" s="43">
        <v>0</v>
      </c>
      <c r="P381" s="43">
        <v>0</v>
      </c>
      <c r="Q381" s="729">
        <v>0.99053899999999995</v>
      </c>
      <c r="R381" s="750">
        <v>0.820909</v>
      </c>
      <c r="S381" s="45">
        <v>0.99431400000000003</v>
      </c>
      <c r="T381" s="43">
        <v>0.46237400000000001</v>
      </c>
      <c r="U381" s="43">
        <v>0.49</v>
      </c>
      <c r="V381" s="729">
        <v>0.74036900000000005</v>
      </c>
      <c r="W381" s="616">
        <v>0.53791199999999995</v>
      </c>
    </row>
    <row r="382" spans="2:23" x14ac:dyDescent="0.3">
      <c r="B382" s="380" t="s">
        <v>1675</v>
      </c>
      <c r="C382" s="179" t="s">
        <v>853</v>
      </c>
      <c r="D382" s="182">
        <v>0.53866700000000001</v>
      </c>
      <c r="E382" s="43">
        <v>0</v>
      </c>
      <c r="F382" s="43">
        <v>0</v>
      </c>
      <c r="G382" s="729">
        <v>0.66777500000000001</v>
      </c>
      <c r="H382" s="750">
        <v>8.4699999999999999E-4</v>
      </c>
      <c r="I382" s="43">
        <v>1.0098959999999999</v>
      </c>
      <c r="J382" s="43">
        <v>0</v>
      </c>
      <c r="K382" s="43">
        <v>0</v>
      </c>
      <c r="L382" s="729">
        <v>0</v>
      </c>
      <c r="M382" s="750">
        <v>0</v>
      </c>
      <c r="N382" s="45">
        <v>0.46266000000000002</v>
      </c>
      <c r="O382" s="43">
        <v>0</v>
      </c>
      <c r="P382" s="43">
        <v>0</v>
      </c>
      <c r="Q382" s="729">
        <v>0.98946299999999998</v>
      </c>
      <c r="R382" s="750">
        <v>0.18959500000000001</v>
      </c>
      <c r="S382" s="45">
        <v>0.52621799999999996</v>
      </c>
      <c r="T382" s="43">
        <v>0</v>
      </c>
      <c r="U382" s="43">
        <v>0</v>
      </c>
      <c r="V382" s="729">
        <v>0.98968699999999998</v>
      </c>
      <c r="W382" s="616">
        <v>5.2178000000000002E-2</v>
      </c>
    </row>
    <row r="383" spans="2:23" x14ac:dyDescent="0.3">
      <c r="B383" s="380" t="s">
        <v>1676</v>
      </c>
      <c r="C383" s="179" t="s">
        <v>854</v>
      </c>
      <c r="D383" s="182">
        <v>0.43820300000000001</v>
      </c>
      <c r="E383" s="43">
        <v>0</v>
      </c>
      <c r="F383" s="43">
        <v>0</v>
      </c>
      <c r="G383" s="729">
        <v>0.39937099999999998</v>
      </c>
      <c r="H383" s="750">
        <v>0</v>
      </c>
      <c r="I383" s="43">
        <v>0.624973</v>
      </c>
      <c r="J383" s="43">
        <v>0</v>
      </c>
      <c r="K383" s="43">
        <v>0</v>
      </c>
      <c r="L383" s="729">
        <v>0</v>
      </c>
      <c r="M383" s="750">
        <v>0</v>
      </c>
      <c r="N383" s="45">
        <v>0.31263999999999997</v>
      </c>
      <c r="O383" s="43">
        <v>0</v>
      </c>
      <c r="P383" s="43">
        <v>0</v>
      </c>
      <c r="Q383" s="729">
        <v>0.99408200000000002</v>
      </c>
      <c r="R383" s="750">
        <v>0.32119599999999998</v>
      </c>
      <c r="S383" s="45">
        <v>0.346474</v>
      </c>
      <c r="T383" s="43">
        <v>0</v>
      </c>
      <c r="U383" s="43">
        <v>0</v>
      </c>
      <c r="V383" s="729">
        <v>0.99435499999999999</v>
      </c>
      <c r="W383" s="616">
        <v>4.7004999999999998E-2</v>
      </c>
    </row>
    <row r="384" spans="2:23" x14ac:dyDescent="0.3">
      <c r="B384" s="380" t="s">
        <v>1677</v>
      </c>
      <c r="C384" s="179" t="s">
        <v>855</v>
      </c>
      <c r="D384" s="182">
        <v>0.26776899999999998</v>
      </c>
      <c r="E384" s="43">
        <v>0</v>
      </c>
      <c r="F384" s="43">
        <v>0</v>
      </c>
      <c r="G384" s="729">
        <v>0.37038100000000002</v>
      </c>
      <c r="H384" s="750">
        <v>0</v>
      </c>
      <c r="I384" s="43">
        <v>0.31895699999999999</v>
      </c>
      <c r="J384" s="43">
        <v>0</v>
      </c>
      <c r="K384" s="43">
        <v>0</v>
      </c>
      <c r="L384" s="729">
        <v>0</v>
      </c>
      <c r="M384" s="750">
        <v>0</v>
      </c>
      <c r="N384" s="45">
        <v>0.25081399999999998</v>
      </c>
      <c r="O384" s="43">
        <v>0</v>
      </c>
      <c r="P384" s="43">
        <v>0</v>
      </c>
      <c r="Q384" s="729">
        <v>0.97328499999999996</v>
      </c>
      <c r="R384" s="750">
        <v>0</v>
      </c>
      <c r="S384" s="45">
        <v>0.27589000000000002</v>
      </c>
      <c r="T384" s="43">
        <v>0</v>
      </c>
      <c r="U384" s="43">
        <v>0</v>
      </c>
      <c r="V384" s="729">
        <v>0.97328499999999996</v>
      </c>
      <c r="W384" s="616">
        <v>0</v>
      </c>
    </row>
    <row r="385" spans="2:23" x14ac:dyDescent="0.3">
      <c r="B385" s="380" t="s">
        <v>1678</v>
      </c>
      <c r="C385" s="179" t="s">
        <v>856</v>
      </c>
      <c r="D385" s="182">
        <v>0.52378599999999997</v>
      </c>
      <c r="E385" s="43">
        <v>0.33444000000000002</v>
      </c>
      <c r="F385" s="43">
        <v>0.01</v>
      </c>
      <c r="G385" s="729">
        <v>0.55640999999999996</v>
      </c>
      <c r="H385" s="750">
        <v>0.76303299999999996</v>
      </c>
      <c r="I385" s="43">
        <v>0.32000800000000001</v>
      </c>
      <c r="J385" s="43">
        <v>0.76767799999999997</v>
      </c>
      <c r="K385" s="43">
        <v>0.63</v>
      </c>
      <c r="L385" s="729">
        <v>0</v>
      </c>
      <c r="M385" s="750">
        <v>0</v>
      </c>
      <c r="N385" s="45">
        <v>0.303593</v>
      </c>
      <c r="O385" s="43">
        <v>0</v>
      </c>
      <c r="P385" s="43">
        <v>0</v>
      </c>
      <c r="Q385" s="729">
        <v>0.99358800000000003</v>
      </c>
      <c r="R385" s="750">
        <v>0.69318000000000002</v>
      </c>
      <c r="S385" s="45">
        <v>0.35723700000000003</v>
      </c>
      <c r="T385" s="43">
        <v>0</v>
      </c>
      <c r="U385" s="43">
        <v>0</v>
      </c>
      <c r="V385" s="729">
        <v>0.99282700000000002</v>
      </c>
      <c r="W385" s="616">
        <v>0.129582</v>
      </c>
    </row>
    <row r="386" spans="2:23" x14ac:dyDescent="0.3">
      <c r="B386" s="380" t="s">
        <v>1679</v>
      </c>
      <c r="C386" s="179" t="s">
        <v>857</v>
      </c>
      <c r="D386" s="182">
        <v>1.0827439999999999</v>
      </c>
      <c r="E386" s="43">
        <v>0</v>
      </c>
      <c r="F386" s="43">
        <v>0</v>
      </c>
      <c r="G386" s="729">
        <v>0.30505399999999999</v>
      </c>
      <c r="H386" s="750">
        <v>0.48101300000000002</v>
      </c>
      <c r="I386" s="43">
        <v>0.50184399999999996</v>
      </c>
      <c r="J386" s="43">
        <v>0</v>
      </c>
      <c r="K386" s="43">
        <v>0</v>
      </c>
      <c r="L386" s="729">
        <v>0.99093699999999996</v>
      </c>
      <c r="M386" s="750">
        <v>4.5511999999999997E-2</v>
      </c>
      <c r="N386" s="45">
        <v>0.71998799999999996</v>
      </c>
      <c r="O386" s="43">
        <v>0</v>
      </c>
      <c r="P386" s="43">
        <v>0</v>
      </c>
      <c r="Q386" s="729">
        <v>0.979379</v>
      </c>
      <c r="R386" s="750">
        <v>0.83554799999999996</v>
      </c>
      <c r="S386" s="45">
        <v>0.87764900000000001</v>
      </c>
      <c r="T386" s="43">
        <v>0</v>
      </c>
      <c r="U386" s="43">
        <v>0</v>
      </c>
      <c r="V386" s="729">
        <v>0.98722500000000002</v>
      </c>
      <c r="W386" s="616">
        <v>0.32693299999999997</v>
      </c>
    </row>
    <row r="387" spans="2:23" x14ac:dyDescent="0.3">
      <c r="B387" s="380" t="s">
        <v>1680</v>
      </c>
      <c r="C387" s="179" t="s">
        <v>858</v>
      </c>
      <c r="D387" s="182">
        <v>1.175856</v>
      </c>
      <c r="E387" s="43">
        <v>0.31515300000000002</v>
      </c>
      <c r="F387" s="43">
        <v>5.5970000000000004E-3</v>
      </c>
      <c r="G387" s="729">
        <v>0.26552599999999998</v>
      </c>
      <c r="H387" s="750">
        <v>0.30377500000000002</v>
      </c>
      <c r="I387" s="43">
        <v>0.51132599999999995</v>
      </c>
      <c r="J387" s="43">
        <v>0</v>
      </c>
      <c r="K387" s="43">
        <v>0</v>
      </c>
      <c r="L387" s="729">
        <v>0.99544100000000002</v>
      </c>
      <c r="M387" s="750">
        <v>0.35979100000000003</v>
      </c>
      <c r="N387" s="45">
        <v>0.51213699999999995</v>
      </c>
      <c r="O387" s="43">
        <v>0</v>
      </c>
      <c r="P387" s="43">
        <v>0</v>
      </c>
      <c r="Q387" s="729">
        <v>0.97304299999999999</v>
      </c>
      <c r="R387" s="750">
        <v>0.96388799999999997</v>
      </c>
      <c r="S387" s="45">
        <v>0.72361299999999995</v>
      </c>
      <c r="T387" s="43">
        <v>0</v>
      </c>
      <c r="U387" s="43">
        <v>0</v>
      </c>
      <c r="V387" s="729">
        <v>0.99416599999999999</v>
      </c>
      <c r="W387" s="616">
        <v>0.79322400000000004</v>
      </c>
    </row>
    <row r="388" spans="2:23" x14ac:dyDescent="0.3">
      <c r="B388" s="380" t="s">
        <v>1681</v>
      </c>
      <c r="C388" s="179" t="s">
        <v>859</v>
      </c>
      <c r="D388" s="182">
        <v>0.565191</v>
      </c>
      <c r="E388" s="43">
        <v>0.42844599999999999</v>
      </c>
      <c r="F388" s="43">
        <v>7.1710000000000003E-3</v>
      </c>
      <c r="G388" s="729">
        <v>0.58162800000000003</v>
      </c>
      <c r="H388" s="750">
        <v>0.231707</v>
      </c>
      <c r="I388" s="43">
        <v>0.25803900000000002</v>
      </c>
      <c r="J388" s="43">
        <v>0</v>
      </c>
      <c r="K388" s="43">
        <v>0</v>
      </c>
      <c r="L388" s="729">
        <v>0.99399099999999996</v>
      </c>
      <c r="M388" s="750">
        <v>0.13361200000000001</v>
      </c>
      <c r="N388" s="45">
        <v>0.38604500000000003</v>
      </c>
      <c r="O388" s="43">
        <v>0</v>
      </c>
      <c r="P388" s="43">
        <v>0</v>
      </c>
      <c r="Q388" s="729">
        <v>0.99243400000000004</v>
      </c>
      <c r="R388" s="750">
        <v>0.77632500000000004</v>
      </c>
      <c r="S388" s="45">
        <v>0.466499</v>
      </c>
      <c r="T388" s="43">
        <v>0</v>
      </c>
      <c r="U388" s="43">
        <v>0</v>
      </c>
      <c r="V388" s="729">
        <v>0.99011800000000005</v>
      </c>
      <c r="W388" s="616">
        <v>0.177763</v>
      </c>
    </row>
    <row r="389" spans="2:23" x14ac:dyDescent="0.3">
      <c r="B389" s="380" t="s">
        <v>1682</v>
      </c>
      <c r="C389" s="179" t="s">
        <v>860</v>
      </c>
      <c r="D389" s="182">
        <v>0.37659399999999998</v>
      </c>
      <c r="E389" s="43">
        <v>0.36040899999999998</v>
      </c>
      <c r="F389" s="43">
        <v>0.01</v>
      </c>
      <c r="G389" s="729">
        <v>0.29561300000000001</v>
      </c>
      <c r="H389" s="750">
        <v>0</v>
      </c>
      <c r="I389" s="43">
        <v>0.47737200000000002</v>
      </c>
      <c r="J389" s="43">
        <v>0</v>
      </c>
      <c r="K389" s="43">
        <v>0</v>
      </c>
      <c r="L389" s="729">
        <v>0</v>
      </c>
      <c r="M389" s="750">
        <v>0</v>
      </c>
      <c r="N389" s="45">
        <v>0.26238499999999998</v>
      </c>
      <c r="O389" s="43">
        <v>0</v>
      </c>
      <c r="P389" s="43">
        <v>0</v>
      </c>
      <c r="Q389" s="729">
        <v>0.99502800000000002</v>
      </c>
      <c r="R389" s="750">
        <v>0.14074999999999999</v>
      </c>
      <c r="S389" s="45">
        <v>0.29237999999999997</v>
      </c>
      <c r="T389" s="43">
        <v>0</v>
      </c>
      <c r="U389" s="43">
        <v>0</v>
      </c>
      <c r="V389" s="729">
        <v>0.99022699999999997</v>
      </c>
      <c r="W389" s="616">
        <v>1.6778000000000001E-2</v>
      </c>
    </row>
    <row r="390" spans="2:23" x14ac:dyDescent="0.3">
      <c r="B390" s="380" t="s">
        <v>1683</v>
      </c>
      <c r="C390" s="179" t="s">
        <v>861</v>
      </c>
      <c r="D390" s="182">
        <v>0.40377299999999999</v>
      </c>
      <c r="E390" s="43">
        <v>0</v>
      </c>
      <c r="F390" s="43">
        <v>0</v>
      </c>
      <c r="G390" s="729">
        <v>0.644177</v>
      </c>
      <c r="H390" s="750">
        <v>0</v>
      </c>
      <c r="I390" s="43">
        <v>0.60491700000000004</v>
      </c>
      <c r="J390" s="43">
        <v>0</v>
      </c>
      <c r="K390" s="43">
        <v>0</v>
      </c>
      <c r="L390" s="729">
        <v>0</v>
      </c>
      <c r="M390" s="750">
        <v>0</v>
      </c>
      <c r="N390" s="45">
        <v>0.37975399999999998</v>
      </c>
      <c r="O390" s="43">
        <v>0</v>
      </c>
      <c r="P390" s="43">
        <v>0</v>
      </c>
      <c r="Q390" s="729">
        <v>0.98589499999999997</v>
      </c>
      <c r="R390" s="750">
        <v>0</v>
      </c>
      <c r="S390" s="45">
        <v>0.42439399999999999</v>
      </c>
      <c r="T390" s="43">
        <v>0</v>
      </c>
      <c r="U390" s="43">
        <v>0</v>
      </c>
      <c r="V390" s="729">
        <v>0.98589499999999997</v>
      </c>
      <c r="W390" s="616">
        <v>0</v>
      </c>
    </row>
    <row r="391" spans="2:23" x14ac:dyDescent="0.3">
      <c r="B391" s="380" t="s">
        <v>1684</v>
      </c>
      <c r="C391" s="179" t="s">
        <v>862</v>
      </c>
      <c r="D391" s="182">
        <v>0.44161099999999998</v>
      </c>
      <c r="E391" s="43">
        <v>0</v>
      </c>
      <c r="F391" s="43">
        <v>0</v>
      </c>
      <c r="G391" s="729">
        <v>0.28420600000000001</v>
      </c>
      <c r="H391" s="750">
        <v>0</v>
      </c>
      <c r="I391" s="43">
        <v>0.49532399999999999</v>
      </c>
      <c r="J391" s="43">
        <v>0</v>
      </c>
      <c r="K391" s="43">
        <v>0</v>
      </c>
      <c r="L391" s="729">
        <v>0</v>
      </c>
      <c r="M391" s="750">
        <v>0</v>
      </c>
      <c r="N391" s="45">
        <v>0.37655499999999997</v>
      </c>
      <c r="O391" s="43">
        <v>0</v>
      </c>
      <c r="P391" s="43">
        <v>0</v>
      </c>
      <c r="Q391" s="729">
        <v>0.97221599999999997</v>
      </c>
      <c r="R391" s="750">
        <v>0</v>
      </c>
      <c r="S391" s="45">
        <v>0.40443200000000001</v>
      </c>
      <c r="T391" s="43">
        <v>0</v>
      </c>
      <c r="U391" s="43">
        <v>0</v>
      </c>
      <c r="V391" s="729">
        <v>0.97221599999999997</v>
      </c>
      <c r="W391" s="616">
        <v>0</v>
      </c>
    </row>
    <row r="392" spans="2:23" x14ac:dyDescent="0.3">
      <c r="B392" s="380" t="s">
        <v>1685</v>
      </c>
      <c r="C392" s="179" t="s">
        <v>863</v>
      </c>
      <c r="D392" s="182">
        <v>0.186081</v>
      </c>
      <c r="E392" s="43">
        <v>0</v>
      </c>
      <c r="F392" s="43">
        <v>0</v>
      </c>
      <c r="G392" s="729">
        <v>0.26568700000000001</v>
      </c>
      <c r="H392" s="750">
        <v>0</v>
      </c>
      <c r="I392" s="43">
        <v>0.18868399999999999</v>
      </c>
      <c r="J392" s="43">
        <v>0</v>
      </c>
      <c r="K392" s="43">
        <v>0</v>
      </c>
      <c r="L392" s="729">
        <v>0</v>
      </c>
      <c r="M392" s="750">
        <v>0</v>
      </c>
      <c r="N392" s="45">
        <v>0.28776400000000002</v>
      </c>
      <c r="O392" s="43">
        <v>0.57979499999999995</v>
      </c>
      <c r="P392" s="43">
        <v>0.49</v>
      </c>
      <c r="Q392" s="729">
        <v>0</v>
      </c>
      <c r="R392" s="750">
        <v>0</v>
      </c>
      <c r="S392" s="45">
        <v>0.28776400000000002</v>
      </c>
      <c r="T392" s="43">
        <v>0.57979499999999995</v>
      </c>
      <c r="U392" s="43">
        <v>0.49</v>
      </c>
      <c r="V392" s="729">
        <v>0</v>
      </c>
      <c r="W392" s="616">
        <v>0</v>
      </c>
    </row>
    <row r="393" spans="2:23" x14ac:dyDescent="0.3">
      <c r="B393" s="380" t="s">
        <v>1686</v>
      </c>
      <c r="C393" s="179" t="s">
        <v>864</v>
      </c>
      <c r="D393" s="182">
        <v>0.23880899999999999</v>
      </c>
      <c r="E393" s="43">
        <v>0</v>
      </c>
      <c r="F393" s="43">
        <v>0</v>
      </c>
      <c r="G393" s="729">
        <v>0.35087200000000002</v>
      </c>
      <c r="H393" s="750">
        <v>0</v>
      </c>
      <c r="I393" s="43">
        <v>0.29608099999999998</v>
      </c>
      <c r="J393" s="43">
        <v>0</v>
      </c>
      <c r="K393" s="43">
        <v>0</v>
      </c>
      <c r="L393" s="729">
        <v>0</v>
      </c>
      <c r="M393" s="750">
        <v>0</v>
      </c>
      <c r="N393" s="45">
        <v>0.23724999999999999</v>
      </c>
      <c r="O393" s="43">
        <v>0</v>
      </c>
      <c r="P393" s="43">
        <v>0</v>
      </c>
      <c r="Q393" s="729">
        <v>0.99300299999999997</v>
      </c>
      <c r="R393" s="750">
        <v>0</v>
      </c>
      <c r="S393" s="45">
        <v>0.278256</v>
      </c>
      <c r="T393" s="43">
        <v>0</v>
      </c>
      <c r="U393" s="43">
        <v>0</v>
      </c>
      <c r="V393" s="729">
        <v>0.99300299999999997</v>
      </c>
      <c r="W393" s="616">
        <v>0</v>
      </c>
    </row>
    <row r="394" spans="2:23" x14ac:dyDescent="0.3">
      <c r="B394" s="380" t="s">
        <v>1687</v>
      </c>
      <c r="C394" s="179" t="s">
        <v>865</v>
      </c>
      <c r="D394" s="182">
        <v>1.0908869999999999</v>
      </c>
      <c r="E394" s="43">
        <v>0</v>
      </c>
      <c r="F394" s="43">
        <v>0</v>
      </c>
      <c r="G394" s="729">
        <v>0.239898</v>
      </c>
      <c r="H394" s="750">
        <v>0.84615399999999996</v>
      </c>
      <c r="I394" s="43">
        <v>0.48653200000000002</v>
      </c>
      <c r="J394" s="43">
        <v>0</v>
      </c>
      <c r="K394" s="43">
        <v>0</v>
      </c>
      <c r="L394" s="729">
        <v>0.99765300000000001</v>
      </c>
      <c r="M394" s="750">
        <v>3.6974E-2</v>
      </c>
      <c r="N394" s="45">
        <v>0.68402300000000005</v>
      </c>
      <c r="O394" s="43">
        <v>0</v>
      </c>
      <c r="P394" s="43">
        <v>0</v>
      </c>
      <c r="Q394" s="729">
        <v>0.995425</v>
      </c>
      <c r="R394" s="750">
        <v>0.788246</v>
      </c>
      <c r="S394" s="45">
        <v>1.1951769999999999</v>
      </c>
      <c r="T394" s="43">
        <v>0.40187099999999998</v>
      </c>
      <c r="U394" s="43">
        <v>0.49</v>
      </c>
      <c r="V394" s="729">
        <v>0.48957699999999998</v>
      </c>
      <c r="W394" s="616">
        <v>0.16617000000000001</v>
      </c>
    </row>
    <row r="395" spans="2:23" x14ac:dyDescent="0.3">
      <c r="B395" s="380" t="s">
        <v>1688</v>
      </c>
      <c r="C395" s="179" t="s">
        <v>866</v>
      </c>
      <c r="D395" s="182">
        <v>0.445519</v>
      </c>
      <c r="E395" s="43">
        <v>0</v>
      </c>
      <c r="F395" s="43">
        <v>0</v>
      </c>
      <c r="G395" s="729">
        <v>6.5702999999999998E-2</v>
      </c>
      <c r="H395" s="750">
        <v>0</v>
      </c>
      <c r="I395" s="43">
        <v>0.47727700000000001</v>
      </c>
      <c r="J395" s="43">
        <v>0</v>
      </c>
      <c r="K395" s="43">
        <v>0</v>
      </c>
      <c r="L395" s="729">
        <v>0</v>
      </c>
      <c r="M395" s="750">
        <v>0</v>
      </c>
      <c r="N395" s="45">
        <v>0.17724799999999999</v>
      </c>
      <c r="O395" s="43">
        <v>0</v>
      </c>
      <c r="P395" s="43">
        <v>0</v>
      </c>
      <c r="Q395" s="729">
        <v>0.99649600000000005</v>
      </c>
      <c r="R395" s="750">
        <v>0</v>
      </c>
      <c r="S395" s="45">
        <v>0.20105300000000001</v>
      </c>
      <c r="T395" s="43">
        <v>0</v>
      </c>
      <c r="U395" s="43">
        <v>0</v>
      </c>
      <c r="V395" s="729">
        <v>0.99649600000000005</v>
      </c>
      <c r="W395" s="616">
        <v>0</v>
      </c>
    </row>
    <row r="396" spans="2:23" x14ac:dyDescent="0.3">
      <c r="B396" s="380" t="s">
        <v>1689</v>
      </c>
      <c r="C396" s="179" t="s">
        <v>867</v>
      </c>
      <c r="D396" s="182">
        <v>0.58562400000000003</v>
      </c>
      <c r="E396" s="43">
        <v>0.315687</v>
      </c>
      <c r="F396" s="43">
        <v>0</v>
      </c>
      <c r="G396" s="729">
        <v>0.16803299999999999</v>
      </c>
      <c r="H396" s="750">
        <v>0.88149</v>
      </c>
      <c r="I396" s="43">
        <v>0.33958100000000002</v>
      </c>
      <c r="J396" s="43">
        <v>0</v>
      </c>
      <c r="K396" s="43">
        <v>0</v>
      </c>
      <c r="L396" s="729">
        <v>0.98906300000000003</v>
      </c>
      <c r="M396" s="750">
        <v>3.0821999999999999E-2</v>
      </c>
      <c r="N396" s="45">
        <v>0.49330299999999999</v>
      </c>
      <c r="O396" s="43">
        <v>0</v>
      </c>
      <c r="P396" s="43">
        <v>0</v>
      </c>
      <c r="Q396" s="729">
        <v>0.98801499999999998</v>
      </c>
      <c r="R396" s="750">
        <v>0.77149699999999999</v>
      </c>
      <c r="S396" s="45">
        <v>0.61615299999999995</v>
      </c>
      <c r="T396" s="43">
        <v>0</v>
      </c>
      <c r="U396" s="43">
        <v>0</v>
      </c>
      <c r="V396" s="729">
        <v>0.99109499999999995</v>
      </c>
      <c r="W396" s="616">
        <v>0.25076999999999999</v>
      </c>
    </row>
    <row r="397" spans="2:23" x14ac:dyDescent="0.3">
      <c r="B397" s="380" t="s">
        <v>1690</v>
      </c>
      <c r="C397" s="179" t="s">
        <v>868</v>
      </c>
      <c r="D397" s="182">
        <v>0.68802200000000002</v>
      </c>
      <c r="E397" s="43">
        <v>0.31986999999999999</v>
      </c>
      <c r="F397" s="43">
        <v>0</v>
      </c>
      <c r="G397" s="729">
        <v>8.4293999999999994E-2</v>
      </c>
      <c r="H397" s="750">
        <v>0.38709700000000002</v>
      </c>
      <c r="I397" s="43">
        <v>0.34807399999999999</v>
      </c>
      <c r="J397" s="43">
        <v>0</v>
      </c>
      <c r="K397" s="43">
        <v>0</v>
      </c>
      <c r="L397" s="729">
        <v>0.99445399999999995</v>
      </c>
      <c r="M397" s="750">
        <v>1.4123999999999999E-2</v>
      </c>
      <c r="N397" s="45">
        <v>0.72608300000000003</v>
      </c>
      <c r="O397" s="43">
        <v>0.46202599999999999</v>
      </c>
      <c r="P397" s="43">
        <v>0.5</v>
      </c>
      <c r="Q397" s="729">
        <v>0.54909300000000005</v>
      </c>
      <c r="R397" s="750">
        <v>0.55704100000000001</v>
      </c>
      <c r="S397" s="45">
        <v>0.87962499999999999</v>
      </c>
      <c r="T397" s="43">
        <v>0.376108</v>
      </c>
      <c r="U397" s="43">
        <v>0.48</v>
      </c>
      <c r="V397" s="729">
        <v>0.50151000000000001</v>
      </c>
      <c r="W397" s="616">
        <v>8.9038000000000006E-2</v>
      </c>
    </row>
    <row r="398" spans="2:23" x14ac:dyDescent="0.3">
      <c r="B398" s="380" t="s">
        <v>1691</v>
      </c>
      <c r="C398" s="179" t="s">
        <v>869</v>
      </c>
      <c r="D398" s="182">
        <v>0.51044599999999996</v>
      </c>
      <c r="E398" s="43">
        <v>0.37715100000000001</v>
      </c>
      <c r="F398" s="43">
        <v>0</v>
      </c>
      <c r="G398" s="729">
        <v>0.186859</v>
      </c>
      <c r="H398" s="750">
        <v>0</v>
      </c>
      <c r="I398" s="43">
        <v>0.60686099999999998</v>
      </c>
      <c r="J398" s="43">
        <v>0</v>
      </c>
      <c r="K398" s="43">
        <v>0</v>
      </c>
      <c r="L398" s="729">
        <v>0</v>
      </c>
      <c r="M398" s="750">
        <v>0</v>
      </c>
      <c r="N398" s="45">
        <v>0.64317400000000002</v>
      </c>
      <c r="O398" s="43">
        <v>0</v>
      </c>
      <c r="P398" s="43">
        <v>0</v>
      </c>
      <c r="Q398" s="729">
        <v>0.91147500000000004</v>
      </c>
      <c r="R398" s="750">
        <v>0</v>
      </c>
      <c r="S398" s="45">
        <v>0.71770999999999996</v>
      </c>
      <c r="T398" s="43">
        <v>0</v>
      </c>
      <c r="U398" s="43">
        <v>0</v>
      </c>
      <c r="V398" s="729">
        <v>0.91147500000000004</v>
      </c>
      <c r="W398" s="616">
        <v>0</v>
      </c>
    </row>
    <row r="399" spans="2:23" x14ac:dyDescent="0.3">
      <c r="B399" s="380" t="s">
        <v>1692</v>
      </c>
      <c r="C399" s="179" t="s">
        <v>870</v>
      </c>
      <c r="D399" s="182">
        <v>1.1017060000000001</v>
      </c>
      <c r="E399" s="43">
        <v>0.44142300000000001</v>
      </c>
      <c r="F399" s="43">
        <v>0</v>
      </c>
      <c r="G399" s="729">
        <v>0.29415400000000003</v>
      </c>
      <c r="H399" s="750">
        <v>0.52554699999999999</v>
      </c>
      <c r="I399" s="43">
        <v>0.55057500000000004</v>
      </c>
      <c r="J399" s="43">
        <v>0</v>
      </c>
      <c r="K399" s="43">
        <v>0</v>
      </c>
      <c r="L399" s="729">
        <v>0.99645700000000004</v>
      </c>
      <c r="M399" s="750">
        <v>4.2374000000000002E-2</v>
      </c>
      <c r="N399" s="45">
        <v>0.89497300000000002</v>
      </c>
      <c r="O399" s="43">
        <v>0</v>
      </c>
      <c r="P399" s="43">
        <v>0</v>
      </c>
      <c r="Q399" s="729">
        <v>0.976885</v>
      </c>
      <c r="R399" s="750">
        <v>0.81457000000000002</v>
      </c>
      <c r="S399" s="45">
        <v>1.099113</v>
      </c>
      <c r="T399" s="43">
        <v>0</v>
      </c>
      <c r="U399" s="43">
        <v>0</v>
      </c>
      <c r="V399" s="729">
        <v>0.98283799999999999</v>
      </c>
      <c r="W399" s="616">
        <v>0.28879899999999997</v>
      </c>
    </row>
    <row r="400" spans="2:23" x14ac:dyDescent="0.3">
      <c r="B400" s="380" t="s">
        <v>1693</v>
      </c>
      <c r="C400" s="179" t="s">
        <v>871</v>
      </c>
      <c r="D400" s="182">
        <v>1.347323</v>
      </c>
      <c r="E400" s="43">
        <v>0.36202099999999998</v>
      </c>
      <c r="F400" s="43">
        <v>0</v>
      </c>
      <c r="G400" s="729">
        <v>0.27928599999999998</v>
      </c>
      <c r="H400" s="750">
        <v>0.69172900000000004</v>
      </c>
      <c r="I400" s="43">
        <v>0.71829100000000001</v>
      </c>
      <c r="J400" s="43">
        <v>0</v>
      </c>
      <c r="K400" s="43">
        <v>0</v>
      </c>
      <c r="L400" s="729">
        <v>0.99799800000000005</v>
      </c>
      <c r="M400" s="750">
        <v>7.4330999999999994E-2</v>
      </c>
      <c r="N400" s="45">
        <v>0.99730099999999999</v>
      </c>
      <c r="O400" s="43">
        <v>0</v>
      </c>
      <c r="P400" s="43">
        <v>0</v>
      </c>
      <c r="Q400" s="729">
        <v>0.99369200000000002</v>
      </c>
      <c r="R400" s="750">
        <v>0.86742300000000006</v>
      </c>
      <c r="S400" s="45">
        <v>1.3287340000000001</v>
      </c>
      <c r="T400" s="43">
        <v>0</v>
      </c>
      <c r="U400" s="43">
        <v>0</v>
      </c>
      <c r="V400" s="729">
        <v>0.994394</v>
      </c>
      <c r="W400" s="616">
        <v>0.407665</v>
      </c>
    </row>
    <row r="401" spans="2:23" x14ac:dyDescent="0.3">
      <c r="B401" s="380" t="s">
        <v>1694</v>
      </c>
      <c r="C401" s="179" t="s">
        <v>872</v>
      </c>
      <c r="D401" s="182">
        <v>0.90819499999999997</v>
      </c>
      <c r="E401" s="43">
        <v>0.30118899999999998</v>
      </c>
      <c r="F401" s="43">
        <v>0</v>
      </c>
      <c r="G401" s="729">
        <v>9.8130999999999996E-2</v>
      </c>
      <c r="H401" s="750">
        <v>0.4375</v>
      </c>
      <c r="I401" s="43">
        <v>0.51882600000000001</v>
      </c>
      <c r="J401" s="43">
        <v>0</v>
      </c>
      <c r="K401" s="43">
        <v>0</v>
      </c>
      <c r="L401" s="729">
        <v>0.97865999999999997</v>
      </c>
      <c r="M401" s="750">
        <v>5.0174000000000003E-2</v>
      </c>
      <c r="N401" s="45">
        <v>0.86545700000000003</v>
      </c>
      <c r="O401" s="43">
        <v>0</v>
      </c>
      <c r="P401" s="43">
        <v>0</v>
      </c>
      <c r="Q401" s="729">
        <v>0.95904699999999998</v>
      </c>
      <c r="R401" s="750">
        <v>0.77048799999999995</v>
      </c>
      <c r="S401" s="45">
        <v>1.0606139999999999</v>
      </c>
      <c r="T401" s="43">
        <v>0</v>
      </c>
      <c r="U401" s="43">
        <v>0</v>
      </c>
      <c r="V401" s="729">
        <v>0.964897</v>
      </c>
      <c r="W401" s="616">
        <v>0.230682</v>
      </c>
    </row>
    <row r="402" spans="2:23" x14ac:dyDescent="0.3">
      <c r="B402" s="380" t="s">
        <v>1695</v>
      </c>
      <c r="C402" s="179" t="s">
        <v>873</v>
      </c>
      <c r="D402" s="182">
        <v>0.190943</v>
      </c>
      <c r="E402" s="43">
        <v>0</v>
      </c>
      <c r="F402" s="43">
        <v>0</v>
      </c>
      <c r="G402" s="729">
        <v>0.86368699999999998</v>
      </c>
      <c r="H402" s="750">
        <v>2.2221999999999999E-2</v>
      </c>
      <c r="I402" s="43">
        <v>0.49760500000000002</v>
      </c>
      <c r="J402" s="43">
        <v>0</v>
      </c>
      <c r="K402" s="43">
        <v>0</v>
      </c>
      <c r="L402" s="729">
        <v>0</v>
      </c>
      <c r="M402" s="750">
        <v>0</v>
      </c>
      <c r="N402" s="45">
        <v>0.34026099999999998</v>
      </c>
      <c r="O402" s="43">
        <v>0.60330700000000004</v>
      </c>
      <c r="P402" s="43">
        <v>0.64</v>
      </c>
      <c r="Q402" s="729">
        <v>0</v>
      </c>
      <c r="R402" s="750">
        <v>0</v>
      </c>
      <c r="S402" s="45">
        <v>0.35217100000000001</v>
      </c>
      <c r="T402" s="43">
        <v>0.56518500000000005</v>
      </c>
      <c r="U402" s="43">
        <v>0.63</v>
      </c>
      <c r="V402" s="729">
        <v>0</v>
      </c>
      <c r="W402" s="616">
        <v>0</v>
      </c>
    </row>
    <row r="403" spans="2:23" x14ac:dyDescent="0.3">
      <c r="B403" s="380" t="s">
        <v>1696</v>
      </c>
      <c r="C403" s="179" t="s">
        <v>874</v>
      </c>
      <c r="D403" s="182">
        <v>0.548848</v>
      </c>
      <c r="E403" s="43">
        <v>0.43898300000000001</v>
      </c>
      <c r="F403" s="43">
        <v>0</v>
      </c>
      <c r="G403" s="729">
        <v>0.29061100000000001</v>
      </c>
      <c r="H403" s="750">
        <v>0.21710499999999999</v>
      </c>
      <c r="I403" s="43">
        <v>1.116193</v>
      </c>
      <c r="J403" s="43">
        <v>0</v>
      </c>
      <c r="K403" s="43">
        <v>0</v>
      </c>
      <c r="L403" s="729">
        <v>0</v>
      </c>
      <c r="M403" s="750">
        <v>0</v>
      </c>
      <c r="N403" s="45">
        <v>0.61208300000000004</v>
      </c>
      <c r="O403" s="43">
        <v>0</v>
      </c>
      <c r="P403" s="43">
        <v>0</v>
      </c>
      <c r="Q403" s="729">
        <v>0.85522799999999999</v>
      </c>
      <c r="R403" s="750">
        <v>0.70234099999999999</v>
      </c>
      <c r="S403" s="45">
        <v>0.68856700000000004</v>
      </c>
      <c r="T403" s="43">
        <v>0</v>
      </c>
      <c r="U403" s="43">
        <v>0</v>
      </c>
      <c r="V403" s="729">
        <v>0.88638499999999998</v>
      </c>
      <c r="W403" s="616">
        <v>0.23078199999999999</v>
      </c>
    </row>
    <row r="404" spans="2:23" x14ac:dyDescent="0.3">
      <c r="B404" s="380" t="s">
        <v>1697</v>
      </c>
      <c r="C404" s="179" t="s">
        <v>875</v>
      </c>
      <c r="D404" s="182">
        <v>1.1915910000000001</v>
      </c>
      <c r="E404" s="43">
        <v>0.28375299999999998</v>
      </c>
      <c r="F404" s="43">
        <v>0</v>
      </c>
      <c r="G404" s="729">
        <v>9.1864000000000001E-2</v>
      </c>
      <c r="H404" s="750">
        <v>0</v>
      </c>
      <c r="I404" s="43">
        <v>1.838247</v>
      </c>
      <c r="J404" s="43">
        <v>0</v>
      </c>
      <c r="K404" s="43">
        <v>0</v>
      </c>
      <c r="L404" s="729">
        <v>0</v>
      </c>
      <c r="M404" s="750">
        <v>0</v>
      </c>
      <c r="N404" s="45">
        <v>0.66417899999999996</v>
      </c>
      <c r="O404" s="43">
        <v>0</v>
      </c>
      <c r="P404" s="43">
        <v>0</v>
      </c>
      <c r="Q404" s="729">
        <v>0.99747300000000005</v>
      </c>
      <c r="R404" s="750">
        <v>0.25421100000000002</v>
      </c>
      <c r="S404" s="45">
        <v>0.80057</v>
      </c>
      <c r="T404" s="43">
        <v>0</v>
      </c>
      <c r="U404" s="43">
        <v>0</v>
      </c>
      <c r="V404" s="729">
        <v>0.99800299999999997</v>
      </c>
      <c r="W404" s="616">
        <v>8.3510000000000001E-2</v>
      </c>
    </row>
    <row r="405" spans="2:23" x14ac:dyDescent="0.3">
      <c r="B405" s="380" t="s">
        <v>1698</v>
      </c>
      <c r="C405" s="179" t="s">
        <v>876</v>
      </c>
      <c r="D405" s="182">
        <v>0.25775999999999999</v>
      </c>
      <c r="E405" s="43">
        <v>0.484626</v>
      </c>
      <c r="F405" s="43">
        <v>0</v>
      </c>
      <c r="G405" s="729">
        <v>0.33264899999999997</v>
      </c>
      <c r="H405" s="750">
        <v>5.7971000000000002E-2</v>
      </c>
      <c r="I405" s="43">
        <v>0.102766</v>
      </c>
      <c r="J405" s="43">
        <v>1.1243179999999999</v>
      </c>
      <c r="K405" s="43">
        <v>0.54</v>
      </c>
      <c r="L405" s="729">
        <v>0</v>
      </c>
      <c r="M405" s="750">
        <v>0</v>
      </c>
      <c r="N405" s="45">
        <v>0.244591</v>
      </c>
      <c r="O405" s="43">
        <v>0.50911899999999999</v>
      </c>
      <c r="P405" s="43">
        <v>0.52</v>
      </c>
      <c r="Q405" s="729">
        <v>0</v>
      </c>
      <c r="R405" s="750">
        <v>0</v>
      </c>
      <c r="S405" s="45">
        <v>0.26985700000000001</v>
      </c>
      <c r="T405" s="43">
        <v>0.46035399999999999</v>
      </c>
      <c r="U405" s="43">
        <v>0.51</v>
      </c>
      <c r="V405" s="729">
        <v>0</v>
      </c>
      <c r="W405" s="616">
        <v>0</v>
      </c>
    </row>
    <row r="406" spans="2:23" x14ac:dyDescent="0.3">
      <c r="B406" s="380" t="s">
        <v>1699</v>
      </c>
      <c r="C406" s="179" t="s">
        <v>877</v>
      </c>
      <c r="D406" s="182">
        <v>0.27147199999999999</v>
      </c>
      <c r="E406" s="43">
        <v>0</v>
      </c>
      <c r="F406" s="43">
        <v>0</v>
      </c>
      <c r="G406" s="729">
        <v>0.24154999999999999</v>
      </c>
      <c r="H406" s="750">
        <v>0</v>
      </c>
      <c r="I406" s="43">
        <v>0.21374000000000001</v>
      </c>
      <c r="J406" s="43">
        <v>1.2892790000000001</v>
      </c>
      <c r="K406" s="43">
        <v>0.52</v>
      </c>
      <c r="L406" s="729">
        <v>0</v>
      </c>
      <c r="M406" s="750">
        <v>0</v>
      </c>
      <c r="N406" s="45">
        <v>0.41414800000000002</v>
      </c>
      <c r="O406" s="43">
        <v>0.52010599999999996</v>
      </c>
      <c r="P406" s="43">
        <v>0.49</v>
      </c>
      <c r="Q406" s="729">
        <v>0</v>
      </c>
      <c r="R406" s="750">
        <v>0</v>
      </c>
      <c r="S406" s="45">
        <v>0.42604599999999998</v>
      </c>
      <c r="T406" s="43">
        <v>0.49042999999999998</v>
      </c>
      <c r="U406" s="43">
        <v>0.49</v>
      </c>
      <c r="V406" s="729">
        <v>0</v>
      </c>
      <c r="W406" s="616">
        <v>0</v>
      </c>
    </row>
    <row r="407" spans="2:23" x14ac:dyDescent="0.3">
      <c r="B407" s="380" t="s">
        <v>1700</v>
      </c>
      <c r="C407" s="179" t="s">
        <v>878</v>
      </c>
      <c r="D407" s="182">
        <v>1.16815</v>
      </c>
      <c r="E407" s="43">
        <v>0.463036</v>
      </c>
      <c r="F407" s="43">
        <v>0</v>
      </c>
      <c r="G407" s="729">
        <v>0.20190900000000001</v>
      </c>
      <c r="H407" s="750">
        <v>0.577982</v>
      </c>
      <c r="I407" s="43">
        <v>0.60305299999999995</v>
      </c>
      <c r="J407" s="43">
        <v>0.64232800000000001</v>
      </c>
      <c r="K407" s="43">
        <v>0.56999999999999995</v>
      </c>
      <c r="L407" s="729">
        <v>0.86610200000000004</v>
      </c>
      <c r="M407" s="750">
        <v>0.39855299999999999</v>
      </c>
      <c r="N407" s="45">
        <v>0.78159400000000001</v>
      </c>
      <c r="O407" s="43">
        <v>0</v>
      </c>
      <c r="P407" s="43">
        <v>0</v>
      </c>
      <c r="Q407" s="729">
        <v>0.90994200000000003</v>
      </c>
      <c r="R407" s="750">
        <v>0.89513600000000004</v>
      </c>
      <c r="S407" s="45">
        <v>1.140452</v>
      </c>
      <c r="T407" s="43">
        <v>0.42226999999999998</v>
      </c>
      <c r="U407" s="43">
        <v>0.55000000000000004</v>
      </c>
      <c r="V407" s="729">
        <v>0.77568499999999996</v>
      </c>
      <c r="W407" s="616">
        <v>0.70672000000000001</v>
      </c>
    </row>
    <row r="408" spans="2:23" x14ac:dyDescent="0.3">
      <c r="B408" s="380" t="s">
        <v>1701</v>
      </c>
      <c r="C408" s="179" t="s">
        <v>879</v>
      </c>
      <c r="D408" s="182">
        <v>0.40364</v>
      </c>
      <c r="E408" s="43">
        <v>0</v>
      </c>
      <c r="F408" s="43">
        <v>0</v>
      </c>
      <c r="G408" s="729">
        <v>0.38173099999999999</v>
      </c>
      <c r="H408" s="750">
        <v>0.26744200000000001</v>
      </c>
      <c r="I408" s="43">
        <v>0.33455600000000002</v>
      </c>
      <c r="J408" s="43">
        <v>0.54601100000000002</v>
      </c>
      <c r="K408" s="43">
        <v>0.53</v>
      </c>
      <c r="L408" s="729">
        <v>0</v>
      </c>
      <c r="M408" s="750">
        <v>0</v>
      </c>
      <c r="N408" s="45">
        <v>0.31239600000000001</v>
      </c>
      <c r="O408" s="43">
        <v>0</v>
      </c>
      <c r="P408" s="43">
        <v>0</v>
      </c>
      <c r="Q408" s="729">
        <v>0.94067699999999999</v>
      </c>
      <c r="R408" s="750">
        <v>0.79995099999999997</v>
      </c>
      <c r="S408" s="45">
        <v>0.36255799999999999</v>
      </c>
      <c r="T408" s="43">
        <v>0</v>
      </c>
      <c r="U408" s="43">
        <v>0</v>
      </c>
      <c r="V408" s="729">
        <v>0.96193799999999996</v>
      </c>
      <c r="W408" s="616">
        <v>0.34927200000000003</v>
      </c>
    </row>
    <row r="409" spans="2:23" x14ac:dyDescent="0.3">
      <c r="B409" s="380" t="s">
        <v>1702</v>
      </c>
      <c r="C409" s="179" t="s">
        <v>880</v>
      </c>
      <c r="D409" s="182">
        <v>3.2699999999999998E-4</v>
      </c>
      <c r="E409" s="43">
        <v>0</v>
      </c>
      <c r="F409" s="43">
        <v>0</v>
      </c>
      <c r="G409" s="729">
        <v>0</v>
      </c>
      <c r="H409" s="750">
        <v>0</v>
      </c>
      <c r="I409" s="43">
        <v>3.2699999999999998E-4</v>
      </c>
      <c r="J409" s="43">
        <v>0</v>
      </c>
      <c r="K409" s="43">
        <v>0</v>
      </c>
      <c r="L409" s="729">
        <v>0</v>
      </c>
      <c r="M409" s="750">
        <v>0</v>
      </c>
      <c r="N409" s="45">
        <v>1.683E-3</v>
      </c>
      <c r="O409" s="43">
        <v>0</v>
      </c>
      <c r="P409" s="43">
        <v>0</v>
      </c>
      <c r="Q409" s="729">
        <v>0</v>
      </c>
      <c r="R409" s="750">
        <v>0</v>
      </c>
      <c r="S409" s="45">
        <v>1.683E-3</v>
      </c>
      <c r="T409" s="43">
        <v>0</v>
      </c>
      <c r="U409" s="43">
        <v>0</v>
      </c>
      <c r="V409" s="729">
        <v>0</v>
      </c>
      <c r="W409" s="616">
        <v>0</v>
      </c>
    </row>
    <row r="410" spans="2:23" x14ac:dyDescent="0.3">
      <c r="B410" s="380" t="s">
        <v>1703</v>
      </c>
      <c r="C410" s="179" t="s">
        <v>881</v>
      </c>
      <c r="D410" s="182">
        <v>0.15476799999999999</v>
      </c>
      <c r="E410" s="43">
        <v>0</v>
      </c>
      <c r="F410" s="43">
        <v>0</v>
      </c>
      <c r="G410" s="729">
        <v>0.40838200000000002</v>
      </c>
      <c r="H410" s="750">
        <v>0</v>
      </c>
      <c r="I410" s="43">
        <v>0.171179</v>
      </c>
      <c r="J410" s="43">
        <v>0</v>
      </c>
      <c r="K410" s="43">
        <v>0</v>
      </c>
      <c r="L410" s="729">
        <v>0</v>
      </c>
      <c r="M410" s="750">
        <v>0</v>
      </c>
      <c r="N410" s="45">
        <v>0.51394799999999996</v>
      </c>
      <c r="O410" s="43">
        <v>0.64417999999999997</v>
      </c>
      <c r="P410" s="43">
        <v>0.48424099999999998</v>
      </c>
      <c r="Q410" s="729">
        <v>0</v>
      </c>
      <c r="R410" s="750">
        <v>0</v>
      </c>
      <c r="S410" s="45">
        <v>0.51394799999999996</v>
      </c>
      <c r="T410" s="43">
        <v>0.64417999999999997</v>
      </c>
      <c r="U410" s="43">
        <v>0.48424099999999998</v>
      </c>
      <c r="V410" s="729">
        <v>0</v>
      </c>
      <c r="W410" s="616">
        <v>0</v>
      </c>
    </row>
    <row r="411" spans="2:23" x14ac:dyDescent="0.3">
      <c r="B411" s="380" t="s">
        <v>1704</v>
      </c>
      <c r="C411" s="179" t="s">
        <v>882</v>
      </c>
      <c r="D411" s="182">
        <v>0.12345399999999999</v>
      </c>
      <c r="E411" s="43">
        <v>0</v>
      </c>
      <c r="F411" s="43">
        <v>0</v>
      </c>
      <c r="G411" s="729">
        <v>0.82435899999999995</v>
      </c>
      <c r="H411" s="750">
        <v>0</v>
      </c>
      <c r="I411" s="43">
        <v>0.24082000000000001</v>
      </c>
      <c r="J411" s="43">
        <v>0</v>
      </c>
      <c r="K411" s="43">
        <v>0</v>
      </c>
      <c r="L411" s="729">
        <v>0</v>
      </c>
      <c r="M411" s="750">
        <v>0</v>
      </c>
      <c r="N411" s="45">
        <v>0.55893899999999996</v>
      </c>
      <c r="O411" s="43">
        <v>0.568411</v>
      </c>
      <c r="P411" s="43">
        <v>0.5</v>
      </c>
      <c r="Q411" s="729">
        <v>0</v>
      </c>
      <c r="R411" s="750">
        <v>0</v>
      </c>
      <c r="S411" s="45">
        <v>0.55893899999999996</v>
      </c>
      <c r="T411" s="43">
        <v>0.568411</v>
      </c>
      <c r="U411" s="43">
        <v>0.5</v>
      </c>
      <c r="V411" s="729">
        <v>0</v>
      </c>
      <c r="W411" s="616">
        <v>0</v>
      </c>
    </row>
    <row r="412" spans="2:23" x14ac:dyDescent="0.3">
      <c r="B412" s="380" t="s">
        <v>1705</v>
      </c>
      <c r="C412" s="179" t="s">
        <v>883</v>
      </c>
      <c r="D412" s="182">
        <v>0.19031600000000001</v>
      </c>
      <c r="E412" s="43">
        <v>0.4667</v>
      </c>
      <c r="F412" s="43">
        <v>0</v>
      </c>
      <c r="G412" s="729">
        <v>0</v>
      </c>
      <c r="H412" s="750">
        <v>0</v>
      </c>
      <c r="I412" s="43">
        <v>0.19269700000000001</v>
      </c>
      <c r="J412" s="43">
        <v>0</v>
      </c>
      <c r="K412" s="43">
        <v>0</v>
      </c>
      <c r="L412" s="729">
        <v>0</v>
      </c>
      <c r="M412" s="750">
        <v>0</v>
      </c>
      <c r="N412" s="45">
        <v>0.48135</v>
      </c>
      <c r="O412" s="43">
        <v>0.54983099999999996</v>
      </c>
      <c r="P412" s="43">
        <v>0.5</v>
      </c>
      <c r="Q412" s="729">
        <v>0</v>
      </c>
      <c r="R412" s="750">
        <v>0</v>
      </c>
      <c r="S412" s="45">
        <v>0.48135</v>
      </c>
      <c r="T412" s="43">
        <v>0.54983099999999996</v>
      </c>
      <c r="U412" s="43">
        <v>0.5</v>
      </c>
      <c r="V412" s="729">
        <v>0</v>
      </c>
      <c r="W412" s="616">
        <v>0</v>
      </c>
    </row>
    <row r="413" spans="2:23" x14ac:dyDescent="0.3">
      <c r="B413" s="380" t="s">
        <v>1706</v>
      </c>
      <c r="C413" s="179" t="s">
        <v>884</v>
      </c>
      <c r="D413" s="182">
        <v>1.1460000000000001E-3</v>
      </c>
      <c r="E413" s="43">
        <v>0</v>
      </c>
      <c r="F413" s="43">
        <v>0</v>
      </c>
      <c r="G413" s="729">
        <v>0</v>
      </c>
      <c r="H413" s="750">
        <v>0</v>
      </c>
      <c r="I413" s="43">
        <v>1.1460000000000001E-3</v>
      </c>
      <c r="J413" s="43">
        <v>0</v>
      </c>
      <c r="K413" s="43">
        <v>0</v>
      </c>
      <c r="L413" s="729">
        <v>0</v>
      </c>
      <c r="M413" s="750">
        <v>0</v>
      </c>
      <c r="N413" s="45">
        <v>1.0604000000000001E-2</v>
      </c>
      <c r="O413" s="43">
        <v>0</v>
      </c>
      <c r="P413" s="43">
        <v>0</v>
      </c>
      <c r="Q413" s="729">
        <v>0</v>
      </c>
      <c r="R413" s="750">
        <v>0</v>
      </c>
      <c r="S413" s="45">
        <v>1.0604000000000001E-2</v>
      </c>
      <c r="T413" s="43">
        <v>0</v>
      </c>
      <c r="U413" s="43">
        <v>0</v>
      </c>
      <c r="V413" s="729">
        <v>0</v>
      </c>
      <c r="W413" s="616">
        <v>0</v>
      </c>
    </row>
    <row r="414" spans="2:23" x14ac:dyDescent="0.3">
      <c r="B414" s="380" t="s">
        <v>1707</v>
      </c>
      <c r="C414" s="179" t="s">
        <v>885</v>
      </c>
      <c r="D414" s="182">
        <v>0.689747</v>
      </c>
      <c r="E414" s="43">
        <v>0.42024699999999998</v>
      </c>
      <c r="F414" s="43">
        <v>5.2830000000000004E-3</v>
      </c>
      <c r="G414" s="729">
        <v>0.207957</v>
      </c>
      <c r="H414" s="750">
        <v>0.15</v>
      </c>
      <c r="I414" s="43">
        <v>0.32077499999999998</v>
      </c>
      <c r="J414" s="43">
        <v>0</v>
      </c>
      <c r="K414" s="43">
        <v>0</v>
      </c>
      <c r="L414" s="729">
        <v>0.99639299999999997</v>
      </c>
      <c r="M414" s="750">
        <v>1.2305999999999999E-2</v>
      </c>
      <c r="N414" s="45">
        <v>0.53039999999999998</v>
      </c>
      <c r="O414" s="43">
        <v>0</v>
      </c>
      <c r="P414" s="43">
        <v>0</v>
      </c>
      <c r="Q414" s="729">
        <v>0.99790500000000004</v>
      </c>
      <c r="R414" s="750">
        <v>0.56018999999999997</v>
      </c>
      <c r="S414" s="45">
        <v>0.65803800000000001</v>
      </c>
      <c r="T414" s="43">
        <v>0</v>
      </c>
      <c r="U414" s="43">
        <v>0</v>
      </c>
      <c r="V414" s="729">
        <v>0.99699099999999996</v>
      </c>
      <c r="W414" s="616">
        <v>0.11317099999999999</v>
      </c>
    </row>
    <row r="415" spans="2:23" x14ac:dyDescent="0.3">
      <c r="B415" s="380" t="s">
        <v>1708</v>
      </c>
      <c r="C415" s="179" t="s">
        <v>886</v>
      </c>
      <c r="D415" s="182">
        <v>1.656129</v>
      </c>
      <c r="E415" s="43">
        <v>0.57345900000000005</v>
      </c>
      <c r="F415" s="43">
        <v>8.1279999999999998E-3</v>
      </c>
      <c r="G415" s="729">
        <v>0.61593500000000001</v>
      </c>
      <c r="H415" s="750">
        <v>0.65167699999999995</v>
      </c>
      <c r="I415" s="43">
        <v>0.55469000000000002</v>
      </c>
      <c r="J415" s="43">
        <v>0</v>
      </c>
      <c r="K415" s="43">
        <v>0</v>
      </c>
      <c r="L415" s="729">
        <v>0.99695199999999995</v>
      </c>
      <c r="M415" s="750">
        <v>0.232873</v>
      </c>
      <c r="N415" s="45">
        <v>0.81052500000000005</v>
      </c>
      <c r="O415" s="43">
        <v>0</v>
      </c>
      <c r="P415" s="43">
        <v>0</v>
      </c>
      <c r="Q415" s="729">
        <v>0.98017900000000002</v>
      </c>
      <c r="R415" s="750">
        <v>0.75683400000000001</v>
      </c>
      <c r="S415" s="45">
        <v>1.0476890000000001</v>
      </c>
      <c r="T415" s="43">
        <v>0</v>
      </c>
      <c r="U415" s="43">
        <v>0</v>
      </c>
      <c r="V415" s="729">
        <v>0.98544600000000004</v>
      </c>
      <c r="W415" s="616">
        <v>0.44676199999999999</v>
      </c>
    </row>
    <row r="416" spans="2:23" x14ac:dyDescent="0.3">
      <c r="B416" s="380" t="s">
        <v>1709</v>
      </c>
      <c r="C416" s="179" t="s">
        <v>887</v>
      </c>
      <c r="D416" s="182">
        <v>0.186141</v>
      </c>
      <c r="E416" s="43">
        <v>0</v>
      </c>
      <c r="F416" s="43">
        <v>0</v>
      </c>
      <c r="G416" s="729">
        <v>0.840055</v>
      </c>
      <c r="H416" s="750">
        <v>0</v>
      </c>
      <c r="I416" s="43">
        <v>0.18875600000000001</v>
      </c>
      <c r="J416" s="43">
        <v>0</v>
      </c>
      <c r="K416" s="43">
        <v>0</v>
      </c>
      <c r="L416" s="729">
        <v>0.78083100000000005</v>
      </c>
      <c r="M416" s="750">
        <v>0</v>
      </c>
      <c r="N416" s="45">
        <v>1.286815</v>
      </c>
      <c r="O416" s="43">
        <v>0</v>
      </c>
      <c r="P416" s="43">
        <v>0</v>
      </c>
      <c r="Q416" s="729">
        <v>0</v>
      </c>
      <c r="R416" s="750">
        <v>0</v>
      </c>
      <c r="S416" s="45">
        <v>1.286815</v>
      </c>
      <c r="T416" s="43">
        <v>0</v>
      </c>
      <c r="U416" s="43">
        <v>0</v>
      </c>
      <c r="V416" s="729">
        <v>0</v>
      </c>
      <c r="W416" s="616">
        <v>0</v>
      </c>
    </row>
    <row r="417" spans="2:23" x14ac:dyDescent="0.3">
      <c r="B417" s="380" t="s">
        <v>1710</v>
      </c>
      <c r="C417" s="179" t="s">
        <v>888</v>
      </c>
      <c r="D417" s="182">
        <v>0.47153800000000001</v>
      </c>
      <c r="E417" s="43">
        <v>0</v>
      </c>
      <c r="F417" s="43">
        <v>0</v>
      </c>
      <c r="G417" s="729">
        <v>0.71874000000000005</v>
      </c>
      <c r="H417" s="750">
        <v>0.379888</v>
      </c>
      <c r="I417" s="43">
        <v>0.205289</v>
      </c>
      <c r="J417" s="43">
        <v>0</v>
      </c>
      <c r="K417" s="43">
        <v>0</v>
      </c>
      <c r="L417" s="729">
        <v>0.97597500000000004</v>
      </c>
      <c r="M417" s="750">
        <v>2.7241999999999999E-2</v>
      </c>
      <c r="N417" s="45">
        <v>0.35963699999999998</v>
      </c>
      <c r="O417" s="43">
        <v>0</v>
      </c>
      <c r="P417" s="43">
        <v>0</v>
      </c>
      <c r="Q417" s="729">
        <v>0.94786499999999996</v>
      </c>
      <c r="R417" s="750">
        <v>0.25219599999999998</v>
      </c>
      <c r="S417" s="45">
        <v>0.415101</v>
      </c>
      <c r="T417" s="43">
        <v>0</v>
      </c>
      <c r="U417" s="43">
        <v>0</v>
      </c>
      <c r="V417" s="729">
        <v>0.953511</v>
      </c>
      <c r="W417" s="616">
        <v>0.13158400000000001</v>
      </c>
    </row>
    <row r="418" spans="2:23" x14ac:dyDescent="0.3">
      <c r="B418" s="380" t="s">
        <v>1711</v>
      </c>
      <c r="C418" s="179" t="s">
        <v>889</v>
      </c>
      <c r="D418" s="182">
        <v>0.84061399999999997</v>
      </c>
      <c r="E418" s="43">
        <v>0.53789399999999998</v>
      </c>
      <c r="F418" s="43">
        <v>2.7607E-2</v>
      </c>
      <c r="G418" s="729">
        <v>0.289354</v>
      </c>
      <c r="H418" s="750">
        <v>0.90344800000000003</v>
      </c>
      <c r="I418" s="43">
        <v>0.47109200000000001</v>
      </c>
      <c r="J418" s="43">
        <v>0</v>
      </c>
      <c r="K418" s="43">
        <v>0</v>
      </c>
      <c r="L418" s="729">
        <v>0.98451299999999997</v>
      </c>
      <c r="M418" s="750">
        <v>0.128636</v>
      </c>
      <c r="N418" s="45">
        <v>0.75375499999999995</v>
      </c>
      <c r="O418" s="43">
        <v>0</v>
      </c>
      <c r="P418" s="43">
        <v>0</v>
      </c>
      <c r="Q418" s="729">
        <v>0.91821799999999998</v>
      </c>
      <c r="R418" s="750">
        <v>0.88660300000000003</v>
      </c>
      <c r="S418" s="45">
        <v>0.94276899999999997</v>
      </c>
      <c r="T418" s="43">
        <v>0</v>
      </c>
      <c r="U418" s="43">
        <v>0</v>
      </c>
      <c r="V418" s="729">
        <v>0.95243800000000001</v>
      </c>
      <c r="W418" s="616">
        <v>0.46913500000000002</v>
      </c>
    </row>
    <row r="419" spans="2:23" x14ac:dyDescent="0.3">
      <c r="B419" s="380" t="s">
        <v>1712</v>
      </c>
      <c r="C419" s="179" t="s">
        <v>890</v>
      </c>
      <c r="D419" s="182">
        <v>0.92796000000000001</v>
      </c>
      <c r="E419" s="43">
        <v>0.41018300000000002</v>
      </c>
      <c r="F419" s="43">
        <v>0.02</v>
      </c>
      <c r="G419" s="729">
        <v>0.48802000000000001</v>
      </c>
      <c r="H419" s="750">
        <v>0.25</v>
      </c>
      <c r="I419" s="43">
        <v>0.31788499999999997</v>
      </c>
      <c r="J419" s="43">
        <v>0</v>
      </c>
      <c r="K419" s="43">
        <v>0</v>
      </c>
      <c r="L419" s="729">
        <v>0.997305</v>
      </c>
      <c r="M419" s="750">
        <v>0.33435799999999999</v>
      </c>
      <c r="N419" s="45">
        <v>0.51885400000000004</v>
      </c>
      <c r="O419" s="43">
        <v>0</v>
      </c>
      <c r="P419" s="43">
        <v>0</v>
      </c>
      <c r="Q419" s="729">
        <v>0.98148199999999997</v>
      </c>
      <c r="R419" s="750">
        <v>0.15729000000000001</v>
      </c>
      <c r="S419" s="45">
        <v>0.66294299999999995</v>
      </c>
      <c r="T419" s="43">
        <v>0</v>
      </c>
      <c r="U419" s="43">
        <v>0</v>
      </c>
      <c r="V419" s="729">
        <v>0.98310200000000003</v>
      </c>
      <c r="W419" s="616">
        <v>0.214753</v>
      </c>
    </row>
    <row r="420" spans="2:23" x14ac:dyDescent="0.3">
      <c r="B420" s="380" t="s">
        <v>1713</v>
      </c>
      <c r="C420" s="179" t="s">
        <v>891</v>
      </c>
      <c r="D420" s="182">
        <v>0.16467999999999999</v>
      </c>
      <c r="E420" s="43">
        <v>0</v>
      </c>
      <c r="F420" s="43">
        <v>0</v>
      </c>
      <c r="G420" s="729">
        <v>0.82821900000000004</v>
      </c>
      <c r="H420" s="750">
        <v>0</v>
      </c>
      <c r="I420" s="43">
        <v>0.18192900000000001</v>
      </c>
      <c r="J420" s="43">
        <v>0</v>
      </c>
      <c r="K420" s="43">
        <v>0</v>
      </c>
      <c r="L420" s="729">
        <v>0.82851699999999995</v>
      </c>
      <c r="M420" s="750">
        <v>0</v>
      </c>
      <c r="N420" s="45">
        <v>0.34389199999999998</v>
      </c>
      <c r="O420" s="43">
        <v>0</v>
      </c>
      <c r="P420" s="43">
        <v>0</v>
      </c>
      <c r="Q420" s="729">
        <v>0.82151600000000002</v>
      </c>
      <c r="R420" s="750">
        <v>0</v>
      </c>
      <c r="S420" s="45">
        <v>0.36059600000000003</v>
      </c>
      <c r="T420" s="43">
        <v>0</v>
      </c>
      <c r="U420" s="43">
        <v>0</v>
      </c>
      <c r="V420" s="729">
        <v>0.82151600000000002</v>
      </c>
      <c r="W420" s="616">
        <v>0</v>
      </c>
    </row>
    <row r="421" spans="2:23" x14ac:dyDescent="0.3">
      <c r="B421" s="380" t="s">
        <v>1714</v>
      </c>
      <c r="C421" s="179" t="s">
        <v>892</v>
      </c>
      <c r="D421" s="182">
        <v>0.48972199999999999</v>
      </c>
      <c r="E421" s="43">
        <v>1.013242</v>
      </c>
      <c r="F421" s="43">
        <v>0</v>
      </c>
      <c r="G421" s="729">
        <v>0.38813700000000001</v>
      </c>
      <c r="H421" s="750">
        <v>0.114943</v>
      </c>
      <c r="I421" s="43">
        <v>0.78915800000000003</v>
      </c>
      <c r="J421" s="43">
        <v>0</v>
      </c>
      <c r="K421" s="43">
        <v>0</v>
      </c>
      <c r="L421" s="729">
        <v>0</v>
      </c>
      <c r="M421" s="750">
        <v>0</v>
      </c>
      <c r="N421" s="45">
        <v>0.58476600000000001</v>
      </c>
      <c r="O421" s="43">
        <v>0</v>
      </c>
      <c r="P421" s="43">
        <v>0</v>
      </c>
      <c r="Q421" s="729">
        <v>0.90859000000000001</v>
      </c>
      <c r="R421" s="750">
        <v>0.53346800000000005</v>
      </c>
      <c r="S421" s="45">
        <v>0.79681800000000003</v>
      </c>
      <c r="T421" s="43">
        <v>0.44381300000000001</v>
      </c>
      <c r="U421" s="43">
        <v>0.5</v>
      </c>
      <c r="V421" s="729">
        <v>0.45072099999999998</v>
      </c>
      <c r="W421" s="616">
        <v>0</v>
      </c>
    </row>
    <row r="422" spans="2:23" x14ac:dyDescent="0.3">
      <c r="B422" s="380" t="s">
        <v>1715</v>
      </c>
      <c r="C422" s="179" t="s">
        <v>893</v>
      </c>
      <c r="D422" s="182">
        <v>0.70349399999999995</v>
      </c>
      <c r="E422" s="43">
        <v>0</v>
      </c>
      <c r="F422" s="43">
        <v>0</v>
      </c>
      <c r="G422" s="729">
        <v>0.13564799999999999</v>
      </c>
      <c r="H422" s="750">
        <v>0.13750000000000001</v>
      </c>
      <c r="I422" s="43">
        <v>1.0758559999999999</v>
      </c>
      <c r="J422" s="43">
        <v>0</v>
      </c>
      <c r="K422" s="43">
        <v>0</v>
      </c>
      <c r="L422" s="729">
        <v>0</v>
      </c>
      <c r="M422" s="750">
        <v>0</v>
      </c>
      <c r="N422" s="45">
        <v>0.50336099999999995</v>
      </c>
      <c r="O422" s="43">
        <v>0</v>
      </c>
      <c r="P422" s="43">
        <v>0</v>
      </c>
      <c r="Q422" s="729">
        <v>0.99154100000000001</v>
      </c>
      <c r="R422" s="750">
        <v>0.67600199999999999</v>
      </c>
      <c r="S422" s="45">
        <v>0.60246999999999995</v>
      </c>
      <c r="T422" s="43">
        <v>0</v>
      </c>
      <c r="U422" s="43">
        <v>0</v>
      </c>
      <c r="V422" s="729">
        <v>0.991201</v>
      </c>
      <c r="W422" s="616">
        <v>0.189417</v>
      </c>
    </row>
    <row r="423" spans="2:23" x14ac:dyDescent="0.3">
      <c r="B423" s="380" t="s">
        <v>1716</v>
      </c>
      <c r="C423" s="179" t="s">
        <v>894</v>
      </c>
      <c r="D423" s="182">
        <v>0.430002</v>
      </c>
      <c r="E423" s="43">
        <v>0</v>
      </c>
      <c r="F423" s="43">
        <v>0</v>
      </c>
      <c r="G423" s="729">
        <v>0.25060500000000002</v>
      </c>
      <c r="H423" s="750">
        <v>0</v>
      </c>
      <c r="I423" s="43">
        <v>0.50553800000000004</v>
      </c>
      <c r="J423" s="43">
        <v>0</v>
      </c>
      <c r="K423" s="43">
        <v>0</v>
      </c>
      <c r="L423" s="729">
        <v>0</v>
      </c>
      <c r="M423" s="750">
        <v>0</v>
      </c>
      <c r="N423" s="45">
        <v>0.35160799999999998</v>
      </c>
      <c r="O423" s="43">
        <v>0</v>
      </c>
      <c r="P423" s="43">
        <v>0</v>
      </c>
      <c r="Q423" s="729">
        <v>0.99577800000000005</v>
      </c>
      <c r="R423" s="750">
        <v>3.686E-3</v>
      </c>
      <c r="S423" s="45">
        <v>0.41599000000000003</v>
      </c>
      <c r="T423" s="43">
        <v>0</v>
      </c>
      <c r="U423" s="43">
        <v>0</v>
      </c>
      <c r="V423" s="729">
        <v>0.99578</v>
      </c>
      <c r="W423" s="616">
        <v>4.5899999999999999E-4</v>
      </c>
    </row>
    <row r="424" spans="2:23" x14ac:dyDescent="0.3">
      <c r="B424" s="380" t="s">
        <v>1717</v>
      </c>
      <c r="C424" s="179" t="s">
        <v>895</v>
      </c>
      <c r="D424" s="182">
        <v>0.31646099999999999</v>
      </c>
      <c r="E424" s="43">
        <v>0</v>
      </c>
      <c r="F424" s="43">
        <v>0</v>
      </c>
      <c r="G424" s="729">
        <v>0.26854299999999998</v>
      </c>
      <c r="H424" s="750">
        <v>0</v>
      </c>
      <c r="I424" s="43">
        <v>0.343887</v>
      </c>
      <c r="J424" s="43">
        <v>0</v>
      </c>
      <c r="K424" s="43">
        <v>0</v>
      </c>
      <c r="L424" s="729">
        <v>0</v>
      </c>
      <c r="M424" s="750">
        <v>0</v>
      </c>
      <c r="N424" s="45">
        <v>2.0996800000000002</v>
      </c>
      <c r="O424" s="43">
        <v>0</v>
      </c>
      <c r="P424" s="43">
        <v>0</v>
      </c>
      <c r="Q424" s="729">
        <v>0</v>
      </c>
      <c r="R424" s="750">
        <v>0</v>
      </c>
      <c r="S424" s="45">
        <v>2.0996800000000002</v>
      </c>
      <c r="T424" s="43">
        <v>0</v>
      </c>
      <c r="U424" s="43">
        <v>0</v>
      </c>
      <c r="V424" s="729">
        <v>0</v>
      </c>
      <c r="W424" s="616">
        <v>0</v>
      </c>
    </row>
    <row r="425" spans="2:23" x14ac:dyDescent="0.3">
      <c r="B425" s="380" t="s">
        <v>1718</v>
      </c>
      <c r="C425" s="179" t="s">
        <v>896</v>
      </c>
      <c r="D425" s="182">
        <v>0.37137900000000001</v>
      </c>
      <c r="E425" s="43">
        <v>0</v>
      </c>
      <c r="F425" s="43">
        <v>0</v>
      </c>
      <c r="G425" s="729">
        <v>0.44817600000000002</v>
      </c>
      <c r="H425" s="750">
        <v>0</v>
      </c>
      <c r="I425" s="43">
        <v>0.42890899999999998</v>
      </c>
      <c r="J425" s="43">
        <v>0</v>
      </c>
      <c r="K425" s="43">
        <v>0</v>
      </c>
      <c r="L425" s="729">
        <v>0</v>
      </c>
      <c r="M425" s="750">
        <v>0</v>
      </c>
      <c r="N425" s="45">
        <v>0.36115000000000003</v>
      </c>
      <c r="O425" s="43">
        <v>0</v>
      </c>
      <c r="P425" s="43">
        <v>0</v>
      </c>
      <c r="Q425" s="729">
        <v>0.96660900000000005</v>
      </c>
      <c r="R425" s="750">
        <v>0</v>
      </c>
      <c r="S425" s="45">
        <v>0.38078899999999999</v>
      </c>
      <c r="T425" s="43">
        <v>0</v>
      </c>
      <c r="U425" s="43">
        <v>0</v>
      </c>
      <c r="V425" s="729">
        <v>0.96660900000000005</v>
      </c>
      <c r="W425" s="616">
        <v>0</v>
      </c>
    </row>
    <row r="426" spans="2:23" x14ac:dyDescent="0.3">
      <c r="B426" s="380" t="s">
        <v>1719</v>
      </c>
      <c r="C426" s="179" t="s">
        <v>897</v>
      </c>
      <c r="D426" s="182">
        <v>0.21560699999999999</v>
      </c>
      <c r="E426" s="43">
        <v>0</v>
      </c>
      <c r="F426" s="43">
        <v>0</v>
      </c>
      <c r="G426" s="729">
        <v>0.59081899999999998</v>
      </c>
      <c r="H426" s="750">
        <v>0</v>
      </c>
      <c r="I426" s="43">
        <v>0.326542</v>
      </c>
      <c r="J426" s="43">
        <v>0</v>
      </c>
      <c r="K426" s="43">
        <v>0</v>
      </c>
      <c r="L426" s="729">
        <v>0</v>
      </c>
      <c r="M426" s="750">
        <v>0</v>
      </c>
      <c r="N426" s="45">
        <v>0.25613900000000001</v>
      </c>
      <c r="O426" s="43">
        <v>0.48951800000000001</v>
      </c>
      <c r="P426" s="43">
        <v>0.56000000000000005</v>
      </c>
      <c r="Q426" s="729">
        <v>0</v>
      </c>
      <c r="R426" s="750">
        <v>0</v>
      </c>
      <c r="S426" s="45">
        <v>0.25613900000000001</v>
      </c>
      <c r="T426" s="43">
        <v>0.48951800000000001</v>
      </c>
      <c r="U426" s="43">
        <v>0.56000000000000005</v>
      </c>
      <c r="V426" s="729">
        <v>0</v>
      </c>
      <c r="W426" s="616">
        <v>0</v>
      </c>
    </row>
    <row r="427" spans="2:23" x14ac:dyDescent="0.3">
      <c r="B427" s="380" t="s">
        <v>1720</v>
      </c>
      <c r="C427" s="179" t="s">
        <v>898</v>
      </c>
      <c r="D427" s="182">
        <v>0.30863800000000002</v>
      </c>
      <c r="E427" s="43">
        <v>0</v>
      </c>
      <c r="F427" s="43">
        <v>0</v>
      </c>
      <c r="G427" s="729">
        <v>0.25267000000000001</v>
      </c>
      <c r="H427" s="750">
        <v>0</v>
      </c>
      <c r="I427" s="43">
        <v>0.318575</v>
      </c>
      <c r="J427" s="43">
        <v>0</v>
      </c>
      <c r="K427" s="43">
        <v>0</v>
      </c>
      <c r="L427" s="729">
        <v>0</v>
      </c>
      <c r="M427" s="750">
        <v>0</v>
      </c>
      <c r="N427" s="45">
        <v>2.1695509999999998</v>
      </c>
      <c r="O427" s="43">
        <v>0</v>
      </c>
      <c r="P427" s="43">
        <v>0</v>
      </c>
      <c r="Q427" s="729">
        <v>0</v>
      </c>
      <c r="R427" s="750">
        <v>0</v>
      </c>
      <c r="S427" s="45">
        <v>2.1695509999999998</v>
      </c>
      <c r="T427" s="43">
        <v>0</v>
      </c>
      <c r="U427" s="43">
        <v>0</v>
      </c>
      <c r="V427" s="729">
        <v>0</v>
      </c>
      <c r="W427" s="616">
        <v>0</v>
      </c>
    </row>
    <row r="428" spans="2:23" x14ac:dyDescent="0.3">
      <c r="B428" s="380" t="s">
        <v>1721</v>
      </c>
      <c r="C428" s="179" t="s">
        <v>899</v>
      </c>
      <c r="D428" s="182">
        <v>0.338057</v>
      </c>
      <c r="E428" s="43">
        <v>0</v>
      </c>
      <c r="F428" s="43">
        <v>0</v>
      </c>
      <c r="G428" s="729">
        <v>0.161496</v>
      </c>
      <c r="H428" s="750">
        <v>0</v>
      </c>
      <c r="I428" s="43">
        <v>0.26530900000000002</v>
      </c>
      <c r="J428" s="43">
        <v>1.030594</v>
      </c>
      <c r="K428" s="43">
        <v>0.53</v>
      </c>
      <c r="L428" s="729">
        <v>0</v>
      </c>
      <c r="M428" s="750">
        <v>0</v>
      </c>
      <c r="N428" s="45">
        <v>1.93834</v>
      </c>
      <c r="O428" s="43">
        <v>0</v>
      </c>
      <c r="P428" s="43">
        <v>0</v>
      </c>
      <c r="Q428" s="729">
        <v>0</v>
      </c>
      <c r="R428" s="750">
        <v>0</v>
      </c>
      <c r="S428" s="45">
        <v>0.35974600000000001</v>
      </c>
      <c r="T428" s="43">
        <v>0</v>
      </c>
      <c r="U428" s="43">
        <v>0</v>
      </c>
      <c r="V428" s="729">
        <v>0.95655800000000002</v>
      </c>
      <c r="W428" s="616">
        <v>0.16600899999999999</v>
      </c>
    </row>
    <row r="429" spans="2:23" x14ac:dyDescent="0.3">
      <c r="B429" s="380" t="s">
        <v>1722</v>
      </c>
      <c r="C429" s="179" t="s">
        <v>900</v>
      </c>
      <c r="D429" s="182">
        <v>0.57240400000000002</v>
      </c>
      <c r="E429" s="43">
        <v>0</v>
      </c>
      <c r="F429" s="43">
        <v>0</v>
      </c>
      <c r="G429" s="729">
        <v>0.29883199999999999</v>
      </c>
      <c r="H429" s="750">
        <v>0.36551699999999998</v>
      </c>
      <c r="I429" s="43">
        <v>1.044924</v>
      </c>
      <c r="J429" s="43">
        <v>0</v>
      </c>
      <c r="K429" s="43">
        <v>0</v>
      </c>
      <c r="L429" s="729">
        <v>0</v>
      </c>
      <c r="M429" s="750">
        <v>0</v>
      </c>
      <c r="N429" s="45">
        <v>0.32018999999999997</v>
      </c>
      <c r="O429" s="43">
        <v>0</v>
      </c>
      <c r="P429" s="43">
        <v>0</v>
      </c>
      <c r="Q429" s="729">
        <v>0.98175299999999999</v>
      </c>
      <c r="R429" s="750">
        <v>0.52577700000000005</v>
      </c>
      <c r="S429" s="45">
        <v>0.68153600000000003</v>
      </c>
      <c r="T429" s="43">
        <v>0.475993</v>
      </c>
      <c r="U429" s="43">
        <v>0.5</v>
      </c>
      <c r="V429" s="729">
        <v>0</v>
      </c>
      <c r="W429" s="616">
        <v>0</v>
      </c>
    </row>
    <row r="430" spans="2:23" x14ac:dyDescent="0.3">
      <c r="B430" s="380" t="s">
        <v>1723</v>
      </c>
      <c r="C430" s="179" t="s">
        <v>901</v>
      </c>
      <c r="D430" s="182">
        <v>1.27565</v>
      </c>
      <c r="E430" s="43">
        <v>0</v>
      </c>
      <c r="F430" s="43">
        <v>0</v>
      </c>
      <c r="G430" s="729">
        <v>0.36791600000000002</v>
      </c>
      <c r="H430" s="750">
        <v>1.2160000000000001E-3</v>
      </c>
      <c r="I430" s="43">
        <v>2.1548620000000001</v>
      </c>
      <c r="J430" s="43">
        <v>0.51527299999999998</v>
      </c>
      <c r="K430" s="43">
        <v>0.53</v>
      </c>
      <c r="L430" s="729">
        <v>0</v>
      </c>
      <c r="M430" s="750">
        <v>0</v>
      </c>
      <c r="N430" s="45">
        <v>0.67144599999999999</v>
      </c>
      <c r="O430" s="43">
        <v>0</v>
      </c>
      <c r="P430" s="43">
        <v>0</v>
      </c>
      <c r="Q430" s="729">
        <v>0.99436599999999997</v>
      </c>
      <c r="R430" s="750">
        <v>0.29480200000000001</v>
      </c>
      <c r="S430" s="45">
        <v>0.97884199999999999</v>
      </c>
      <c r="T430" s="43">
        <v>0.39356200000000002</v>
      </c>
      <c r="U430" s="43">
        <v>0.53</v>
      </c>
      <c r="V430" s="729">
        <v>0.72410300000000005</v>
      </c>
      <c r="W430" s="616">
        <v>1.4997999999999999E-2</v>
      </c>
    </row>
    <row r="431" spans="2:23" x14ac:dyDescent="0.3">
      <c r="B431" s="380" t="s">
        <v>1724</v>
      </c>
      <c r="C431" s="179" t="s">
        <v>902</v>
      </c>
      <c r="D431" s="182">
        <v>0.66650299999999996</v>
      </c>
      <c r="E431" s="43">
        <v>0</v>
      </c>
      <c r="F431" s="43">
        <v>0</v>
      </c>
      <c r="G431" s="729">
        <v>0.142209</v>
      </c>
      <c r="H431" s="750">
        <v>0</v>
      </c>
      <c r="I431" s="43">
        <v>1.3955500000000001</v>
      </c>
      <c r="J431" s="43">
        <v>0</v>
      </c>
      <c r="K431" s="43">
        <v>0</v>
      </c>
      <c r="L431" s="729">
        <v>0</v>
      </c>
      <c r="M431" s="750">
        <v>0</v>
      </c>
      <c r="N431" s="45">
        <v>0.50045300000000004</v>
      </c>
      <c r="O431" s="43">
        <v>0</v>
      </c>
      <c r="P431" s="43">
        <v>0</v>
      </c>
      <c r="Q431" s="729">
        <v>0.98136299999999999</v>
      </c>
      <c r="R431" s="750">
        <v>0.752301</v>
      </c>
      <c r="S431" s="45">
        <v>0.58957400000000004</v>
      </c>
      <c r="T431" s="43">
        <v>0</v>
      </c>
      <c r="U431" s="43">
        <v>0</v>
      </c>
      <c r="V431" s="729">
        <v>0.98925200000000002</v>
      </c>
      <c r="W431" s="616">
        <v>0.213395</v>
      </c>
    </row>
    <row r="432" spans="2:23" x14ac:dyDescent="0.3">
      <c r="B432" s="380" t="s">
        <v>1725</v>
      </c>
      <c r="C432" s="179" t="s">
        <v>903</v>
      </c>
      <c r="D432" s="182">
        <v>0.33945900000000001</v>
      </c>
      <c r="E432" s="43">
        <v>0.391185</v>
      </c>
      <c r="F432" s="43">
        <v>0</v>
      </c>
      <c r="G432" s="729">
        <v>0.71665199999999996</v>
      </c>
      <c r="H432" s="750">
        <v>0</v>
      </c>
      <c r="I432" s="43">
        <v>0.64245200000000002</v>
      </c>
      <c r="J432" s="43">
        <v>0</v>
      </c>
      <c r="K432" s="43">
        <v>0</v>
      </c>
      <c r="L432" s="729">
        <v>0</v>
      </c>
      <c r="M432" s="750">
        <v>0</v>
      </c>
      <c r="N432" s="45">
        <v>0.28210299999999999</v>
      </c>
      <c r="O432" s="43">
        <v>0</v>
      </c>
      <c r="P432" s="43">
        <v>0</v>
      </c>
      <c r="Q432" s="729">
        <v>0.99381799999999998</v>
      </c>
      <c r="R432" s="750">
        <v>4.4941000000000002E-2</v>
      </c>
      <c r="S432" s="45">
        <v>0.32461400000000001</v>
      </c>
      <c r="T432" s="43">
        <v>0</v>
      </c>
      <c r="U432" s="43">
        <v>0</v>
      </c>
      <c r="V432" s="729">
        <v>0.99394199999999999</v>
      </c>
      <c r="W432" s="616">
        <v>1.5812E-2</v>
      </c>
    </row>
    <row r="433" spans="2:23" x14ac:dyDescent="0.3">
      <c r="B433" s="380" t="s">
        <v>1726</v>
      </c>
      <c r="C433" s="179" t="s">
        <v>904</v>
      </c>
      <c r="D433" s="182">
        <v>0.19606199999999999</v>
      </c>
      <c r="E433" s="43">
        <v>0</v>
      </c>
      <c r="F433" s="43">
        <v>0</v>
      </c>
      <c r="G433" s="729">
        <v>9.1469999999999996E-2</v>
      </c>
      <c r="H433" s="750">
        <v>0.33333299999999999</v>
      </c>
      <c r="I433" s="43">
        <v>0.25241799999999998</v>
      </c>
      <c r="J433" s="43">
        <v>0</v>
      </c>
      <c r="K433" s="43">
        <v>0</v>
      </c>
      <c r="L433" s="729">
        <v>0</v>
      </c>
      <c r="M433" s="750">
        <v>0</v>
      </c>
      <c r="N433" s="45">
        <v>0.21049899999999999</v>
      </c>
      <c r="O433" s="43">
        <v>0.58615099999999998</v>
      </c>
      <c r="P433" s="43">
        <v>0.51</v>
      </c>
      <c r="Q433" s="729">
        <v>0</v>
      </c>
      <c r="R433" s="750">
        <v>0</v>
      </c>
      <c r="S433" s="45">
        <v>0.21868599999999999</v>
      </c>
      <c r="T433" s="43">
        <v>0.56462900000000005</v>
      </c>
      <c r="U433" s="43">
        <v>0.51</v>
      </c>
      <c r="V433" s="729">
        <v>0</v>
      </c>
      <c r="W433" s="616">
        <v>0</v>
      </c>
    </row>
    <row r="434" spans="2:23" x14ac:dyDescent="0.3">
      <c r="B434" s="380" t="s">
        <v>1727</v>
      </c>
      <c r="C434" s="179" t="s">
        <v>905</v>
      </c>
      <c r="D434" s="182">
        <v>1.6366689999999999</v>
      </c>
      <c r="E434" s="43">
        <v>0.79822400000000004</v>
      </c>
      <c r="F434" s="43">
        <v>0</v>
      </c>
      <c r="G434" s="729">
        <v>0.28049400000000002</v>
      </c>
      <c r="H434" s="750">
        <v>0.68716600000000005</v>
      </c>
      <c r="I434" s="43">
        <v>0.45863999999999999</v>
      </c>
      <c r="J434" s="43">
        <v>0</v>
      </c>
      <c r="K434" s="43">
        <v>0</v>
      </c>
      <c r="L434" s="729">
        <v>0.99710299999999996</v>
      </c>
      <c r="M434" s="750">
        <v>0.13768</v>
      </c>
      <c r="N434" s="45">
        <v>0.57566600000000001</v>
      </c>
      <c r="O434" s="43">
        <v>0</v>
      </c>
      <c r="P434" s="43">
        <v>0</v>
      </c>
      <c r="Q434" s="729">
        <v>0.99570700000000001</v>
      </c>
      <c r="R434" s="750">
        <v>0.72399400000000003</v>
      </c>
      <c r="S434" s="45">
        <v>0.75340300000000004</v>
      </c>
      <c r="T434" s="43">
        <v>0</v>
      </c>
      <c r="U434" s="43">
        <v>0</v>
      </c>
      <c r="V434" s="729">
        <v>0.99398699999999995</v>
      </c>
      <c r="W434" s="616">
        <v>0.551956</v>
      </c>
    </row>
    <row r="435" spans="2:23" x14ac:dyDescent="0.3">
      <c r="B435" s="380" t="s">
        <v>1728</v>
      </c>
      <c r="C435" s="179" t="s">
        <v>906</v>
      </c>
      <c r="D435" s="182">
        <v>0.52173800000000004</v>
      </c>
      <c r="E435" s="43">
        <v>0</v>
      </c>
      <c r="F435" s="43">
        <v>0</v>
      </c>
      <c r="G435" s="729">
        <v>0.24132100000000001</v>
      </c>
      <c r="H435" s="750">
        <v>0.06</v>
      </c>
      <c r="I435" s="43">
        <v>0.82842800000000005</v>
      </c>
      <c r="J435" s="43">
        <v>0</v>
      </c>
      <c r="K435" s="43">
        <v>0</v>
      </c>
      <c r="L435" s="729">
        <v>0</v>
      </c>
      <c r="M435" s="750">
        <v>0</v>
      </c>
      <c r="N435" s="45">
        <v>0.32924799999999999</v>
      </c>
      <c r="O435" s="43">
        <v>0</v>
      </c>
      <c r="P435" s="43">
        <v>0</v>
      </c>
      <c r="Q435" s="729">
        <v>0.98366299999999995</v>
      </c>
      <c r="R435" s="750">
        <v>0.28281899999999999</v>
      </c>
      <c r="S435" s="45">
        <v>0.368815</v>
      </c>
      <c r="T435" s="43">
        <v>0</v>
      </c>
      <c r="U435" s="43">
        <v>0</v>
      </c>
      <c r="V435" s="729">
        <v>0.98633300000000002</v>
      </c>
      <c r="W435" s="616">
        <v>7.8713000000000005E-2</v>
      </c>
    </row>
    <row r="436" spans="2:23" x14ac:dyDescent="0.3">
      <c r="B436" s="380" t="s">
        <v>1729</v>
      </c>
      <c r="C436" s="179" t="s">
        <v>907</v>
      </c>
      <c r="D436" s="182">
        <v>0.90039899999999995</v>
      </c>
      <c r="E436" s="43">
        <v>0</v>
      </c>
      <c r="F436" s="43">
        <v>0</v>
      </c>
      <c r="G436" s="729">
        <v>5.1979999999999998E-2</v>
      </c>
      <c r="H436" s="750">
        <v>7.2727E-2</v>
      </c>
      <c r="I436" s="43">
        <v>1.0800479999999999</v>
      </c>
      <c r="J436" s="43">
        <v>0</v>
      </c>
      <c r="K436" s="43">
        <v>0</v>
      </c>
      <c r="L436" s="729">
        <v>0</v>
      </c>
      <c r="M436" s="750">
        <v>0</v>
      </c>
      <c r="N436" s="45">
        <v>0.62943700000000002</v>
      </c>
      <c r="O436" s="43">
        <v>0.51711499999999999</v>
      </c>
      <c r="P436" s="43">
        <v>0.54</v>
      </c>
      <c r="Q436" s="729">
        <v>0.435975</v>
      </c>
      <c r="R436" s="750">
        <v>0</v>
      </c>
      <c r="S436" s="45">
        <v>0.67359599999999997</v>
      </c>
      <c r="T436" s="43">
        <v>0.49072399999999999</v>
      </c>
      <c r="U436" s="43">
        <v>0.53</v>
      </c>
      <c r="V436" s="729">
        <v>0.41659499999999999</v>
      </c>
      <c r="W436" s="616">
        <v>0</v>
      </c>
    </row>
    <row r="437" spans="2:23" x14ac:dyDescent="0.3">
      <c r="B437" s="380" t="s">
        <v>1730</v>
      </c>
      <c r="C437" s="179" t="s">
        <v>908</v>
      </c>
      <c r="D437" s="182">
        <v>0.362344</v>
      </c>
      <c r="E437" s="43">
        <v>0</v>
      </c>
      <c r="F437" s="43">
        <v>0</v>
      </c>
      <c r="G437" s="729">
        <v>0.11483</v>
      </c>
      <c r="H437" s="750">
        <v>0</v>
      </c>
      <c r="I437" s="43">
        <v>0.48141299999999998</v>
      </c>
      <c r="J437" s="43">
        <v>0</v>
      </c>
      <c r="K437" s="43">
        <v>0</v>
      </c>
      <c r="L437" s="729">
        <v>0</v>
      </c>
      <c r="M437" s="750">
        <v>0</v>
      </c>
      <c r="N437" s="45">
        <v>0.329702</v>
      </c>
      <c r="O437" s="43">
        <v>0</v>
      </c>
      <c r="P437" s="43">
        <v>0</v>
      </c>
      <c r="Q437" s="729">
        <v>0.96794400000000003</v>
      </c>
      <c r="R437" s="750">
        <v>0.29038199999999997</v>
      </c>
      <c r="S437" s="45">
        <v>0.37517299999999998</v>
      </c>
      <c r="T437" s="43">
        <v>0</v>
      </c>
      <c r="U437" s="43">
        <v>0</v>
      </c>
      <c r="V437" s="729">
        <v>0.96936599999999995</v>
      </c>
      <c r="W437" s="616">
        <v>5.0076000000000002E-2</v>
      </c>
    </row>
    <row r="438" spans="2:23" x14ac:dyDescent="0.3">
      <c r="B438" s="380" t="s">
        <v>1731</v>
      </c>
      <c r="C438" s="179" t="s">
        <v>909</v>
      </c>
      <c r="D438" s="182">
        <v>0.57517300000000005</v>
      </c>
      <c r="E438" s="43">
        <v>0</v>
      </c>
      <c r="F438" s="43">
        <v>0</v>
      </c>
      <c r="G438" s="729">
        <v>8.3600999999999995E-2</v>
      </c>
      <c r="H438" s="750">
        <v>0</v>
      </c>
      <c r="I438" s="43">
        <v>0.71761600000000003</v>
      </c>
      <c r="J438" s="43">
        <v>0</v>
      </c>
      <c r="K438" s="43">
        <v>0</v>
      </c>
      <c r="L438" s="729">
        <v>0</v>
      </c>
      <c r="M438" s="750">
        <v>0</v>
      </c>
      <c r="N438" s="45">
        <v>0.492253</v>
      </c>
      <c r="O438" s="43">
        <v>0</v>
      </c>
      <c r="P438" s="43">
        <v>0</v>
      </c>
      <c r="Q438" s="729">
        <v>0.993533</v>
      </c>
      <c r="R438" s="750">
        <v>8.4447999999999995E-2</v>
      </c>
      <c r="S438" s="45">
        <v>0.58577299999999999</v>
      </c>
      <c r="T438" s="43">
        <v>0</v>
      </c>
      <c r="U438" s="43">
        <v>0</v>
      </c>
      <c r="V438" s="729">
        <v>0.99248999999999998</v>
      </c>
      <c r="W438" s="616">
        <v>1.4167000000000001E-2</v>
      </c>
    </row>
    <row r="439" spans="2:23" x14ac:dyDescent="0.3">
      <c r="B439" s="380" t="s">
        <v>1732</v>
      </c>
      <c r="C439" s="179" t="s">
        <v>910</v>
      </c>
      <c r="D439" s="182">
        <v>1.298659</v>
      </c>
      <c r="E439" s="43">
        <v>0.31186199999999997</v>
      </c>
      <c r="F439" s="43">
        <v>0</v>
      </c>
      <c r="G439" s="729">
        <v>0.54229700000000003</v>
      </c>
      <c r="H439" s="750">
        <v>8.7155999999999997E-2</v>
      </c>
      <c r="I439" s="43">
        <v>0.51266800000000001</v>
      </c>
      <c r="J439" s="43">
        <v>0</v>
      </c>
      <c r="K439" s="43">
        <v>0</v>
      </c>
      <c r="L439" s="729">
        <v>0.99611000000000005</v>
      </c>
      <c r="M439" s="750">
        <v>0.114671</v>
      </c>
      <c r="N439" s="45">
        <v>0.92923299999999998</v>
      </c>
      <c r="O439" s="43">
        <v>0.44403500000000001</v>
      </c>
      <c r="P439" s="43">
        <v>0.56000000000000005</v>
      </c>
      <c r="Q439" s="729">
        <v>0.71732200000000002</v>
      </c>
      <c r="R439" s="750">
        <v>0.490448</v>
      </c>
      <c r="S439" s="45">
        <v>0.92654400000000003</v>
      </c>
      <c r="T439" s="43">
        <v>0</v>
      </c>
      <c r="U439" s="43">
        <v>0</v>
      </c>
      <c r="V439" s="729">
        <v>0.996641</v>
      </c>
      <c r="W439" s="616">
        <v>0.192692</v>
      </c>
    </row>
    <row r="440" spans="2:23" x14ac:dyDescent="0.3">
      <c r="B440" s="380" t="s">
        <v>1733</v>
      </c>
      <c r="C440" s="179" t="s">
        <v>911</v>
      </c>
      <c r="D440" s="182">
        <v>0.57367800000000002</v>
      </c>
      <c r="E440" s="43">
        <v>0</v>
      </c>
      <c r="F440" s="43">
        <v>0</v>
      </c>
      <c r="G440" s="729">
        <v>0.48534500000000003</v>
      </c>
      <c r="H440" s="750">
        <v>0</v>
      </c>
      <c r="I440" s="43">
        <v>0.86000799999999999</v>
      </c>
      <c r="J440" s="43">
        <v>0</v>
      </c>
      <c r="K440" s="43">
        <v>0</v>
      </c>
      <c r="L440" s="729">
        <v>0</v>
      </c>
      <c r="M440" s="750">
        <v>0</v>
      </c>
      <c r="N440" s="45">
        <v>0.248284</v>
      </c>
      <c r="O440" s="43">
        <v>0</v>
      </c>
      <c r="P440" s="43">
        <v>0</v>
      </c>
      <c r="Q440" s="729">
        <v>0.98914400000000002</v>
      </c>
      <c r="R440" s="750">
        <v>0</v>
      </c>
      <c r="S440" s="45">
        <v>0.27605000000000002</v>
      </c>
      <c r="T440" s="43">
        <v>0</v>
      </c>
      <c r="U440" s="43">
        <v>0</v>
      </c>
      <c r="V440" s="729">
        <v>0.98914400000000002</v>
      </c>
      <c r="W440" s="616">
        <v>0</v>
      </c>
    </row>
    <row r="441" spans="2:23" x14ac:dyDescent="0.3">
      <c r="B441" s="380" t="s">
        <v>1734</v>
      </c>
      <c r="C441" s="179" t="s">
        <v>912</v>
      </c>
      <c r="D441" s="182">
        <v>1.0999399999999999</v>
      </c>
      <c r="E441" s="43">
        <v>0</v>
      </c>
      <c r="F441" s="43">
        <v>0</v>
      </c>
      <c r="G441" s="729">
        <v>0.23760600000000001</v>
      </c>
      <c r="H441" s="750">
        <v>0</v>
      </c>
      <c r="I441" s="43">
        <v>1.0391999999999999</v>
      </c>
      <c r="J441" s="43">
        <v>0</v>
      </c>
      <c r="K441" s="43">
        <v>0</v>
      </c>
      <c r="L441" s="729">
        <v>0.287275</v>
      </c>
      <c r="M441" s="750">
        <v>0</v>
      </c>
      <c r="N441" s="45">
        <v>0.62791699999999995</v>
      </c>
      <c r="O441" s="43">
        <v>0.47933599999999998</v>
      </c>
      <c r="P441" s="43">
        <v>0.57999999999999996</v>
      </c>
      <c r="Q441" s="729">
        <v>0.36570799999999998</v>
      </c>
      <c r="R441" s="750">
        <v>0</v>
      </c>
      <c r="S441" s="45">
        <v>0.64577300000000004</v>
      </c>
      <c r="T441" s="43">
        <v>0.47933599999999998</v>
      </c>
      <c r="U441" s="43">
        <v>0.57999999999999996</v>
      </c>
      <c r="V441" s="729">
        <v>0.36570799999999998</v>
      </c>
      <c r="W441" s="616">
        <v>0</v>
      </c>
    </row>
    <row r="442" spans="2:23" x14ac:dyDescent="0.3">
      <c r="B442" s="380" t="s">
        <v>1735</v>
      </c>
      <c r="C442" s="179" t="s">
        <v>913</v>
      </c>
      <c r="D442" s="182">
        <v>0.88778900000000005</v>
      </c>
      <c r="E442" s="43">
        <v>0</v>
      </c>
      <c r="F442" s="43">
        <v>0</v>
      </c>
      <c r="G442" s="729">
        <v>0.47476099999999999</v>
      </c>
      <c r="H442" s="750">
        <v>0</v>
      </c>
      <c r="I442" s="43">
        <v>1.3503149999999999</v>
      </c>
      <c r="J442" s="43">
        <v>0</v>
      </c>
      <c r="K442" s="43">
        <v>0</v>
      </c>
      <c r="L442" s="729">
        <v>0</v>
      </c>
      <c r="M442" s="750">
        <v>0</v>
      </c>
      <c r="N442" s="45">
        <v>0.55594699999999997</v>
      </c>
      <c r="O442" s="43">
        <v>0</v>
      </c>
      <c r="P442" s="43">
        <v>0</v>
      </c>
      <c r="Q442" s="729">
        <v>0.97600299999999995</v>
      </c>
      <c r="R442" s="750">
        <v>7.4450000000000002E-3</v>
      </c>
      <c r="S442" s="45">
        <v>0.60169499999999998</v>
      </c>
      <c r="T442" s="43">
        <v>0</v>
      </c>
      <c r="U442" s="43">
        <v>0</v>
      </c>
      <c r="V442" s="729">
        <v>0.98354299999999995</v>
      </c>
      <c r="W442" s="616">
        <v>2.7009999999999998E-3</v>
      </c>
    </row>
    <row r="443" spans="2:23" x14ac:dyDescent="0.3">
      <c r="B443" s="380" t="s">
        <v>1736</v>
      </c>
      <c r="C443" s="179" t="s">
        <v>914</v>
      </c>
      <c r="D443" s="182">
        <v>1.2605489999999999</v>
      </c>
      <c r="E443" s="43">
        <v>0.47437099999999999</v>
      </c>
      <c r="F443" s="43">
        <v>0</v>
      </c>
      <c r="G443" s="729">
        <v>0.51799499999999998</v>
      </c>
      <c r="H443" s="750">
        <v>5.228E-2</v>
      </c>
      <c r="I443" s="43">
        <v>0.33352900000000002</v>
      </c>
      <c r="J443" s="43">
        <v>0</v>
      </c>
      <c r="K443" s="43">
        <v>0</v>
      </c>
      <c r="L443" s="729">
        <v>0.99698100000000001</v>
      </c>
      <c r="M443" s="750">
        <v>0.110068</v>
      </c>
      <c r="N443" s="45">
        <v>0.43224200000000002</v>
      </c>
      <c r="O443" s="43">
        <v>0</v>
      </c>
      <c r="P443" s="43">
        <v>0</v>
      </c>
      <c r="Q443" s="729">
        <v>0.99889700000000003</v>
      </c>
      <c r="R443" s="750">
        <v>0.61158800000000002</v>
      </c>
      <c r="S443" s="45">
        <v>0.492423</v>
      </c>
      <c r="T443" s="43">
        <v>0</v>
      </c>
      <c r="U443" s="43">
        <v>0</v>
      </c>
      <c r="V443" s="729">
        <v>0.99788699999999997</v>
      </c>
      <c r="W443" s="616">
        <v>0.23994799999999999</v>
      </c>
    </row>
    <row r="444" spans="2:23" x14ac:dyDescent="0.3">
      <c r="B444" s="380" t="s">
        <v>1737</v>
      </c>
      <c r="C444" s="179" t="s">
        <v>915</v>
      </c>
      <c r="D444" s="182">
        <v>0.73922299999999996</v>
      </c>
      <c r="E444" s="43">
        <v>0</v>
      </c>
      <c r="F444" s="43">
        <v>0</v>
      </c>
      <c r="G444" s="729">
        <v>0.31485400000000002</v>
      </c>
      <c r="H444" s="750">
        <v>0</v>
      </c>
      <c r="I444" s="43">
        <v>0.86065700000000001</v>
      </c>
      <c r="J444" s="43">
        <v>0</v>
      </c>
      <c r="K444" s="43">
        <v>0</v>
      </c>
      <c r="L444" s="729">
        <v>0</v>
      </c>
      <c r="M444" s="750">
        <v>0</v>
      </c>
      <c r="N444" s="45">
        <v>0.36371900000000001</v>
      </c>
      <c r="O444" s="43">
        <v>0</v>
      </c>
      <c r="P444" s="43">
        <v>0</v>
      </c>
      <c r="Q444" s="729">
        <v>0.98387100000000005</v>
      </c>
      <c r="R444" s="750">
        <v>0</v>
      </c>
      <c r="S444" s="45">
        <v>0.38963500000000001</v>
      </c>
      <c r="T444" s="43">
        <v>0</v>
      </c>
      <c r="U444" s="43">
        <v>0</v>
      </c>
      <c r="V444" s="729">
        <v>0.98387100000000005</v>
      </c>
      <c r="W444" s="616">
        <v>0</v>
      </c>
    </row>
    <row r="445" spans="2:23" x14ac:dyDescent="0.3">
      <c r="B445" s="380" t="s">
        <v>1738</v>
      </c>
      <c r="C445" s="179" t="s">
        <v>916</v>
      </c>
      <c r="D445" s="182">
        <v>0.59733700000000001</v>
      </c>
      <c r="E445" s="43">
        <v>0.27182800000000001</v>
      </c>
      <c r="F445" s="43">
        <v>0</v>
      </c>
      <c r="G445" s="729">
        <v>0.122581</v>
      </c>
      <c r="H445" s="750">
        <v>0.16</v>
      </c>
      <c r="I445" s="43">
        <v>0.76124700000000001</v>
      </c>
      <c r="J445" s="43">
        <v>0</v>
      </c>
      <c r="K445" s="43">
        <v>0</v>
      </c>
      <c r="L445" s="729">
        <v>0</v>
      </c>
      <c r="M445" s="750">
        <v>0</v>
      </c>
      <c r="N445" s="45">
        <v>0.42300300000000002</v>
      </c>
      <c r="O445" s="43">
        <v>0.49910700000000002</v>
      </c>
      <c r="P445" s="43">
        <v>0.6</v>
      </c>
      <c r="Q445" s="729">
        <v>0</v>
      </c>
      <c r="R445" s="750">
        <v>0</v>
      </c>
      <c r="S445" s="45">
        <v>0.44572499999999998</v>
      </c>
      <c r="T445" s="43">
        <v>0.477719</v>
      </c>
      <c r="U445" s="43">
        <v>0.59</v>
      </c>
      <c r="V445" s="729">
        <v>0</v>
      </c>
      <c r="W445" s="616">
        <v>0</v>
      </c>
    </row>
    <row r="446" spans="2:23" x14ac:dyDescent="0.3">
      <c r="B446" s="380" t="s">
        <v>1739</v>
      </c>
      <c r="C446" s="179" t="s">
        <v>917</v>
      </c>
      <c r="D446" s="182">
        <v>0.73195900000000003</v>
      </c>
      <c r="E446" s="43">
        <v>0</v>
      </c>
      <c r="F446" s="43">
        <v>0</v>
      </c>
      <c r="G446" s="729">
        <v>0.231957</v>
      </c>
      <c r="H446" s="750">
        <v>0.40384599999999998</v>
      </c>
      <c r="I446" s="43">
        <v>1.1026069999999999</v>
      </c>
      <c r="J446" s="43">
        <v>0</v>
      </c>
      <c r="K446" s="43">
        <v>0</v>
      </c>
      <c r="L446" s="729">
        <v>0</v>
      </c>
      <c r="M446" s="750">
        <v>0</v>
      </c>
      <c r="N446" s="45">
        <v>0.49909500000000001</v>
      </c>
      <c r="O446" s="43">
        <v>0</v>
      </c>
      <c r="P446" s="43">
        <v>0</v>
      </c>
      <c r="Q446" s="729">
        <v>0.99967499999999998</v>
      </c>
      <c r="R446" s="750">
        <v>0.27613399999999999</v>
      </c>
      <c r="S446" s="45">
        <v>0.61285199999999995</v>
      </c>
      <c r="T446" s="43">
        <v>0</v>
      </c>
      <c r="U446" s="43">
        <v>0</v>
      </c>
      <c r="V446" s="729">
        <v>0.99969699999999995</v>
      </c>
      <c r="W446" s="616">
        <v>6.8880999999999998E-2</v>
      </c>
    </row>
    <row r="447" spans="2:23" x14ac:dyDescent="0.3">
      <c r="B447" s="380" t="s">
        <v>1740</v>
      </c>
      <c r="C447" s="179" t="s">
        <v>918</v>
      </c>
      <c r="D447" s="182">
        <v>1.3597239999999999</v>
      </c>
      <c r="E447" s="43">
        <v>0</v>
      </c>
      <c r="F447" s="43">
        <v>0</v>
      </c>
      <c r="G447" s="729">
        <v>0.17740600000000001</v>
      </c>
      <c r="H447" s="750">
        <v>0.247525</v>
      </c>
      <c r="I447" s="43">
        <v>1.9028419999999999</v>
      </c>
      <c r="J447" s="43">
        <v>0</v>
      </c>
      <c r="K447" s="43">
        <v>0</v>
      </c>
      <c r="L447" s="729">
        <v>0</v>
      </c>
      <c r="M447" s="750">
        <v>0</v>
      </c>
      <c r="N447" s="45">
        <v>0.67981000000000003</v>
      </c>
      <c r="O447" s="43">
        <v>0.45031599999999999</v>
      </c>
      <c r="P447" s="43">
        <v>0.64</v>
      </c>
      <c r="Q447" s="729">
        <v>0.47964099999999998</v>
      </c>
      <c r="R447" s="750">
        <v>7.2281999999999999E-2</v>
      </c>
      <c r="S447" s="45">
        <v>0.77837900000000004</v>
      </c>
      <c r="T447" s="43">
        <v>0.41597299999999998</v>
      </c>
      <c r="U447" s="43">
        <v>0.61</v>
      </c>
      <c r="V447" s="729">
        <v>0.45284000000000002</v>
      </c>
      <c r="W447" s="616">
        <v>2.3508999999999999E-2</v>
      </c>
    </row>
    <row r="448" spans="2:23" x14ac:dyDescent="0.3">
      <c r="B448" s="380" t="s">
        <v>1741</v>
      </c>
      <c r="C448" s="179" t="s">
        <v>919</v>
      </c>
      <c r="D448" s="182">
        <v>0.37030299999999999</v>
      </c>
      <c r="E448" s="43">
        <v>0</v>
      </c>
      <c r="F448" s="43">
        <v>0</v>
      </c>
      <c r="G448" s="729">
        <v>0.70454300000000003</v>
      </c>
      <c r="H448" s="750">
        <v>0</v>
      </c>
      <c r="I448" s="43">
        <v>0.66884399999999999</v>
      </c>
      <c r="J448" s="43">
        <v>0</v>
      </c>
      <c r="K448" s="43">
        <v>0</v>
      </c>
      <c r="L448" s="729">
        <v>0</v>
      </c>
      <c r="M448" s="750">
        <v>0</v>
      </c>
      <c r="N448" s="45">
        <v>0.20744799999999999</v>
      </c>
      <c r="O448" s="43">
        <v>0</v>
      </c>
      <c r="P448" s="43">
        <v>0</v>
      </c>
      <c r="Q448" s="729">
        <v>0.99709800000000004</v>
      </c>
      <c r="R448" s="750">
        <v>0</v>
      </c>
      <c r="S448" s="45">
        <v>0.22855800000000001</v>
      </c>
      <c r="T448" s="43">
        <v>0</v>
      </c>
      <c r="U448" s="43">
        <v>0</v>
      </c>
      <c r="V448" s="729">
        <v>0.99709800000000004</v>
      </c>
      <c r="W448" s="616">
        <v>0</v>
      </c>
    </row>
    <row r="449" spans="2:23" x14ac:dyDescent="0.3">
      <c r="B449" s="380" t="s">
        <v>1742</v>
      </c>
      <c r="C449" s="179" t="s">
        <v>920</v>
      </c>
      <c r="D449" s="182">
        <v>0.99560499999999996</v>
      </c>
      <c r="E449" s="43">
        <v>0</v>
      </c>
      <c r="F449" s="43">
        <v>0</v>
      </c>
      <c r="G449" s="729">
        <v>0.61063999999999996</v>
      </c>
      <c r="H449" s="750">
        <v>0</v>
      </c>
      <c r="I449" s="43">
        <v>1.1032059999999999</v>
      </c>
      <c r="J449" s="43">
        <v>0</v>
      </c>
      <c r="K449" s="43">
        <v>0</v>
      </c>
      <c r="L449" s="729">
        <v>0.485954</v>
      </c>
      <c r="M449" s="750">
        <v>0</v>
      </c>
      <c r="N449" s="45">
        <v>0.55135199999999995</v>
      </c>
      <c r="O449" s="43">
        <v>0</v>
      </c>
      <c r="P449" s="43">
        <v>0</v>
      </c>
      <c r="Q449" s="729">
        <v>0.99199599999999999</v>
      </c>
      <c r="R449" s="750">
        <v>0</v>
      </c>
      <c r="S449" s="45">
        <v>0.64752699999999996</v>
      </c>
      <c r="T449" s="43">
        <v>0</v>
      </c>
      <c r="U449" s="43">
        <v>0</v>
      </c>
      <c r="V449" s="729">
        <v>0.99199599999999999</v>
      </c>
      <c r="W449" s="616">
        <v>0</v>
      </c>
    </row>
    <row r="450" spans="2:23" x14ac:dyDescent="0.3">
      <c r="B450" s="380" t="s">
        <v>1743</v>
      </c>
      <c r="C450" s="179" t="s">
        <v>921</v>
      </c>
      <c r="D450" s="182">
        <v>0.90068999999999999</v>
      </c>
      <c r="E450" s="43">
        <v>0</v>
      </c>
      <c r="F450" s="43">
        <v>0</v>
      </c>
      <c r="G450" s="729">
        <v>0.37693100000000002</v>
      </c>
      <c r="H450" s="750">
        <v>0</v>
      </c>
      <c r="I450" s="43">
        <v>1.165853</v>
      </c>
      <c r="J450" s="43">
        <v>0</v>
      </c>
      <c r="K450" s="43">
        <v>0</v>
      </c>
      <c r="L450" s="729">
        <v>0</v>
      </c>
      <c r="M450" s="750">
        <v>0</v>
      </c>
      <c r="N450" s="45">
        <v>0.47946299999999997</v>
      </c>
      <c r="O450" s="43">
        <v>0</v>
      </c>
      <c r="P450" s="43">
        <v>0</v>
      </c>
      <c r="Q450" s="729">
        <v>0.99648099999999995</v>
      </c>
      <c r="R450" s="750">
        <v>0</v>
      </c>
      <c r="S450" s="45">
        <v>0.53467600000000004</v>
      </c>
      <c r="T450" s="43">
        <v>0</v>
      </c>
      <c r="U450" s="43">
        <v>0</v>
      </c>
      <c r="V450" s="729">
        <v>0.99648099999999995</v>
      </c>
      <c r="W450" s="616">
        <v>0</v>
      </c>
    </row>
    <row r="451" spans="2:23" x14ac:dyDescent="0.3">
      <c r="B451" s="380" t="s">
        <v>1744</v>
      </c>
      <c r="C451" s="179" t="s">
        <v>922</v>
      </c>
      <c r="D451" s="182">
        <v>0.87507900000000005</v>
      </c>
      <c r="E451" s="43">
        <v>0</v>
      </c>
      <c r="F451" s="43">
        <v>0</v>
      </c>
      <c r="G451" s="729">
        <v>0.214897</v>
      </c>
      <c r="H451" s="750">
        <v>0</v>
      </c>
      <c r="I451" s="43">
        <v>0.965534</v>
      </c>
      <c r="J451" s="43">
        <v>0</v>
      </c>
      <c r="K451" s="43">
        <v>0</v>
      </c>
      <c r="L451" s="729">
        <v>0</v>
      </c>
      <c r="M451" s="750">
        <v>0</v>
      </c>
      <c r="N451" s="45">
        <v>0.321857</v>
      </c>
      <c r="O451" s="43">
        <v>0</v>
      </c>
      <c r="P451" s="43">
        <v>0</v>
      </c>
      <c r="Q451" s="729">
        <v>0.99240700000000004</v>
      </c>
      <c r="R451" s="750">
        <v>0</v>
      </c>
      <c r="S451" s="45">
        <v>0.34165699999999999</v>
      </c>
      <c r="T451" s="43">
        <v>0</v>
      </c>
      <c r="U451" s="43">
        <v>0</v>
      </c>
      <c r="V451" s="729">
        <v>0.99240700000000004</v>
      </c>
      <c r="W451" s="616">
        <v>0</v>
      </c>
    </row>
    <row r="452" spans="2:23" x14ac:dyDescent="0.3">
      <c r="B452" s="380" t="s">
        <v>1745</v>
      </c>
      <c r="C452" s="179" t="s">
        <v>923</v>
      </c>
      <c r="D452" s="182">
        <v>0.42106100000000002</v>
      </c>
      <c r="E452" s="43">
        <v>0</v>
      </c>
      <c r="F452" s="43">
        <v>0</v>
      </c>
      <c r="G452" s="729">
        <v>0.394646</v>
      </c>
      <c r="H452" s="750">
        <v>0</v>
      </c>
      <c r="I452" s="43">
        <v>0.58360500000000004</v>
      </c>
      <c r="J452" s="43">
        <v>0</v>
      </c>
      <c r="K452" s="43">
        <v>0</v>
      </c>
      <c r="L452" s="729">
        <v>0</v>
      </c>
      <c r="M452" s="750">
        <v>0</v>
      </c>
      <c r="N452" s="45">
        <v>0.14578199999999999</v>
      </c>
      <c r="O452" s="43">
        <v>0</v>
      </c>
      <c r="P452" s="43">
        <v>0</v>
      </c>
      <c r="Q452" s="729">
        <v>0.99170999999999998</v>
      </c>
      <c r="R452" s="750">
        <v>0</v>
      </c>
      <c r="S452" s="45">
        <v>0.15377199999999999</v>
      </c>
      <c r="T452" s="43">
        <v>0</v>
      </c>
      <c r="U452" s="43">
        <v>0</v>
      </c>
      <c r="V452" s="729">
        <v>0.99170999999999998</v>
      </c>
      <c r="W452" s="616">
        <v>0</v>
      </c>
    </row>
    <row r="453" spans="2:23" x14ac:dyDescent="0.3">
      <c r="B453" s="380" t="s">
        <v>1746</v>
      </c>
      <c r="C453" s="179" t="s">
        <v>924</v>
      </c>
      <c r="D453" s="182">
        <v>0.43774800000000003</v>
      </c>
      <c r="E453" s="43">
        <v>0</v>
      </c>
      <c r="F453" s="43">
        <v>0</v>
      </c>
      <c r="G453" s="729">
        <v>0.60719100000000004</v>
      </c>
      <c r="H453" s="750">
        <v>0</v>
      </c>
      <c r="I453" s="43">
        <v>0.72460199999999997</v>
      </c>
      <c r="J453" s="43">
        <v>0</v>
      </c>
      <c r="K453" s="43">
        <v>0</v>
      </c>
      <c r="L453" s="729">
        <v>0</v>
      </c>
      <c r="M453" s="750">
        <v>0</v>
      </c>
      <c r="N453" s="45">
        <v>0.28866799999999998</v>
      </c>
      <c r="O453" s="43">
        <v>0</v>
      </c>
      <c r="P453" s="43">
        <v>0</v>
      </c>
      <c r="Q453" s="729">
        <v>0.99288100000000001</v>
      </c>
      <c r="R453" s="750">
        <v>0</v>
      </c>
      <c r="S453" s="45">
        <v>0.32532800000000001</v>
      </c>
      <c r="T453" s="43">
        <v>0</v>
      </c>
      <c r="U453" s="43">
        <v>0</v>
      </c>
      <c r="V453" s="729">
        <v>0.99288100000000001</v>
      </c>
      <c r="W453" s="616">
        <v>0</v>
      </c>
    </row>
    <row r="454" spans="2:23" x14ac:dyDescent="0.3">
      <c r="B454" s="380" t="s">
        <v>1747</v>
      </c>
      <c r="C454" s="179" t="s">
        <v>925</v>
      </c>
      <c r="D454" s="182">
        <v>0.17235200000000001</v>
      </c>
      <c r="E454" s="43">
        <v>0</v>
      </c>
      <c r="F454" s="43">
        <v>0</v>
      </c>
      <c r="G454" s="729">
        <v>5.8868999999999998E-2</v>
      </c>
      <c r="H454" s="750">
        <v>0</v>
      </c>
      <c r="I454" s="43">
        <v>0.17247399999999999</v>
      </c>
      <c r="J454" s="43">
        <v>0</v>
      </c>
      <c r="K454" s="43">
        <v>0</v>
      </c>
      <c r="L454" s="729">
        <v>0</v>
      </c>
      <c r="M454" s="750">
        <v>0</v>
      </c>
      <c r="N454" s="45">
        <v>0.158971</v>
      </c>
      <c r="O454" s="43">
        <v>0.44663199999999997</v>
      </c>
      <c r="P454" s="43">
        <v>0.51</v>
      </c>
      <c r="Q454" s="729">
        <v>0</v>
      </c>
      <c r="R454" s="750">
        <v>0</v>
      </c>
      <c r="S454" s="45">
        <v>0.158971</v>
      </c>
      <c r="T454" s="43">
        <v>0.44663199999999997</v>
      </c>
      <c r="U454" s="43">
        <v>0.51</v>
      </c>
      <c r="V454" s="729">
        <v>0</v>
      </c>
      <c r="W454" s="616">
        <v>0</v>
      </c>
    </row>
    <row r="455" spans="2:23" x14ac:dyDescent="0.3">
      <c r="B455" s="380" t="s">
        <v>1748</v>
      </c>
      <c r="C455" s="179" t="s">
        <v>926</v>
      </c>
      <c r="D455" s="182">
        <v>0.34299800000000003</v>
      </c>
      <c r="E455" s="43">
        <v>0</v>
      </c>
      <c r="F455" s="43">
        <v>0</v>
      </c>
      <c r="G455" s="729">
        <v>0.212455</v>
      </c>
      <c r="H455" s="750">
        <v>0</v>
      </c>
      <c r="I455" s="43">
        <v>0.374886</v>
      </c>
      <c r="J455" s="43">
        <v>0</v>
      </c>
      <c r="K455" s="43">
        <v>0</v>
      </c>
      <c r="L455" s="729">
        <v>0</v>
      </c>
      <c r="M455" s="750">
        <v>0</v>
      </c>
      <c r="N455" s="45">
        <v>0.43306699999999998</v>
      </c>
      <c r="O455" s="43">
        <v>0.55623199999999995</v>
      </c>
      <c r="P455" s="43">
        <v>0.53</v>
      </c>
      <c r="Q455" s="729">
        <v>0</v>
      </c>
      <c r="R455" s="750">
        <v>0</v>
      </c>
      <c r="S455" s="45">
        <v>0.43306699999999998</v>
      </c>
      <c r="T455" s="43">
        <v>0.55623199999999995</v>
      </c>
      <c r="U455" s="43">
        <v>0.53</v>
      </c>
      <c r="V455" s="729">
        <v>0</v>
      </c>
      <c r="W455" s="616">
        <v>0</v>
      </c>
    </row>
    <row r="456" spans="2:23" x14ac:dyDescent="0.3">
      <c r="B456" s="380" t="s">
        <v>1749</v>
      </c>
      <c r="C456" s="179" t="s">
        <v>927</v>
      </c>
      <c r="D456" s="182">
        <v>0.24915499999999999</v>
      </c>
      <c r="E456" s="43">
        <v>0</v>
      </c>
      <c r="F456" s="43">
        <v>0</v>
      </c>
      <c r="G456" s="729">
        <v>0.26307399999999997</v>
      </c>
      <c r="H456" s="750">
        <v>0</v>
      </c>
      <c r="I456" s="43">
        <v>0.262264</v>
      </c>
      <c r="J456" s="43">
        <v>0</v>
      </c>
      <c r="K456" s="43">
        <v>0</v>
      </c>
      <c r="L456" s="729">
        <v>0</v>
      </c>
      <c r="M456" s="750">
        <v>0</v>
      </c>
      <c r="N456" s="45">
        <v>0.349887</v>
      </c>
      <c r="O456" s="43">
        <v>0.54462100000000002</v>
      </c>
      <c r="P456" s="43">
        <v>0.49</v>
      </c>
      <c r="Q456" s="729">
        <v>0</v>
      </c>
      <c r="R456" s="750">
        <v>0</v>
      </c>
      <c r="S456" s="45">
        <v>0.349887</v>
      </c>
      <c r="T456" s="43">
        <v>0.54462100000000002</v>
      </c>
      <c r="U456" s="43">
        <v>0.49</v>
      </c>
      <c r="V456" s="729">
        <v>0</v>
      </c>
      <c r="W456" s="616">
        <v>0</v>
      </c>
    </row>
    <row r="457" spans="2:23" x14ac:dyDescent="0.3">
      <c r="B457" s="380" t="s">
        <v>1750</v>
      </c>
      <c r="C457" s="179" t="s">
        <v>928</v>
      </c>
      <c r="D457" s="182">
        <v>0.175841</v>
      </c>
      <c r="E457" s="43">
        <v>0</v>
      </c>
      <c r="F457" s="43">
        <v>0</v>
      </c>
      <c r="G457" s="729">
        <v>0.42891899999999999</v>
      </c>
      <c r="H457" s="750">
        <v>0</v>
      </c>
      <c r="I457" s="43">
        <v>0.20380000000000001</v>
      </c>
      <c r="J457" s="43">
        <v>0</v>
      </c>
      <c r="K457" s="43">
        <v>0</v>
      </c>
      <c r="L457" s="729">
        <v>0</v>
      </c>
      <c r="M457" s="750">
        <v>0</v>
      </c>
      <c r="N457" s="45">
        <v>0.27642299999999997</v>
      </c>
      <c r="O457" s="43">
        <v>0.506795</v>
      </c>
      <c r="P457" s="43">
        <v>0.5</v>
      </c>
      <c r="Q457" s="729">
        <v>0</v>
      </c>
      <c r="R457" s="750">
        <v>0</v>
      </c>
      <c r="S457" s="45">
        <v>0.27642299999999997</v>
      </c>
      <c r="T457" s="43">
        <v>0.506795</v>
      </c>
      <c r="U457" s="43">
        <v>0.5</v>
      </c>
      <c r="V457" s="729">
        <v>0</v>
      </c>
      <c r="W457" s="616">
        <v>0</v>
      </c>
    </row>
    <row r="458" spans="2:23" x14ac:dyDescent="0.3">
      <c r="B458" s="380" t="s">
        <v>1751</v>
      </c>
      <c r="C458" s="179" t="s">
        <v>929</v>
      </c>
      <c r="D458" s="182">
        <v>0.26994600000000002</v>
      </c>
      <c r="E458" s="43">
        <v>0.40282699999999999</v>
      </c>
      <c r="F458" s="43">
        <v>5.4130000000000003E-3</v>
      </c>
      <c r="G458" s="729">
        <v>0.41762500000000002</v>
      </c>
      <c r="H458" s="750">
        <v>0</v>
      </c>
      <c r="I458" s="43">
        <v>0.32524999999999998</v>
      </c>
      <c r="J458" s="43">
        <v>0</v>
      </c>
      <c r="K458" s="43">
        <v>0</v>
      </c>
      <c r="L458" s="729">
        <v>0</v>
      </c>
      <c r="M458" s="750">
        <v>0</v>
      </c>
      <c r="N458" s="45">
        <v>0.34535199999999999</v>
      </c>
      <c r="O458" s="43">
        <v>0.48901499999999998</v>
      </c>
      <c r="P458" s="43">
        <v>0.5</v>
      </c>
      <c r="Q458" s="729">
        <v>0</v>
      </c>
      <c r="R458" s="750">
        <v>0</v>
      </c>
      <c r="S458" s="45">
        <v>0.34535199999999999</v>
      </c>
      <c r="T458" s="43">
        <v>0.48901499999999998</v>
      </c>
      <c r="U458" s="43">
        <v>0.5</v>
      </c>
      <c r="V458" s="729">
        <v>0</v>
      </c>
      <c r="W458" s="616">
        <v>0</v>
      </c>
    </row>
    <row r="459" spans="2:23" x14ac:dyDescent="0.3">
      <c r="B459" s="380" t="s">
        <v>1752</v>
      </c>
      <c r="C459" s="179" t="s">
        <v>930</v>
      </c>
      <c r="D459" s="182">
        <v>0.97372899999999996</v>
      </c>
      <c r="E459" s="43">
        <v>0.60492999999999997</v>
      </c>
      <c r="F459" s="43">
        <v>1.4982000000000001E-2</v>
      </c>
      <c r="G459" s="729">
        <v>0.61118099999999997</v>
      </c>
      <c r="H459" s="750">
        <v>0.69916</v>
      </c>
      <c r="I459" s="43">
        <v>0.25686900000000001</v>
      </c>
      <c r="J459" s="43">
        <v>0</v>
      </c>
      <c r="K459" s="43">
        <v>0</v>
      </c>
      <c r="L459" s="729">
        <v>0.99895199999999995</v>
      </c>
      <c r="M459" s="750">
        <v>0.17821799999999999</v>
      </c>
      <c r="N459" s="45">
        <v>0.35602800000000001</v>
      </c>
      <c r="O459" s="43">
        <v>0</v>
      </c>
      <c r="P459" s="43">
        <v>0</v>
      </c>
      <c r="Q459" s="729">
        <v>0.99618799999999996</v>
      </c>
      <c r="R459" s="750">
        <v>0.67897200000000002</v>
      </c>
      <c r="S459" s="45">
        <v>0.41314099999999998</v>
      </c>
      <c r="T459" s="43">
        <v>0</v>
      </c>
      <c r="U459" s="43">
        <v>0</v>
      </c>
      <c r="V459" s="729">
        <v>0.998498</v>
      </c>
      <c r="W459" s="616">
        <v>0.36236299999999999</v>
      </c>
    </row>
    <row r="460" spans="2:23" x14ac:dyDescent="0.3">
      <c r="B460" s="380" t="s">
        <v>1753</v>
      </c>
      <c r="C460" s="179" t="s">
        <v>931</v>
      </c>
      <c r="D460" s="182">
        <v>0.28648099999999999</v>
      </c>
      <c r="E460" s="43">
        <v>0</v>
      </c>
      <c r="F460" s="43">
        <v>0</v>
      </c>
      <c r="G460" s="729">
        <v>0.121776</v>
      </c>
      <c r="H460" s="750">
        <v>0</v>
      </c>
      <c r="I460" s="43">
        <v>0.300842</v>
      </c>
      <c r="J460" s="43">
        <v>0</v>
      </c>
      <c r="K460" s="43">
        <v>0</v>
      </c>
      <c r="L460" s="729">
        <v>0</v>
      </c>
      <c r="M460" s="750">
        <v>0</v>
      </c>
      <c r="N460" s="45">
        <v>0.24460000000000001</v>
      </c>
      <c r="O460" s="43">
        <v>0.44633400000000001</v>
      </c>
      <c r="P460" s="43">
        <v>0.55000000000000004</v>
      </c>
      <c r="Q460" s="729">
        <v>0</v>
      </c>
      <c r="R460" s="750">
        <v>0</v>
      </c>
      <c r="S460" s="45">
        <v>0.24460000000000001</v>
      </c>
      <c r="T460" s="43">
        <v>0.44633400000000001</v>
      </c>
      <c r="U460" s="43">
        <v>0.55000000000000004</v>
      </c>
      <c r="V460" s="729">
        <v>0</v>
      </c>
      <c r="W460" s="616">
        <v>0</v>
      </c>
    </row>
    <row r="461" spans="2:23" x14ac:dyDescent="0.3">
      <c r="B461" s="380" t="s">
        <v>1754</v>
      </c>
      <c r="C461" s="179" t="s">
        <v>932</v>
      </c>
      <c r="D461" s="182">
        <v>0.206458</v>
      </c>
      <c r="E461" s="43">
        <v>0</v>
      </c>
      <c r="F461" s="43">
        <v>0</v>
      </c>
      <c r="G461" s="729">
        <v>0.154919</v>
      </c>
      <c r="H461" s="750">
        <v>0</v>
      </c>
      <c r="I461" s="43">
        <v>0.210034</v>
      </c>
      <c r="J461" s="43">
        <v>0</v>
      </c>
      <c r="K461" s="43">
        <v>0</v>
      </c>
      <c r="L461" s="729">
        <v>0</v>
      </c>
      <c r="M461" s="750">
        <v>0</v>
      </c>
      <c r="N461" s="45">
        <v>0.31875199999999998</v>
      </c>
      <c r="O461" s="43">
        <v>0.61901300000000004</v>
      </c>
      <c r="P461" s="43">
        <v>0.49</v>
      </c>
      <c r="Q461" s="729">
        <v>0</v>
      </c>
      <c r="R461" s="750">
        <v>0</v>
      </c>
      <c r="S461" s="45">
        <v>0.31875199999999998</v>
      </c>
      <c r="T461" s="43">
        <v>0.61901300000000004</v>
      </c>
      <c r="U461" s="43">
        <v>0.49</v>
      </c>
      <c r="V461" s="729">
        <v>0</v>
      </c>
      <c r="W461" s="616">
        <v>0</v>
      </c>
    </row>
    <row r="462" spans="2:23" x14ac:dyDescent="0.3">
      <c r="B462" s="380" t="s">
        <v>1755</v>
      </c>
      <c r="C462" s="179" t="s">
        <v>933</v>
      </c>
      <c r="D462" s="182">
        <v>0.223248</v>
      </c>
      <c r="E462" s="43">
        <v>0</v>
      </c>
      <c r="F462" s="43">
        <v>0</v>
      </c>
      <c r="G462" s="729">
        <v>0.42514600000000002</v>
      </c>
      <c r="H462" s="750">
        <v>0</v>
      </c>
      <c r="I462" s="43">
        <v>0.25486399999999998</v>
      </c>
      <c r="J462" s="43">
        <v>0</v>
      </c>
      <c r="K462" s="43">
        <v>0</v>
      </c>
      <c r="L462" s="729">
        <v>0</v>
      </c>
      <c r="M462" s="750">
        <v>0</v>
      </c>
      <c r="N462" s="45">
        <v>0.346721</v>
      </c>
      <c r="O462" s="43">
        <v>0.50688599999999995</v>
      </c>
      <c r="P462" s="43">
        <v>0.49</v>
      </c>
      <c r="Q462" s="729">
        <v>0</v>
      </c>
      <c r="R462" s="750">
        <v>0</v>
      </c>
      <c r="S462" s="45">
        <v>0.346721</v>
      </c>
      <c r="T462" s="43">
        <v>0.50688599999999995</v>
      </c>
      <c r="U462" s="43">
        <v>0.49</v>
      </c>
      <c r="V462" s="729">
        <v>0</v>
      </c>
      <c r="W462" s="616">
        <v>0</v>
      </c>
    </row>
    <row r="463" spans="2:23" x14ac:dyDescent="0.3">
      <c r="B463" s="380" t="s">
        <v>1756</v>
      </c>
      <c r="C463" s="179" t="s">
        <v>934</v>
      </c>
      <c r="D463" s="182">
        <v>0.62053000000000003</v>
      </c>
      <c r="E463" s="43">
        <v>0</v>
      </c>
      <c r="F463" s="43">
        <v>0</v>
      </c>
      <c r="G463" s="729">
        <v>0.32718199999999997</v>
      </c>
      <c r="H463" s="750">
        <v>0</v>
      </c>
      <c r="I463" s="43">
        <v>0.69517300000000004</v>
      </c>
      <c r="J463" s="43">
        <v>0</v>
      </c>
      <c r="K463" s="43">
        <v>0</v>
      </c>
      <c r="L463" s="729">
        <v>0</v>
      </c>
      <c r="M463" s="750">
        <v>0</v>
      </c>
      <c r="N463" s="45">
        <v>0.43158999999999997</v>
      </c>
      <c r="O463" s="43">
        <v>0</v>
      </c>
      <c r="P463" s="43">
        <v>0</v>
      </c>
      <c r="Q463" s="729">
        <v>0.98581300000000005</v>
      </c>
      <c r="R463" s="750">
        <v>0</v>
      </c>
      <c r="S463" s="45">
        <v>0.46065699999999998</v>
      </c>
      <c r="T463" s="43">
        <v>0</v>
      </c>
      <c r="U463" s="43">
        <v>0</v>
      </c>
      <c r="V463" s="729">
        <v>0.98581300000000005</v>
      </c>
      <c r="W463" s="616">
        <v>0</v>
      </c>
    </row>
    <row r="464" spans="2:23" x14ac:dyDescent="0.3">
      <c r="B464" s="380" t="s">
        <v>1757</v>
      </c>
      <c r="C464" s="179" t="s">
        <v>935</v>
      </c>
      <c r="D464" s="182">
        <v>0.38692900000000002</v>
      </c>
      <c r="E464" s="43">
        <v>0</v>
      </c>
      <c r="F464" s="43">
        <v>0</v>
      </c>
      <c r="G464" s="729">
        <v>0.742286</v>
      </c>
      <c r="H464" s="750">
        <v>0</v>
      </c>
      <c r="I464" s="43">
        <v>0.64135500000000001</v>
      </c>
      <c r="J464" s="43">
        <v>0</v>
      </c>
      <c r="K464" s="43">
        <v>0</v>
      </c>
      <c r="L464" s="729">
        <v>0</v>
      </c>
      <c r="M464" s="750">
        <v>0</v>
      </c>
      <c r="N464" s="45">
        <v>0.331341</v>
      </c>
      <c r="O464" s="43">
        <v>0</v>
      </c>
      <c r="P464" s="43">
        <v>0</v>
      </c>
      <c r="Q464" s="729">
        <v>0.98672300000000002</v>
      </c>
      <c r="R464" s="750">
        <v>0</v>
      </c>
      <c r="S464" s="45">
        <v>0.36197699999999999</v>
      </c>
      <c r="T464" s="43">
        <v>0</v>
      </c>
      <c r="U464" s="43">
        <v>0</v>
      </c>
      <c r="V464" s="729">
        <v>0.98672300000000002</v>
      </c>
      <c r="W464" s="616">
        <v>0</v>
      </c>
    </row>
    <row r="465" spans="2:23" x14ac:dyDescent="0.3">
      <c r="B465" s="380" t="s">
        <v>1758</v>
      </c>
      <c r="C465" s="179" t="s">
        <v>936</v>
      </c>
      <c r="D465" s="182">
        <v>1.2230799999999999</v>
      </c>
      <c r="E465" s="43">
        <v>0.413437</v>
      </c>
      <c r="F465" s="43">
        <v>1.0337000000000001E-2</v>
      </c>
      <c r="G465" s="729">
        <v>0.38541300000000001</v>
      </c>
      <c r="H465" s="750">
        <v>0.76265799999999995</v>
      </c>
      <c r="I465" s="43">
        <v>0.36203400000000002</v>
      </c>
      <c r="J465" s="43">
        <v>0</v>
      </c>
      <c r="K465" s="43">
        <v>0</v>
      </c>
      <c r="L465" s="729">
        <v>0.99876100000000001</v>
      </c>
      <c r="M465" s="750">
        <v>0.12809599999999999</v>
      </c>
      <c r="N465" s="45">
        <v>0.48774400000000001</v>
      </c>
      <c r="O465" s="43">
        <v>0</v>
      </c>
      <c r="P465" s="43">
        <v>0</v>
      </c>
      <c r="Q465" s="729">
        <v>0.98684799999999995</v>
      </c>
      <c r="R465" s="750">
        <v>0.86874099999999999</v>
      </c>
      <c r="S465" s="45">
        <v>0.603105</v>
      </c>
      <c r="T465" s="43">
        <v>0</v>
      </c>
      <c r="U465" s="43">
        <v>0</v>
      </c>
      <c r="V465" s="729">
        <v>0.99267499999999997</v>
      </c>
      <c r="W465" s="616">
        <v>0.443131</v>
      </c>
    </row>
    <row r="466" spans="2:23" x14ac:dyDescent="0.3">
      <c r="B466" s="380" t="s">
        <v>1759</v>
      </c>
      <c r="C466" s="179" t="s">
        <v>937</v>
      </c>
      <c r="D466" s="182">
        <v>1.037398</v>
      </c>
      <c r="E466" s="43">
        <v>0.23022999999999999</v>
      </c>
      <c r="F466" s="43">
        <v>0</v>
      </c>
      <c r="G466" s="729">
        <v>0.111751</v>
      </c>
      <c r="H466" s="750">
        <v>0</v>
      </c>
      <c r="I466" s="43">
        <v>1.1081570000000001</v>
      </c>
      <c r="J466" s="43">
        <v>0</v>
      </c>
      <c r="K466" s="43">
        <v>0</v>
      </c>
      <c r="L466" s="729">
        <v>0</v>
      </c>
      <c r="M466" s="750">
        <v>0</v>
      </c>
      <c r="N466" s="45">
        <v>0.68319200000000002</v>
      </c>
      <c r="O466" s="43">
        <v>0.38101200000000002</v>
      </c>
      <c r="P466" s="43">
        <v>0.57999999999999996</v>
      </c>
      <c r="Q466" s="729">
        <v>0.56015700000000002</v>
      </c>
      <c r="R466" s="750">
        <v>0</v>
      </c>
      <c r="S466" s="45">
        <v>0.72827799999999998</v>
      </c>
      <c r="T466" s="43">
        <v>0.38101200000000002</v>
      </c>
      <c r="U466" s="43">
        <v>0.57999999999999996</v>
      </c>
      <c r="V466" s="729">
        <v>0.56015700000000002</v>
      </c>
      <c r="W466" s="616">
        <v>0</v>
      </c>
    </row>
    <row r="467" spans="2:23" x14ac:dyDescent="0.3">
      <c r="B467" s="380" t="s">
        <v>1760</v>
      </c>
      <c r="C467" s="179" t="s">
        <v>938</v>
      </c>
      <c r="D467" s="182">
        <v>0.61880100000000005</v>
      </c>
      <c r="E467" s="43">
        <v>0</v>
      </c>
      <c r="F467" s="43">
        <v>0</v>
      </c>
      <c r="G467" s="729">
        <v>0.31291999999999998</v>
      </c>
      <c r="H467" s="750">
        <v>0</v>
      </c>
      <c r="I467" s="43">
        <v>0.67254999999999998</v>
      </c>
      <c r="J467" s="43">
        <v>0</v>
      </c>
      <c r="K467" s="43">
        <v>0</v>
      </c>
      <c r="L467" s="729">
        <v>0</v>
      </c>
      <c r="M467" s="750">
        <v>0</v>
      </c>
      <c r="N467" s="45">
        <v>0.71781200000000001</v>
      </c>
      <c r="O467" s="43">
        <v>0.47309099999999998</v>
      </c>
      <c r="P467" s="43">
        <v>0.51679900000000001</v>
      </c>
      <c r="Q467" s="729">
        <v>0</v>
      </c>
      <c r="R467" s="750">
        <v>0</v>
      </c>
      <c r="S467" s="45">
        <v>0.71781200000000001</v>
      </c>
      <c r="T467" s="43">
        <v>0.47309099999999998</v>
      </c>
      <c r="U467" s="43">
        <v>0.51679900000000001</v>
      </c>
      <c r="V467" s="729">
        <v>0</v>
      </c>
      <c r="W467" s="616">
        <v>0</v>
      </c>
    </row>
    <row r="468" spans="2:23" x14ac:dyDescent="0.3">
      <c r="B468" s="380" t="s">
        <v>1761</v>
      </c>
      <c r="C468" s="179" t="s">
        <v>939</v>
      </c>
      <c r="D468" s="182">
        <v>0.88112800000000002</v>
      </c>
      <c r="E468" s="43">
        <v>0</v>
      </c>
      <c r="F468" s="43">
        <v>0</v>
      </c>
      <c r="G468" s="729">
        <v>0.12076000000000001</v>
      </c>
      <c r="H468" s="750">
        <v>0</v>
      </c>
      <c r="I468" s="43">
        <v>0.98527600000000004</v>
      </c>
      <c r="J468" s="43">
        <v>0</v>
      </c>
      <c r="K468" s="43">
        <v>0</v>
      </c>
      <c r="L468" s="729">
        <v>0</v>
      </c>
      <c r="M468" s="750">
        <v>0</v>
      </c>
      <c r="N468" s="45">
        <v>0.51981999999999995</v>
      </c>
      <c r="O468" s="43">
        <v>0</v>
      </c>
      <c r="P468" s="43">
        <v>0</v>
      </c>
      <c r="Q468" s="729">
        <v>0.98772800000000005</v>
      </c>
      <c r="R468" s="750">
        <v>0</v>
      </c>
      <c r="S468" s="45">
        <v>0.59903499999999998</v>
      </c>
      <c r="T468" s="43">
        <v>0</v>
      </c>
      <c r="U468" s="43">
        <v>0</v>
      </c>
      <c r="V468" s="729">
        <v>0.98772800000000005</v>
      </c>
      <c r="W468" s="616">
        <v>0</v>
      </c>
    </row>
    <row r="469" spans="2:23" x14ac:dyDescent="0.3">
      <c r="B469" s="380" t="s">
        <v>1762</v>
      </c>
      <c r="C469" s="179" t="s">
        <v>940</v>
      </c>
      <c r="D469" s="182">
        <v>0.68688000000000005</v>
      </c>
      <c r="E469" s="43">
        <v>0</v>
      </c>
      <c r="F469" s="43">
        <v>0</v>
      </c>
      <c r="G469" s="729">
        <v>0.25076999999999999</v>
      </c>
      <c r="H469" s="750">
        <v>0</v>
      </c>
      <c r="I469" s="43">
        <v>0.86361699999999997</v>
      </c>
      <c r="J469" s="43">
        <v>0</v>
      </c>
      <c r="K469" s="43">
        <v>0</v>
      </c>
      <c r="L469" s="729">
        <v>0</v>
      </c>
      <c r="M469" s="750">
        <v>0</v>
      </c>
      <c r="N469" s="45">
        <v>0.41781699999999999</v>
      </c>
      <c r="O469" s="43">
        <v>0</v>
      </c>
      <c r="P469" s="43">
        <v>0</v>
      </c>
      <c r="Q469" s="729">
        <v>0.98316499999999996</v>
      </c>
      <c r="R469" s="750">
        <v>0</v>
      </c>
      <c r="S469" s="45">
        <v>0.47990300000000002</v>
      </c>
      <c r="T469" s="43">
        <v>0</v>
      </c>
      <c r="U469" s="43">
        <v>0</v>
      </c>
      <c r="V469" s="729">
        <v>0.98316499999999996</v>
      </c>
      <c r="W469" s="616">
        <v>0</v>
      </c>
    </row>
    <row r="470" spans="2:23" x14ac:dyDescent="0.3">
      <c r="B470" s="380" t="s">
        <v>1763</v>
      </c>
      <c r="C470" s="179" t="s">
        <v>941</v>
      </c>
      <c r="D470" s="182">
        <v>0.57189999999999996</v>
      </c>
      <c r="E470" s="43">
        <v>0</v>
      </c>
      <c r="F470" s="43">
        <v>0</v>
      </c>
      <c r="G470" s="729">
        <v>0.42207899999999998</v>
      </c>
      <c r="H470" s="750">
        <v>0</v>
      </c>
      <c r="I470" s="43">
        <v>0.70573799999999998</v>
      </c>
      <c r="J470" s="43">
        <v>0</v>
      </c>
      <c r="K470" s="43">
        <v>0</v>
      </c>
      <c r="L470" s="729">
        <v>0</v>
      </c>
      <c r="M470" s="750">
        <v>0</v>
      </c>
      <c r="N470" s="45">
        <v>0.60724500000000003</v>
      </c>
      <c r="O470" s="43">
        <v>0</v>
      </c>
      <c r="P470" s="43">
        <v>0</v>
      </c>
      <c r="Q470" s="729">
        <v>0.98845300000000003</v>
      </c>
      <c r="R470" s="750">
        <v>0</v>
      </c>
      <c r="S470" s="45">
        <v>0.69552400000000003</v>
      </c>
      <c r="T470" s="43">
        <v>0</v>
      </c>
      <c r="U470" s="43">
        <v>0</v>
      </c>
      <c r="V470" s="729">
        <v>0.98845300000000003</v>
      </c>
      <c r="W470" s="616">
        <v>0</v>
      </c>
    </row>
    <row r="471" spans="2:23" x14ac:dyDescent="0.3">
      <c r="B471" s="380" t="s">
        <v>1764</v>
      </c>
      <c r="C471" s="179" t="s">
        <v>942</v>
      </c>
      <c r="D471" s="182">
        <v>0.38533699999999999</v>
      </c>
      <c r="E471" s="43">
        <v>0</v>
      </c>
      <c r="F471" s="43">
        <v>0</v>
      </c>
      <c r="G471" s="729">
        <v>0.43700600000000001</v>
      </c>
      <c r="H471" s="750">
        <v>0</v>
      </c>
      <c r="I471" s="43">
        <v>0.45308100000000001</v>
      </c>
      <c r="J471" s="43">
        <v>0</v>
      </c>
      <c r="K471" s="43">
        <v>0</v>
      </c>
      <c r="L471" s="729">
        <v>0</v>
      </c>
      <c r="M471" s="750">
        <v>0</v>
      </c>
      <c r="N471" s="45">
        <v>0.33157399999999998</v>
      </c>
      <c r="O471" s="43">
        <v>0</v>
      </c>
      <c r="P471" s="43">
        <v>0</v>
      </c>
      <c r="Q471" s="729">
        <v>0.98802699999999999</v>
      </c>
      <c r="R471" s="750">
        <v>0</v>
      </c>
      <c r="S471" s="45">
        <v>0.35422399999999998</v>
      </c>
      <c r="T471" s="43">
        <v>0</v>
      </c>
      <c r="U471" s="43">
        <v>0</v>
      </c>
      <c r="V471" s="729">
        <v>0.98802699999999999</v>
      </c>
      <c r="W471" s="616">
        <v>0</v>
      </c>
    </row>
    <row r="472" spans="2:23" x14ac:dyDescent="0.3">
      <c r="B472" s="380" t="s">
        <v>1765</v>
      </c>
      <c r="C472" s="179" t="s">
        <v>943</v>
      </c>
      <c r="D472" s="182">
        <v>0.71798099999999998</v>
      </c>
      <c r="E472" s="43">
        <v>0.50919800000000004</v>
      </c>
      <c r="F472" s="43">
        <v>8.3289999999999996E-3</v>
      </c>
      <c r="G472" s="729">
        <v>0.30316199999999999</v>
      </c>
      <c r="H472" s="750">
        <v>0.20786499999999999</v>
      </c>
      <c r="I472" s="43">
        <v>0.264403</v>
      </c>
      <c r="J472" s="43">
        <v>0</v>
      </c>
      <c r="K472" s="43">
        <v>0</v>
      </c>
      <c r="L472" s="729">
        <v>0.99417800000000001</v>
      </c>
      <c r="M472" s="750">
        <v>6.8256999999999998E-2</v>
      </c>
      <c r="N472" s="45">
        <v>0.38486199999999998</v>
      </c>
      <c r="O472" s="43">
        <v>0</v>
      </c>
      <c r="P472" s="43">
        <v>0</v>
      </c>
      <c r="Q472" s="729">
        <v>0.99263400000000002</v>
      </c>
      <c r="R472" s="750">
        <v>0.76970300000000003</v>
      </c>
      <c r="S472" s="45">
        <v>0.48453200000000002</v>
      </c>
      <c r="T472" s="43">
        <v>0</v>
      </c>
      <c r="U472" s="43">
        <v>0</v>
      </c>
      <c r="V472" s="729">
        <v>0.99352499999999999</v>
      </c>
      <c r="W472" s="616">
        <v>0.28456799999999999</v>
      </c>
    </row>
    <row r="473" spans="2:23" x14ac:dyDescent="0.3">
      <c r="B473" s="380" t="s">
        <v>1766</v>
      </c>
      <c r="C473" s="179" t="s">
        <v>944</v>
      </c>
      <c r="D473" s="182">
        <v>1.1963170000000001</v>
      </c>
      <c r="E473" s="43">
        <v>0.65252100000000002</v>
      </c>
      <c r="F473" s="43">
        <v>0</v>
      </c>
      <c r="G473" s="729">
        <v>0.52751000000000003</v>
      </c>
      <c r="H473" s="750">
        <v>0.99800599999999995</v>
      </c>
      <c r="I473" s="43">
        <v>0.42849999999999999</v>
      </c>
      <c r="J473" s="43">
        <v>0</v>
      </c>
      <c r="K473" s="43">
        <v>0</v>
      </c>
      <c r="L473" s="729">
        <v>0.99943400000000004</v>
      </c>
      <c r="M473" s="750">
        <v>0.95674899999999996</v>
      </c>
      <c r="N473" s="45">
        <v>0.35263299999999997</v>
      </c>
      <c r="O473" s="43">
        <v>0</v>
      </c>
      <c r="P473" s="43">
        <v>0</v>
      </c>
      <c r="Q473" s="729">
        <v>0.99981900000000001</v>
      </c>
      <c r="R473" s="750">
        <v>0.99888299999999997</v>
      </c>
      <c r="S473" s="45">
        <v>0.59358599999999995</v>
      </c>
      <c r="T473" s="43">
        <v>0</v>
      </c>
      <c r="U473" s="43">
        <v>0</v>
      </c>
      <c r="V473" s="729">
        <v>0.99981299999999995</v>
      </c>
      <c r="W473" s="616">
        <v>0.99107999999999996</v>
      </c>
    </row>
    <row r="474" spans="2:23" x14ac:dyDescent="0.3">
      <c r="B474" s="380" t="s">
        <v>1767</v>
      </c>
      <c r="C474" s="179" t="s">
        <v>945</v>
      </c>
      <c r="D474" s="182">
        <v>0.91711399999999998</v>
      </c>
      <c r="E474" s="43">
        <v>0.41463699999999998</v>
      </c>
      <c r="F474" s="43">
        <v>0</v>
      </c>
      <c r="G474" s="729">
        <v>0.19900599999999999</v>
      </c>
      <c r="H474" s="750">
        <v>0.69338</v>
      </c>
      <c r="I474" s="43">
        <v>0.30881500000000001</v>
      </c>
      <c r="J474" s="43">
        <v>0</v>
      </c>
      <c r="K474" s="43">
        <v>0</v>
      </c>
      <c r="L474" s="729">
        <v>0.99934299999999998</v>
      </c>
      <c r="M474" s="750">
        <v>0.175426</v>
      </c>
      <c r="N474" s="45">
        <v>0.31267899999999998</v>
      </c>
      <c r="O474" s="43">
        <v>0</v>
      </c>
      <c r="P474" s="43">
        <v>0</v>
      </c>
      <c r="Q474" s="729">
        <v>0.99020799999999998</v>
      </c>
      <c r="R474" s="750">
        <v>0.950542</v>
      </c>
      <c r="S474" s="45">
        <v>0.43792199999999998</v>
      </c>
      <c r="T474" s="43">
        <v>0</v>
      </c>
      <c r="U474" s="43">
        <v>0</v>
      </c>
      <c r="V474" s="729">
        <v>0.99636000000000002</v>
      </c>
      <c r="W474" s="616">
        <v>0.64858000000000005</v>
      </c>
    </row>
    <row r="475" spans="2:23" x14ac:dyDescent="0.3">
      <c r="B475" s="380" t="s">
        <v>1768</v>
      </c>
      <c r="C475" s="179" t="s">
        <v>946</v>
      </c>
      <c r="D475" s="182">
        <v>2.5126650000000001</v>
      </c>
      <c r="E475" s="43">
        <v>0.48641499999999999</v>
      </c>
      <c r="F475" s="43">
        <v>6.1760000000000001E-3</v>
      </c>
      <c r="G475" s="729">
        <v>0.66281800000000002</v>
      </c>
      <c r="H475" s="750">
        <v>1</v>
      </c>
      <c r="I475" s="43">
        <v>0.67494500000000002</v>
      </c>
      <c r="J475" s="43">
        <v>0</v>
      </c>
      <c r="K475" s="43">
        <v>0</v>
      </c>
      <c r="L475" s="729">
        <v>1</v>
      </c>
      <c r="M475" s="750">
        <v>1</v>
      </c>
      <c r="N475" s="45">
        <v>0.53253499999999998</v>
      </c>
      <c r="O475" s="43">
        <v>0</v>
      </c>
      <c r="P475" s="43">
        <v>0</v>
      </c>
      <c r="Q475" s="729">
        <v>0.99992800000000004</v>
      </c>
      <c r="R475" s="750">
        <v>1</v>
      </c>
      <c r="S475" s="45">
        <v>0.91454299999999999</v>
      </c>
      <c r="T475" s="43">
        <v>0</v>
      </c>
      <c r="U475" s="43">
        <v>0</v>
      </c>
      <c r="V475" s="729">
        <v>1</v>
      </c>
      <c r="W475" s="616">
        <v>1</v>
      </c>
    </row>
    <row r="476" spans="2:23" x14ac:dyDescent="0.3">
      <c r="B476" s="380" t="s">
        <v>1769</v>
      </c>
      <c r="C476" s="179" t="s">
        <v>947</v>
      </c>
      <c r="D476" s="182">
        <v>0.52197099999999996</v>
      </c>
      <c r="E476" s="43">
        <v>0.59914900000000004</v>
      </c>
      <c r="F476" s="43">
        <v>0</v>
      </c>
      <c r="G476" s="729">
        <v>0.22627900000000001</v>
      </c>
      <c r="H476" s="750">
        <v>0.80212000000000006</v>
      </c>
      <c r="I476" s="43">
        <v>0.18348300000000001</v>
      </c>
      <c r="J476" s="43">
        <v>0</v>
      </c>
      <c r="K476" s="43">
        <v>0</v>
      </c>
      <c r="L476" s="729">
        <v>0.99999199999999999</v>
      </c>
      <c r="M476" s="750">
        <v>0.44713900000000001</v>
      </c>
      <c r="N476" s="45">
        <v>0.14882799999999999</v>
      </c>
      <c r="O476" s="43">
        <v>0</v>
      </c>
      <c r="P476" s="43">
        <v>0</v>
      </c>
      <c r="Q476" s="729">
        <v>0.99967700000000004</v>
      </c>
      <c r="R476" s="750">
        <v>0.98746</v>
      </c>
      <c r="S476" s="45">
        <v>0.237202</v>
      </c>
      <c r="T476" s="43">
        <v>0</v>
      </c>
      <c r="U476" s="43">
        <v>0</v>
      </c>
      <c r="V476" s="729">
        <v>0.99979399999999996</v>
      </c>
      <c r="W476" s="616">
        <v>0.88351599999999997</v>
      </c>
    </row>
    <row r="477" spans="2:23" x14ac:dyDescent="0.3">
      <c r="B477" s="380" t="s">
        <v>1770</v>
      </c>
      <c r="C477" s="179" t="s">
        <v>948</v>
      </c>
      <c r="D477" s="182">
        <v>1.967182</v>
      </c>
      <c r="E477" s="43">
        <v>0.432255</v>
      </c>
      <c r="F477" s="43">
        <v>0</v>
      </c>
      <c r="G477" s="729">
        <v>0.61260499999999996</v>
      </c>
      <c r="H477" s="750">
        <v>1</v>
      </c>
      <c r="I477" s="43">
        <v>0.51768999999999998</v>
      </c>
      <c r="J477" s="43">
        <v>0</v>
      </c>
      <c r="K477" s="43">
        <v>0</v>
      </c>
      <c r="L477" s="729">
        <v>1</v>
      </c>
      <c r="M477" s="750">
        <v>1</v>
      </c>
      <c r="N477" s="45">
        <v>0.43392999999999998</v>
      </c>
      <c r="O477" s="43">
        <v>0</v>
      </c>
      <c r="P477" s="43">
        <v>0</v>
      </c>
      <c r="Q477" s="729">
        <v>0.99984399999999996</v>
      </c>
      <c r="R477" s="750">
        <v>1</v>
      </c>
      <c r="S477" s="45">
        <v>0.72545599999999999</v>
      </c>
      <c r="T477" s="43">
        <v>0</v>
      </c>
      <c r="U477" s="43">
        <v>0</v>
      </c>
      <c r="V477" s="729">
        <v>1</v>
      </c>
      <c r="W477" s="616">
        <v>1</v>
      </c>
    </row>
    <row r="478" spans="2:23" x14ac:dyDescent="0.3">
      <c r="B478" s="380" t="s">
        <v>1771</v>
      </c>
      <c r="C478" s="179" t="s">
        <v>949</v>
      </c>
      <c r="D478" s="182">
        <v>1.0840209999999999</v>
      </c>
      <c r="E478" s="43">
        <v>0.345003</v>
      </c>
      <c r="F478" s="43">
        <v>6.9170000000000004E-3</v>
      </c>
      <c r="G478" s="729">
        <v>0.82011100000000003</v>
      </c>
      <c r="H478" s="750">
        <v>1</v>
      </c>
      <c r="I478" s="43">
        <v>0.39540599999999998</v>
      </c>
      <c r="J478" s="43">
        <v>0</v>
      </c>
      <c r="K478" s="43">
        <v>0</v>
      </c>
      <c r="L478" s="729">
        <v>0.99946900000000005</v>
      </c>
      <c r="M478" s="750">
        <v>1</v>
      </c>
      <c r="N478" s="45">
        <v>0.34270699999999998</v>
      </c>
      <c r="O478" s="43">
        <v>0</v>
      </c>
      <c r="P478" s="43">
        <v>0</v>
      </c>
      <c r="Q478" s="729">
        <v>0.99998900000000002</v>
      </c>
      <c r="R478" s="750">
        <v>1</v>
      </c>
      <c r="S478" s="45">
        <v>0.56443200000000004</v>
      </c>
      <c r="T478" s="43">
        <v>0</v>
      </c>
      <c r="U478" s="43">
        <v>0</v>
      </c>
      <c r="V478" s="729">
        <v>0.99946900000000005</v>
      </c>
      <c r="W478" s="616">
        <v>1</v>
      </c>
    </row>
    <row r="479" spans="2:23" x14ac:dyDescent="0.3">
      <c r="B479" s="380" t="s">
        <v>1772</v>
      </c>
      <c r="C479" s="179" t="s">
        <v>950</v>
      </c>
      <c r="D479" s="182">
        <v>0.32225999999999999</v>
      </c>
      <c r="E479" s="43">
        <v>0</v>
      </c>
      <c r="F479" s="43">
        <v>0</v>
      </c>
      <c r="G479" s="729">
        <v>0.98029599999999995</v>
      </c>
      <c r="H479" s="750">
        <v>1</v>
      </c>
      <c r="I479" s="43">
        <v>0.33885900000000002</v>
      </c>
      <c r="J479" s="43">
        <v>0</v>
      </c>
      <c r="K479" s="43">
        <v>0</v>
      </c>
      <c r="L479" s="729">
        <v>1</v>
      </c>
      <c r="M479" s="750">
        <v>1</v>
      </c>
      <c r="N479" s="45">
        <v>0.36244799999999999</v>
      </c>
      <c r="O479" s="43">
        <v>0</v>
      </c>
      <c r="P479" s="43">
        <v>0</v>
      </c>
      <c r="Q479" s="729">
        <v>1</v>
      </c>
      <c r="R479" s="750">
        <v>1</v>
      </c>
      <c r="S479" s="45">
        <v>0.52895300000000001</v>
      </c>
      <c r="T479" s="43">
        <v>0</v>
      </c>
      <c r="U479" s="43">
        <v>0</v>
      </c>
      <c r="V479" s="729">
        <v>1</v>
      </c>
      <c r="W479" s="616">
        <v>1</v>
      </c>
    </row>
    <row r="480" spans="2:23" x14ac:dyDescent="0.3">
      <c r="B480" s="380" t="s">
        <v>1773</v>
      </c>
      <c r="C480" s="179" t="s">
        <v>951</v>
      </c>
      <c r="D480" s="182">
        <v>2.0464389999999999</v>
      </c>
      <c r="E480" s="43">
        <v>0.43607200000000002</v>
      </c>
      <c r="F480" s="43">
        <v>4.0419999999999996E-3</v>
      </c>
      <c r="G480" s="729">
        <v>0.70082900000000004</v>
      </c>
      <c r="H480" s="750">
        <v>1</v>
      </c>
      <c r="I480" s="43">
        <v>0.57169199999999998</v>
      </c>
      <c r="J480" s="43">
        <v>0</v>
      </c>
      <c r="K480" s="43">
        <v>0</v>
      </c>
      <c r="L480" s="729">
        <v>1</v>
      </c>
      <c r="M480" s="750">
        <v>1</v>
      </c>
      <c r="N480" s="45">
        <v>0.46860800000000002</v>
      </c>
      <c r="O480" s="43">
        <v>0</v>
      </c>
      <c r="P480" s="43">
        <v>0</v>
      </c>
      <c r="Q480" s="729">
        <v>0.99998699999999996</v>
      </c>
      <c r="R480" s="750">
        <v>1</v>
      </c>
      <c r="S480" s="45">
        <v>0.79599299999999995</v>
      </c>
      <c r="T480" s="43">
        <v>0</v>
      </c>
      <c r="U480" s="43">
        <v>0</v>
      </c>
      <c r="V480" s="729">
        <v>1</v>
      </c>
      <c r="W480" s="616">
        <v>1</v>
      </c>
    </row>
    <row r="481" spans="2:23" x14ac:dyDescent="0.3">
      <c r="B481" s="380" t="s">
        <v>1774</v>
      </c>
      <c r="C481" s="179" t="s">
        <v>952</v>
      </c>
      <c r="D481" s="182">
        <v>1.147348</v>
      </c>
      <c r="E481" s="43">
        <v>0.41501100000000002</v>
      </c>
      <c r="F481" s="43">
        <v>4.5909999999999996E-3</v>
      </c>
      <c r="G481" s="729">
        <v>0.69632099999999997</v>
      </c>
      <c r="H481" s="750">
        <v>1</v>
      </c>
      <c r="I481" s="43">
        <v>0.319054</v>
      </c>
      <c r="J481" s="43">
        <v>0</v>
      </c>
      <c r="K481" s="43">
        <v>0</v>
      </c>
      <c r="L481" s="729">
        <v>0.99990000000000001</v>
      </c>
      <c r="M481" s="750">
        <v>1</v>
      </c>
      <c r="N481" s="45">
        <v>0.26525500000000002</v>
      </c>
      <c r="O481" s="43">
        <v>0</v>
      </c>
      <c r="P481" s="43">
        <v>0</v>
      </c>
      <c r="Q481" s="729">
        <v>0.99988999999999995</v>
      </c>
      <c r="R481" s="750">
        <v>1</v>
      </c>
      <c r="S481" s="45">
        <v>0.44159500000000002</v>
      </c>
      <c r="T481" s="43">
        <v>0</v>
      </c>
      <c r="U481" s="43">
        <v>0</v>
      </c>
      <c r="V481" s="729">
        <v>0.99990000000000001</v>
      </c>
      <c r="W481" s="616">
        <v>1</v>
      </c>
    </row>
    <row r="482" spans="2:23" x14ac:dyDescent="0.3">
      <c r="B482" s="380" t="s">
        <v>1775</v>
      </c>
      <c r="C482" s="179" t="s">
        <v>953</v>
      </c>
      <c r="D482" s="182">
        <v>0.58664400000000005</v>
      </c>
      <c r="E482" s="43">
        <v>0.69091599999999997</v>
      </c>
      <c r="F482" s="43">
        <v>0</v>
      </c>
      <c r="G482" s="729">
        <v>0.67734399999999995</v>
      </c>
      <c r="H482" s="750">
        <v>1</v>
      </c>
      <c r="I482" s="43">
        <v>0.16172700000000001</v>
      </c>
      <c r="J482" s="43">
        <v>0</v>
      </c>
      <c r="K482" s="43">
        <v>0</v>
      </c>
      <c r="L482" s="729">
        <v>1</v>
      </c>
      <c r="M482" s="750">
        <v>1</v>
      </c>
      <c r="N482" s="45">
        <v>0.12787899999999999</v>
      </c>
      <c r="O482" s="43">
        <v>0</v>
      </c>
      <c r="P482" s="43">
        <v>0</v>
      </c>
      <c r="Q482" s="729">
        <v>0.99998399999999998</v>
      </c>
      <c r="R482" s="750">
        <v>1</v>
      </c>
      <c r="S482" s="45">
        <v>0.21793199999999999</v>
      </c>
      <c r="T482" s="43">
        <v>0</v>
      </c>
      <c r="U482" s="43">
        <v>0</v>
      </c>
      <c r="V482" s="729">
        <v>1</v>
      </c>
      <c r="W482" s="616">
        <v>1</v>
      </c>
    </row>
    <row r="483" spans="2:23" x14ac:dyDescent="0.3">
      <c r="B483" s="380" t="s">
        <v>1776</v>
      </c>
      <c r="C483" s="179" t="s">
        <v>954</v>
      </c>
      <c r="D483" s="182">
        <v>0.50831099999999996</v>
      </c>
      <c r="E483" s="43">
        <v>0.55815599999999999</v>
      </c>
      <c r="F483" s="43">
        <v>1.7198000000000001E-2</v>
      </c>
      <c r="G483" s="729">
        <v>0.87226300000000001</v>
      </c>
      <c r="H483" s="750">
        <v>1</v>
      </c>
      <c r="I483" s="43">
        <v>0.26147399999999998</v>
      </c>
      <c r="J483" s="43">
        <v>0</v>
      </c>
      <c r="K483" s="43">
        <v>0</v>
      </c>
      <c r="L483" s="729">
        <v>1</v>
      </c>
      <c r="M483" s="750">
        <v>1</v>
      </c>
      <c r="N483" s="45">
        <v>0.221386</v>
      </c>
      <c r="O483" s="43">
        <v>0</v>
      </c>
      <c r="P483" s="43">
        <v>0</v>
      </c>
      <c r="Q483" s="729">
        <v>0.99999899999999997</v>
      </c>
      <c r="R483" s="750">
        <v>1</v>
      </c>
      <c r="S483" s="45">
        <v>0.37028</v>
      </c>
      <c r="T483" s="43">
        <v>0</v>
      </c>
      <c r="U483" s="43">
        <v>0</v>
      </c>
      <c r="V483" s="729">
        <v>1</v>
      </c>
      <c r="W483" s="616">
        <v>1</v>
      </c>
    </row>
    <row r="484" spans="2:23" x14ac:dyDescent="0.3">
      <c r="B484" s="380" t="s">
        <v>1777</v>
      </c>
      <c r="C484" s="179" t="s">
        <v>955</v>
      </c>
      <c r="D484" s="182">
        <v>0.25635599999999997</v>
      </c>
      <c r="E484" s="43">
        <v>0.80917700000000004</v>
      </c>
      <c r="F484" s="43">
        <v>0</v>
      </c>
      <c r="G484" s="729">
        <v>0.35189199999999998</v>
      </c>
      <c r="H484" s="750">
        <v>0.95538999999999996</v>
      </c>
      <c r="I484" s="43">
        <v>0.15496299999999999</v>
      </c>
      <c r="J484" s="43">
        <v>0.37424000000000002</v>
      </c>
      <c r="K484" s="43">
        <v>0.52</v>
      </c>
      <c r="L484" s="729">
        <v>0</v>
      </c>
      <c r="M484" s="750">
        <v>0</v>
      </c>
      <c r="N484" s="45">
        <v>4.8619999999999997E-2</v>
      </c>
      <c r="O484" s="43">
        <v>0</v>
      </c>
      <c r="P484" s="43">
        <v>0</v>
      </c>
      <c r="Q484" s="729">
        <v>1</v>
      </c>
      <c r="R484" s="750">
        <v>0.93881599999999998</v>
      </c>
      <c r="S484" s="45">
        <v>0.20196600000000001</v>
      </c>
      <c r="T484" s="43">
        <v>0.32522299999999998</v>
      </c>
      <c r="U484" s="43">
        <v>0.51</v>
      </c>
      <c r="V484" s="729">
        <v>0</v>
      </c>
      <c r="W484" s="616">
        <v>0</v>
      </c>
    </row>
    <row r="485" spans="2:23" x14ac:dyDescent="0.3">
      <c r="B485" s="380" t="s">
        <v>1778</v>
      </c>
      <c r="C485" s="179" t="s">
        <v>956</v>
      </c>
      <c r="D485" s="182">
        <v>0.70882800000000001</v>
      </c>
      <c r="E485" s="43">
        <v>0.47273300000000001</v>
      </c>
      <c r="F485" s="43">
        <v>5.4169999999999999E-3</v>
      </c>
      <c r="G485" s="729">
        <v>0.32378099999999999</v>
      </c>
      <c r="H485" s="750">
        <v>0.67458899999999999</v>
      </c>
      <c r="I485" s="43">
        <v>0.19121299999999999</v>
      </c>
      <c r="J485" s="43">
        <v>0</v>
      </c>
      <c r="K485" s="43">
        <v>0</v>
      </c>
      <c r="L485" s="729">
        <v>0.99976900000000002</v>
      </c>
      <c r="M485" s="750">
        <v>9.3033000000000005E-2</v>
      </c>
      <c r="N485" s="45">
        <v>0.222526</v>
      </c>
      <c r="O485" s="43">
        <v>0</v>
      </c>
      <c r="P485" s="43">
        <v>0</v>
      </c>
      <c r="Q485" s="729">
        <v>0.99999000000000005</v>
      </c>
      <c r="R485" s="750">
        <v>0.87866200000000005</v>
      </c>
      <c r="S485" s="45">
        <v>0.675404</v>
      </c>
      <c r="T485" s="43">
        <v>0.37501600000000002</v>
      </c>
      <c r="U485" s="43">
        <v>0.49963299999999999</v>
      </c>
      <c r="V485" s="729">
        <v>0</v>
      </c>
      <c r="W485" s="616">
        <v>0</v>
      </c>
    </row>
    <row r="486" spans="2:23" x14ac:dyDescent="0.3">
      <c r="B486" s="380" t="s">
        <v>1779</v>
      </c>
      <c r="C486" s="179" t="s">
        <v>957</v>
      </c>
      <c r="D486" s="182">
        <v>0.46769899999999998</v>
      </c>
      <c r="E486" s="43">
        <v>0</v>
      </c>
      <c r="F486" s="43">
        <v>0</v>
      </c>
      <c r="G486" s="729">
        <v>0.468613</v>
      </c>
      <c r="H486" s="750">
        <v>2.8839999999999998E-3</v>
      </c>
      <c r="I486" s="43">
        <v>0.37282300000000002</v>
      </c>
      <c r="J486" s="43">
        <v>0</v>
      </c>
      <c r="K486" s="43">
        <v>0</v>
      </c>
      <c r="L486" s="729">
        <v>0.99485500000000004</v>
      </c>
      <c r="M486" s="750">
        <v>5.0146000000000003E-2</v>
      </c>
      <c r="N486" s="45">
        <v>0.57309500000000002</v>
      </c>
      <c r="O486" s="43">
        <v>0</v>
      </c>
      <c r="P486" s="43">
        <v>0</v>
      </c>
      <c r="Q486" s="729">
        <v>0.977182</v>
      </c>
      <c r="R486" s="750">
        <v>0.70698899999999998</v>
      </c>
      <c r="S486" s="45">
        <v>0.755687</v>
      </c>
      <c r="T486" s="43">
        <v>0</v>
      </c>
      <c r="U486" s="43">
        <v>0</v>
      </c>
      <c r="V486" s="729">
        <v>0.97773600000000005</v>
      </c>
      <c r="W486" s="616">
        <v>0.29208200000000001</v>
      </c>
    </row>
    <row r="487" spans="2:23" x14ac:dyDescent="0.3">
      <c r="B487" s="380" t="s">
        <v>1780</v>
      </c>
      <c r="C487" s="179" t="s">
        <v>958</v>
      </c>
      <c r="D487" s="182">
        <v>0.169873</v>
      </c>
      <c r="E487" s="43">
        <v>0</v>
      </c>
      <c r="F487" s="43">
        <v>0</v>
      </c>
      <c r="G487" s="729">
        <v>0.43565599999999999</v>
      </c>
      <c r="H487" s="750">
        <v>0</v>
      </c>
      <c r="I487" s="43">
        <v>0.20167299999999999</v>
      </c>
      <c r="J487" s="43">
        <v>0</v>
      </c>
      <c r="K487" s="43">
        <v>0</v>
      </c>
      <c r="L487" s="729">
        <v>0</v>
      </c>
      <c r="M487" s="750">
        <v>0</v>
      </c>
      <c r="N487" s="45">
        <v>0.23752300000000001</v>
      </c>
      <c r="O487" s="43">
        <v>0.542466</v>
      </c>
      <c r="P487" s="43">
        <v>0.51</v>
      </c>
      <c r="Q487" s="729">
        <v>0</v>
      </c>
      <c r="R487" s="750">
        <v>0</v>
      </c>
      <c r="S487" s="45">
        <v>0.23752300000000001</v>
      </c>
      <c r="T487" s="43">
        <v>0.542466</v>
      </c>
      <c r="U487" s="43">
        <v>0.51</v>
      </c>
      <c r="V487" s="729">
        <v>0</v>
      </c>
      <c r="W487" s="616">
        <v>0</v>
      </c>
    </row>
    <row r="488" spans="2:23" x14ac:dyDescent="0.3">
      <c r="B488" s="380" t="s">
        <v>1781</v>
      </c>
      <c r="C488" s="179" t="s">
        <v>959</v>
      </c>
      <c r="D488" s="182">
        <v>0.215165</v>
      </c>
      <c r="E488" s="43">
        <v>0</v>
      </c>
      <c r="F488" s="43">
        <v>0</v>
      </c>
      <c r="G488" s="729">
        <v>0.242392</v>
      </c>
      <c r="H488" s="750">
        <v>0</v>
      </c>
      <c r="I488" s="43">
        <v>0.22283900000000001</v>
      </c>
      <c r="J488" s="43">
        <v>0</v>
      </c>
      <c r="K488" s="43">
        <v>0</v>
      </c>
      <c r="L488" s="729">
        <v>0</v>
      </c>
      <c r="M488" s="750">
        <v>0</v>
      </c>
      <c r="N488" s="45">
        <v>0.26740599999999998</v>
      </c>
      <c r="O488" s="43">
        <v>0.57085799999999998</v>
      </c>
      <c r="P488" s="43">
        <v>0.5</v>
      </c>
      <c r="Q488" s="729">
        <v>0</v>
      </c>
      <c r="R488" s="750">
        <v>0</v>
      </c>
      <c r="S488" s="45">
        <v>0.26740599999999998</v>
      </c>
      <c r="T488" s="43">
        <v>0.57085799999999998</v>
      </c>
      <c r="U488" s="43">
        <v>0.5</v>
      </c>
      <c r="V488" s="729">
        <v>0</v>
      </c>
      <c r="W488" s="616">
        <v>0</v>
      </c>
    </row>
    <row r="489" spans="2:23" x14ac:dyDescent="0.3">
      <c r="B489" s="380" t="s">
        <v>1782</v>
      </c>
      <c r="C489" s="179" t="s">
        <v>960</v>
      </c>
      <c r="D489" s="182">
        <v>0.54514700000000005</v>
      </c>
      <c r="E489" s="43">
        <v>0</v>
      </c>
      <c r="F489" s="43">
        <v>0</v>
      </c>
      <c r="G489" s="729">
        <v>0.172018</v>
      </c>
      <c r="H489" s="750">
        <v>0</v>
      </c>
      <c r="I489" s="43">
        <v>0.69159300000000001</v>
      </c>
      <c r="J489" s="43">
        <v>0</v>
      </c>
      <c r="K489" s="43">
        <v>0</v>
      </c>
      <c r="L489" s="729">
        <v>0</v>
      </c>
      <c r="M489" s="750">
        <v>0</v>
      </c>
      <c r="N489" s="45">
        <v>0.47772100000000001</v>
      </c>
      <c r="O489" s="43">
        <v>0</v>
      </c>
      <c r="P489" s="43">
        <v>0</v>
      </c>
      <c r="Q489" s="729">
        <v>1</v>
      </c>
      <c r="R489" s="750">
        <v>0</v>
      </c>
      <c r="S489" s="45">
        <v>0.58980900000000003</v>
      </c>
      <c r="T489" s="43">
        <v>0</v>
      </c>
      <c r="U489" s="43">
        <v>0</v>
      </c>
      <c r="V489" s="729">
        <v>1</v>
      </c>
      <c r="W489" s="616">
        <v>0</v>
      </c>
    </row>
    <row r="490" spans="2:23" x14ac:dyDescent="0.3">
      <c r="B490" s="380" t="s">
        <v>1783</v>
      </c>
      <c r="C490" s="179" t="s">
        <v>961</v>
      </c>
      <c r="D490" s="182">
        <v>0.204375</v>
      </c>
      <c r="E490" s="43">
        <v>0</v>
      </c>
      <c r="F490" s="43">
        <v>0</v>
      </c>
      <c r="G490" s="729">
        <v>0.383077</v>
      </c>
      <c r="H490" s="750">
        <v>0</v>
      </c>
      <c r="I490" s="43">
        <v>0.218306</v>
      </c>
      <c r="J490" s="43">
        <v>0</v>
      </c>
      <c r="K490" s="43">
        <v>0</v>
      </c>
      <c r="L490" s="729">
        <v>0</v>
      </c>
      <c r="M490" s="750">
        <v>0</v>
      </c>
      <c r="N490" s="45">
        <v>0.24744099999999999</v>
      </c>
      <c r="O490" s="43">
        <v>0.49845499999999998</v>
      </c>
      <c r="P490" s="43">
        <v>0.5</v>
      </c>
      <c r="Q490" s="729">
        <v>0</v>
      </c>
      <c r="R490" s="750">
        <v>0</v>
      </c>
      <c r="S490" s="45">
        <v>0.24744099999999999</v>
      </c>
      <c r="T490" s="43">
        <v>0.49845499999999998</v>
      </c>
      <c r="U490" s="43">
        <v>0.5</v>
      </c>
      <c r="V490" s="729">
        <v>0</v>
      </c>
      <c r="W490" s="616">
        <v>0</v>
      </c>
    </row>
    <row r="491" spans="2:23" x14ac:dyDescent="0.3">
      <c r="B491" s="380" t="s">
        <v>1784</v>
      </c>
      <c r="C491" s="179" t="s">
        <v>962</v>
      </c>
      <c r="D491" s="182">
        <v>0.95261200000000001</v>
      </c>
      <c r="E491" s="43">
        <v>0.34526899999999999</v>
      </c>
      <c r="F491" s="43">
        <v>0</v>
      </c>
      <c r="G491" s="729">
        <v>0.52332999999999996</v>
      </c>
      <c r="H491" s="750">
        <v>0</v>
      </c>
      <c r="I491" s="43">
        <v>1.6993069999999999</v>
      </c>
      <c r="J491" s="43">
        <v>0</v>
      </c>
      <c r="K491" s="43">
        <v>0</v>
      </c>
      <c r="L491" s="729">
        <v>0</v>
      </c>
      <c r="M491" s="750">
        <v>0</v>
      </c>
      <c r="N491" s="45">
        <v>1.038424</v>
      </c>
      <c r="O491" s="43">
        <v>0</v>
      </c>
      <c r="P491" s="43">
        <v>0</v>
      </c>
      <c r="Q491" s="729">
        <v>0.98885100000000004</v>
      </c>
      <c r="R491" s="750">
        <v>0.20313400000000001</v>
      </c>
      <c r="S491" s="45">
        <v>1.26651</v>
      </c>
      <c r="T491" s="43">
        <v>0</v>
      </c>
      <c r="U491" s="43">
        <v>0</v>
      </c>
      <c r="V491" s="729">
        <v>0.99485599999999996</v>
      </c>
      <c r="W491" s="616">
        <v>4.0342999999999997E-2</v>
      </c>
    </row>
    <row r="492" spans="2:23" x14ac:dyDescent="0.3">
      <c r="B492" s="380" t="s">
        <v>1785</v>
      </c>
      <c r="C492" s="179" t="s">
        <v>963</v>
      </c>
      <c r="D492" s="182">
        <v>0.51557500000000001</v>
      </c>
      <c r="E492" s="43">
        <v>0</v>
      </c>
      <c r="F492" s="43">
        <v>0</v>
      </c>
      <c r="G492" s="729">
        <v>0.30540699999999998</v>
      </c>
      <c r="H492" s="750">
        <v>0</v>
      </c>
      <c r="I492" s="43">
        <v>0.67175600000000002</v>
      </c>
      <c r="J492" s="43">
        <v>0</v>
      </c>
      <c r="K492" s="43">
        <v>0</v>
      </c>
      <c r="L492" s="729">
        <v>0</v>
      </c>
      <c r="M492" s="750">
        <v>0</v>
      </c>
      <c r="N492" s="45">
        <v>0.594329</v>
      </c>
      <c r="O492" s="43">
        <v>0</v>
      </c>
      <c r="P492" s="43">
        <v>0</v>
      </c>
      <c r="Q492" s="729">
        <v>0.99594199999999999</v>
      </c>
      <c r="R492" s="750">
        <v>0</v>
      </c>
      <c r="S492" s="45">
        <v>0.71619200000000005</v>
      </c>
      <c r="T492" s="43">
        <v>0</v>
      </c>
      <c r="U492" s="43">
        <v>0</v>
      </c>
      <c r="V492" s="729">
        <v>0.99594199999999999</v>
      </c>
      <c r="W492" s="616">
        <v>0</v>
      </c>
    </row>
    <row r="493" spans="2:23" x14ac:dyDescent="0.3">
      <c r="B493" s="380" t="s">
        <v>1786</v>
      </c>
      <c r="C493" s="179" t="s">
        <v>964</v>
      </c>
      <c r="D493" s="182">
        <v>0.44502900000000001</v>
      </c>
      <c r="E493" s="43">
        <v>0</v>
      </c>
      <c r="F493" s="43">
        <v>0</v>
      </c>
      <c r="G493" s="729">
        <v>0.71891499999999997</v>
      </c>
      <c r="H493" s="750">
        <v>0</v>
      </c>
      <c r="I493" s="43">
        <v>0.71906099999999995</v>
      </c>
      <c r="J493" s="43">
        <v>0</v>
      </c>
      <c r="K493" s="43">
        <v>0</v>
      </c>
      <c r="L493" s="729">
        <v>0</v>
      </c>
      <c r="M493" s="750">
        <v>0</v>
      </c>
      <c r="N493" s="45">
        <v>0.54084299999999996</v>
      </c>
      <c r="O493" s="43">
        <v>0</v>
      </c>
      <c r="P493" s="43">
        <v>0</v>
      </c>
      <c r="Q493" s="729">
        <v>0.98802400000000001</v>
      </c>
      <c r="R493" s="750">
        <v>0</v>
      </c>
      <c r="S493" s="45">
        <v>0.656134</v>
      </c>
      <c r="T493" s="43">
        <v>0</v>
      </c>
      <c r="U493" s="43">
        <v>0</v>
      </c>
      <c r="V493" s="729">
        <v>0.98802400000000001</v>
      </c>
      <c r="W493" s="616">
        <v>0</v>
      </c>
    </row>
    <row r="494" spans="2:23" x14ac:dyDescent="0.3">
      <c r="B494" s="380" t="s">
        <v>1787</v>
      </c>
      <c r="C494" s="179" t="s">
        <v>965</v>
      </c>
      <c r="D494" s="182">
        <v>0.72334799999999999</v>
      </c>
      <c r="E494" s="43">
        <v>0</v>
      </c>
      <c r="F494" s="43">
        <v>0</v>
      </c>
      <c r="G494" s="729">
        <v>0.39332600000000001</v>
      </c>
      <c r="H494" s="750">
        <v>0</v>
      </c>
      <c r="I494" s="43">
        <v>1.0654239999999999</v>
      </c>
      <c r="J494" s="43">
        <v>0</v>
      </c>
      <c r="K494" s="43">
        <v>0</v>
      </c>
      <c r="L494" s="729">
        <v>0</v>
      </c>
      <c r="M494" s="750">
        <v>0</v>
      </c>
      <c r="N494" s="45">
        <v>0.83739799999999998</v>
      </c>
      <c r="O494" s="43">
        <v>0</v>
      </c>
      <c r="P494" s="43">
        <v>0</v>
      </c>
      <c r="Q494" s="729">
        <v>0.99342200000000003</v>
      </c>
      <c r="R494" s="750">
        <v>0</v>
      </c>
      <c r="S494" s="45">
        <v>1.0488170000000001</v>
      </c>
      <c r="T494" s="43">
        <v>0</v>
      </c>
      <c r="U494" s="43">
        <v>0</v>
      </c>
      <c r="V494" s="729">
        <v>0.99342200000000003</v>
      </c>
      <c r="W494" s="616">
        <v>0</v>
      </c>
    </row>
    <row r="495" spans="2:23" x14ac:dyDescent="0.3">
      <c r="B495" s="380" t="s">
        <v>1788</v>
      </c>
      <c r="C495" s="179" t="s">
        <v>966</v>
      </c>
      <c r="D495" s="182">
        <v>0.39835799999999999</v>
      </c>
      <c r="E495" s="43">
        <v>0.94140100000000004</v>
      </c>
      <c r="F495" s="43">
        <v>0</v>
      </c>
      <c r="G495" s="729">
        <v>0.40169199999999999</v>
      </c>
      <c r="H495" s="750">
        <v>0</v>
      </c>
      <c r="I495" s="43">
        <v>0.50490299999999999</v>
      </c>
      <c r="J495" s="43">
        <v>0</v>
      </c>
      <c r="K495" s="43">
        <v>0</v>
      </c>
      <c r="L495" s="729">
        <v>0</v>
      </c>
      <c r="M495" s="750">
        <v>0</v>
      </c>
      <c r="N495" s="45">
        <v>0.396152</v>
      </c>
      <c r="O495" s="43">
        <v>0</v>
      </c>
      <c r="P495" s="43">
        <v>0</v>
      </c>
      <c r="Q495" s="729">
        <v>0.99384799999999995</v>
      </c>
      <c r="R495" s="750">
        <v>0</v>
      </c>
      <c r="S495" s="45">
        <v>0.49016799999999999</v>
      </c>
      <c r="T495" s="43">
        <v>0</v>
      </c>
      <c r="U495" s="43">
        <v>0</v>
      </c>
      <c r="V495" s="729">
        <v>0.99384799999999995</v>
      </c>
      <c r="W495" s="616">
        <v>0</v>
      </c>
    </row>
    <row r="496" spans="2:23" x14ac:dyDescent="0.3">
      <c r="B496" s="380" t="s">
        <v>1789</v>
      </c>
      <c r="C496" s="179" t="s">
        <v>967</v>
      </c>
      <c r="D496" s="182">
        <v>0.83523000000000003</v>
      </c>
      <c r="E496" s="43">
        <v>0.44136700000000001</v>
      </c>
      <c r="F496" s="43">
        <v>0</v>
      </c>
      <c r="G496" s="729">
        <v>0.58315099999999997</v>
      </c>
      <c r="H496" s="750">
        <v>2.0031E-2</v>
      </c>
      <c r="I496" s="43">
        <v>1.438323</v>
      </c>
      <c r="J496" s="43">
        <v>0</v>
      </c>
      <c r="K496" s="43">
        <v>0</v>
      </c>
      <c r="L496" s="729">
        <v>0</v>
      </c>
      <c r="M496" s="750">
        <v>0</v>
      </c>
      <c r="N496" s="45">
        <v>0.66341899999999998</v>
      </c>
      <c r="O496" s="43">
        <v>0</v>
      </c>
      <c r="P496" s="43">
        <v>0</v>
      </c>
      <c r="Q496" s="729">
        <v>0.99933300000000003</v>
      </c>
      <c r="R496" s="750">
        <v>4.9329999999999999E-2</v>
      </c>
      <c r="S496" s="45">
        <v>0.81435800000000003</v>
      </c>
      <c r="T496" s="43">
        <v>0</v>
      </c>
      <c r="U496" s="43">
        <v>0</v>
      </c>
      <c r="V496" s="729">
        <v>0.99935499999999999</v>
      </c>
      <c r="W496" s="616">
        <v>1.5107000000000001E-2</v>
      </c>
    </row>
    <row r="497" spans="2:23" x14ac:dyDescent="0.3">
      <c r="B497" s="380" t="s">
        <v>1790</v>
      </c>
      <c r="C497" s="179" t="s">
        <v>968</v>
      </c>
      <c r="D497" s="182">
        <v>0.48090300000000002</v>
      </c>
      <c r="E497" s="43">
        <v>0.46735599999999999</v>
      </c>
      <c r="F497" s="43">
        <v>0.16</v>
      </c>
      <c r="G497" s="729">
        <v>0.25867499999999999</v>
      </c>
      <c r="H497" s="750">
        <v>0</v>
      </c>
      <c r="I497" s="43">
        <v>0.70261399999999996</v>
      </c>
      <c r="J497" s="43">
        <v>0</v>
      </c>
      <c r="K497" s="43">
        <v>0</v>
      </c>
      <c r="L497" s="729">
        <v>0</v>
      </c>
      <c r="M497" s="750">
        <v>0</v>
      </c>
      <c r="N497" s="45">
        <v>0.45783699999999999</v>
      </c>
      <c r="O497" s="43">
        <v>0</v>
      </c>
      <c r="P497" s="43">
        <v>0</v>
      </c>
      <c r="Q497" s="729">
        <v>0.97765999999999997</v>
      </c>
      <c r="R497" s="750">
        <v>0</v>
      </c>
      <c r="S497" s="45">
        <v>0.53523500000000002</v>
      </c>
      <c r="T497" s="43">
        <v>0</v>
      </c>
      <c r="U497" s="43">
        <v>0</v>
      </c>
      <c r="V497" s="729">
        <v>0.97765999999999997</v>
      </c>
      <c r="W497" s="616">
        <v>0</v>
      </c>
    </row>
    <row r="498" spans="2:23" x14ac:dyDescent="0.3">
      <c r="B498" s="380" t="s">
        <v>1791</v>
      </c>
      <c r="C498" s="179" t="s">
        <v>969</v>
      </c>
      <c r="D498" s="182">
        <v>5.2454000000000001E-2</v>
      </c>
      <c r="E498" s="43">
        <v>0</v>
      </c>
      <c r="F498" s="43">
        <v>0</v>
      </c>
      <c r="G498" s="729">
        <v>0.914883</v>
      </c>
      <c r="H498" s="750">
        <v>0</v>
      </c>
      <c r="I498" s="43">
        <v>3.4273999999999999E-2</v>
      </c>
      <c r="J498" s="43">
        <v>0</v>
      </c>
      <c r="K498" s="43">
        <v>0</v>
      </c>
      <c r="L498" s="729">
        <v>0.996282</v>
      </c>
      <c r="M498" s="750">
        <v>0</v>
      </c>
      <c r="N498" s="45">
        <v>5.3839999999999999E-2</v>
      </c>
      <c r="O498" s="43">
        <v>0</v>
      </c>
      <c r="P498" s="43">
        <v>0</v>
      </c>
      <c r="Q498" s="729">
        <v>0.99336899999999995</v>
      </c>
      <c r="R498" s="750">
        <v>0</v>
      </c>
      <c r="S498" s="45">
        <v>6.9018999999999997E-2</v>
      </c>
      <c r="T498" s="43">
        <v>0</v>
      </c>
      <c r="U498" s="43">
        <v>0</v>
      </c>
      <c r="V498" s="729">
        <v>0.99336899999999995</v>
      </c>
      <c r="W498" s="616">
        <v>0</v>
      </c>
    </row>
    <row r="499" spans="2:23" x14ac:dyDescent="0.3">
      <c r="B499" s="380" t="s">
        <v>1792</v>
      </c>
      <c r="C499" s="179" t="s">
        <v>970</v>
      </c>
      <c r="D499" s="182">
        <v>0.68773399999999996</v>
      </c>
      <c r="E499" s="43">
        <v>0</v>
      </c>
      <c r="F499" s="43">
        <v>0</v>
      </c>
      <c r="G499" s="729">
        <v>0.20803099999999999</v>
      </c>
      <c r="H499" s="750">
        <v>0</v>
      </c>
      <c r="I499" s="43">
        <v>0.73394800000000004</v>
      </c>
      <c r="J499" s="43">
        <v>0</v>
      </c>
      <c r="K499" s="43">
        <v>0</v>
      </c>
      <c r="L499" s="729">
        <v>0</v>
      </c>
      <c r="M499" s="750">
        <v>0</v>
      </c>
      <c r="N499" s="45">
        <v>0.68933900000000004</v>
      </c>
      <c r="O499" s="43">
        <v>0.46866600000000003</v>
      </c>
      <c r="P499" s="43">
        <v>0.54729000000000005</v>
      </c>
      <c r="Q499" s="729">
        <v>0</v>
      </c>
      <c r="R499" s="750">
        <v>0</v>
      </c>
      <c r="S499" s="45">
        <v>0.68933900000000004</v>
      </c>
      <c r="T499" s="43">
        <v>0.46866600000000003</v>
      </c>
      <c r="U499" s="43">
        <v>0.54729000000000005</v>
      </c>
      <c r="V499" s="729">
        <v>0</v>
      </c>
      <c r="W499" s="616">
        <v>0</v>
      </c>
    </row>
    <row r="500" spans="2:23" x14ac:dyDescent="0.3">
      <c r="B500" s="380" t="s">
        <v>1793</v>
      </c>
      <c r="C500" s="179" t="s">
        <v>971</v>
      </c>
      <c r="D500" s="182">
        <v>0.28803699999999999</v>
      </c>
      <c r="E500" s="43">
        <v>0</v>
      </c>
      <c r="F500" s="43">
        <v>0</v>
      </c>
      <c r="G500" s="729">
        <v>0.42086699999999999</v>
      </c>
      <c r="H500" s="750">
        <v>6.7226999999999995E-2</v>
      </c>
      <c r="I500" s="43">
        <v>0.52790400000000004</v>
      </c>
      <c r="J500" s="43">
        <v>0</v>
      </c>
      <c r="K500" s="43">
        <v>0</v>
      </c>
      <c r="L500" s="729">
        <v>0</v>
      </c>
      <c r="M500" s="750">
        <v>0</v>
      </c>
      <c r="N500" s="45">
        <v>0.37707499999999999</v>
      </c>
      <c r="O500" s="43">
        <v>0.55322300000000002</v>
      </c>
      <c r="P500" s="43">
        <v>0.49</v>
      </c>
      <c r="Q500" s="729">
        <v>0</v>
      </c>
      <c r="R500" s="750">
        <v>0</v>
      </c>
      <c r="S500" s="45">
        <v>0.41284300000000002</v>
      </c>
      <c r="T500" s="43">
        <v>0.49701899999999999</v>
      </c>
      <c r="U500" s="43">
        <v>0.48</v>
      </c>
      <c r="V500" s="729">
        <v>0</v>
      </c>
      <c r="W500" s="616">
        <v>0</v>
      </c>
    </row>
    <row r="501" spans="2:23" x14ac:dyDescent="0.3">
      <c r="B501" s="380" t="s">
        <v>1794</v>
      </c>
      <c r="C501" s="179" t="s">
        <v>972</v>
      </c>
      <c r="D501" s="182">
        <v>0.536134</v>
      </c>
      <c r="E501" s="43">
        <v>0</v>
      </c>
      <c r="F501" s="43">
        <v>0</v>
      </c>
      <c r="G501" s="729">
        <v>0.19379399999999999</v>
      </c>
      <c r="H501" s="750">
        <v>0</v>
      </c>
      <c r="I501" s="43">
        <v>0.71929200000000004</v>
      </c>
      <c r="J501" s="43">
        <v>0</v>
      </c>
      <c r="K501" s="43">
        <v>0</v>
      </c>
      <c r="L501" s="729">
        <v>0</v>
      </c>
      <c r="M501" s="750">
        <v>0</v>
      </c>
      <c r="N501" s="45">
        <v>0.76125799999999999</v>
      </c>
      <c r="O501" s="43">
        <v>0</v>
      </c>
      <c r="P501" s="43">
        <v>0</v>
      </c>
      <c r="Q501" s="729">
        <v>0.98747399999999996</v>
      </c>
      <c r="R501" s="750">
        <v>0</v>
      </c>
      <c r="S501" s="45">
        <v>0.94606599999999996</v>
      </c>
      <c r="T501" s="43">
        <v>0</v>
      </c>
      <c r="U501" s="43">
        <v>0</v>
      </c>
      <c r="V501" s="729">
        <v>0.98748899999999995</v>
      </c>
      <c r="W501" s="616">
        <v>7.6000000000000004E-4</v>
      </c>
    </row>
    <row r="502" spans="2:23" x14ac:dyDescent="0.3">
      <c r="B502" s="380" t="s">
        <v>1795</v>
      </c>
      <c r="C502" s="179" t="s">
        <v>973</v>
      </c>
      <c r="D502" s="182">
        <v>0.92295099999999997</v>
      </c>
      <c r="E502" s="43">
        <v>0.705816</v>
      </c>
      <c r="F502" s="43">
        <v>0</v>
      </c>
      <c r="G502" s="729">
        <v>0.58753100000000003</v>
      </c>
      <c r="H502" s="750">
        <v>0.92735000000000001</v>
      </c>
      <c r="I502" s="43">
        <v>0.34117500000000001</v>
      </c>
      <c r="J502" s="43">
        <v>0</v>
      </c>
      <c r="K502" s="43">
        <v>0</v>
      </c>
      <c r="L502" s="729">
        <v>0.999996</v>
      </c>
      <c r="M502" s="750">
        <v>0.34222599999999997</v>
      </c>
      <c r="N502" s="45">
        <v>0.31820199999999998</v>
      </c>
      <c r="O502" s="43">
        <v>0</v>
      </c>
      <c r="P502" s="43">
        <v>0</v>
      </c>
      <c r="Q502" s="729">
        <v>0.99997599999999998</v>
      </c>
      <c r="R502" s="750">
        <v>0.98513600000000001</v>
      </c>
      <c r="S502" s="45">
        <v>0.49338500000000002</v>
      </c>
      <c r="T502" s="43">
        <v>0</v>
      </c>
      <c r="U502" s="43">
        <v>0</v>
      </c>
      <c r="V502" s="729">
        <v>1</v>
      </c>
      <c r="W502" s="616">
        <v>0.88882300000000003</v>
      </c>
    </row>
    <row r="503" spans="2:23" x14ac:dyDescent="0.3">
      <c r="B503" s="380" t="s">
        <v>1796</v>
      </c>
      <c r="C503" s="179" t="s">
        <v>974</v>
      </c>
      <c r="D503" s="182">
        <v>1.520813</v>
      </c>
      <c r="E503" s="43">
        <v>0.49871900000000002</v>
      </c>
      <c r="F503" s="43">
        <v>0</v>
      </c>
      <c r="G503" s="729">
        <v>0.480267</v>
      </c>
      <c r="H503" s="750">
        <v>0.915493</v>
      </c>
      <c r="I503" s="43">
        <v>0.493452</v>
      </c>
      <c r="J503" s="43">
        <v>0</v>
      </c>
      <c r="K503" s="43">
        <v>0</v>
      </c>
      <c r="L503" s="729">
        <v>0.99983900000000003</v>
      </c>
      <c r="M503" s="750">
        <v>0.29283599999999999</v>
      </c>
      <c r="N503" s="45">
        <v>0.55989500000000003</v>
      </c>
      <c r="O503" s="43">
        <v>0</v>
      </c>
      <c r="P503" s="43">
        <v>0</v>
      </c>
      <c r="Q503" s="729">
        <v>0.99947799999999998</v>
      </c>
      <c r="R503" s="750">
        <v>0.93935199999999996</v>
      </c>
      <c r="S503" s="45">
        <v>0.79001500000000002</v>
      </c>
      <c r="T503" s="43">
        <v>0</v>
      </c>
      <c r="U503" s="43">
        <v>0</v>
      </c>
      <c r="V503" s="729">
        <v>0.99844200000000005</v>
      </c>
      <c r="W503" s="616">
        <v>0.64088900000000004</v>
      </c>
    </row>
    <row r="504" spans="2:23" x14ac:dyDescent="0.3">
      <c r="B504" s="380" t="s">
        <v>1797</v>
      </c>
      <c r="C504" s="179" t="s">
        <v>975</v>
      </c>
      <c r="D504" s="182">
        <v>0.47980699999999998</v>
      </c>
      <c r="E504" s="43">
        <v>0.48625299999999999</v>
      </c>
      <c r="F504" s="43">
        <v>1.3724E-2</v>
      </c>
      <c r="G504" s="729">
        <v>0.85068500000000002</v>
      </c>
      <c r="H504" s="750">
        <v>1</v>
      </c>
      <c r="I504" s="43">
        <v>0.194855</v>
      </c>
      <c r="J504" s="43">
        <v>0</v>
      </c>
      <c r="K504" s="43">
        <v>0</v>
      </c>
      <c r="L504" s="729">
        <v>1</v>
      </c>
      <c r="M504" s="750">
        <v>1</v>
      </c>
      <c r="N504" s="45">
        <v>0.22744</v>
      </c>
      <c r="O504" s="43">
        <v>0</v>
      </c>
      <c r="P504" s="43">
        <v>0</v>
      </c>
      <c r="Q504" s="729">
        <v>1</v>
      </c>
      <c r="R504" s="750">
        <v>1</v>
      </c>
      <c r="S504" s="45">
        <v>0.34586299999999998</v>
      </c>
      <c r="T504" s="43">
        <v>0</v>
      </c>
      <c r="U504" s="43">
        <v>0</v>
      </c>
      <c r="V504" s="729">
        <v>1</v>
      </c>
      <c r="W504" s="616">
        <v>1</v>
      </c>
    </row>
    <row r="505" spans="2:23" x14ac:dyDescent="0.3">
      <c r="B505" s="380" t="s">
        <v>1798</v>
      </c>
      <c r="C505" s="179" t="s">
        <v>976</v>
      </c>
      <c r="D505" s="182">
        <v>0.75641899999999995</v>
      </c>
      <c r="E505" s="43">
        <v>0.93139899999999998</v>
      </c>
      <c r="F505" s="43">
        <v>0</v>
      </c>
      <c r="G505" s="729">
        <v>0.23987</v>
      </c>
      <c r="H505" s="750">
        <v>0.86206899999999997</v>
      </c>
      <c r="I505" s="43">
        <v>0.31818299999999999</v>
      </c>
      <c r="J505" s="43">
        <v>0</v>
      </c>
      <c r="K505" s="43">
        <v>0</v>
      </c>
      <c r="L505" s="729">
        <v>0.99979200000000001</v>
      </c>
      <c r="M505" s="750">
        <v>0.18626500000000001</v>
      </c>
      <c r="N505" s="45">
        <v>0.33595900000000001</v>
      </c>
      <c r="O505" s="43">
        <v>0</v>
      </c>
      <c r="P505" s="43">
        <v>0</v>
      </c>
      <c r="Q505" s="729">
        <v>0.99859500000000001</v>
      </c>
      <c r="R505" s="750">
        <v>0.96318000000000004</v>
      </c>
      <c r="S505" s="45">
        <v>0.487257</v>
      </c>
      <c r="T505" s="43">
        <v>0</v>
      </c>
      <c r="U505" s="43">
        <v>0</v>
      </c>
      <c r="V505" s="729">
        <v>0.99827600000000005</v>
      </c>
      <c r="W505" s="616">
        <v>0.69176300000000002</v>
      </c>
    </row>
    <row r="506" spans="2:23" x14ac:dyDescent="0.3">
      <c r="B506" s="380" t="s">
        <v>1799</v>
      </c>
      <c r="C506" s="179" t="s">
        <v>977</v>
      </c>
      <c r="D506" s="182">
        <v>0.70453500000000002</v>
      </c>
      <c r="E506" s="43">
        <v>0.43357400000000001</v>
      </c>
      <c r="F506" s="43">
        <v>6.0870000000000004E-3</v>
      </c>
      <c r="G506" s="729">
        <v>0.31036399999999997</v>
      </c>
      <c r="H506" s="750">
        <v>0</v>
      </c>
      <c r="I506" s="43">
        <v>0.84376600000000002</v>
      </c>
      <c r="J506" s="43">
        <v>0</v>
      </c>
      <c r="K506" s="43">
        <v>0</v>
      </c>
      <c r="L506" s="729">
        <v>0</v>
      </c>
      <c r="M506" s="750">
        <v>0</v>
      </c>
      <c r="N506" s="45">
        <v>0.44196099999999999</v>
      </c>
      <c r="O506" s="43">
        <v>0</v>
      </c>
      <c r="P506" s="43">
        <v>0</v>
      </c>
      <c r="Q506" s="729">
        <v>0.99826300000000001</v>
      </c>
      <c r="R506" s="750">
        <v>2.6041999999999999E-2</v>
      </c>
      <c r="S506" s="45">
        <v>0.50661400000000001</v>
      </c>
      <c r="T506" s="43">
        <v>0</v>
      </c>
      <c r="U506" s="43">
        <v>0</v>
      </c>
      <c r="V506" s="729">
        <v>0.99826899999999996</v>
      </c>
      <c r="W506" s="616">
        <v>3.209E-3</v>
      </c>
    </row>
    <row r="507" spans="2:23" x14ac:dyDescent="0.3">
      <c r="B507" s="380" t="s">
        <v>1800</v>
      </c>
      <c r="C507" s="179" t="s">
        <v>978</v>
      </c>
      <c r="D507" s="182">
        <v>0.48605100000000001</v>
      </c>
      <c r="E507" s="43">
        <v>0</v>
      </c>
      <c r="F507" s="43">
        <v>0</v>
      </c>
      <c r="G507" s="729">
        <v>0.243396</v>
      </c>
      <c r="H507" s="750">
        <v>0</v>
      </c>
      <c r="I507" s="43">
        <v>0.59486799999999995</v>
      </c>
      <c r="J507" s="43">
        <v>0</v>
      </c>
      <c r="K507" s="43">
        <v>0</v>
      </c>
      <c r="L507" s="729">
        <v>0</v>
      </c>
      <c r="M507" s="750">
        <v>0</v>
      </c>
      <c r="N507" s="45">
        <v>0.29914499999999999</v>
      </c>
      <c r="O507" s="43">
        <v>0</v>
      </c>
      <c r="P507" s="43">
        <v>0</v>
      </c>
      <c r="Q507" s="729">
        <v>0.99509899999999996</v>
      </c>
      <c r="R507" s="750">
        <v>0.15954399999999999</v>
      </c>
      <c r="S507" s="45">
        <v>0.33116400000000001</v>
      </c>
      <c r="T507" s="43">
        <v>0</v>
      </c>
      <c r="U507" s="43">
        <v>0</v>
      </c>
      <c r="V507" s="729">
        <v>0.99519800000000003</v>
      </c>
      <c r="W507" s="616">
        <v>1.8589000000000001E-2</v>
      </c>
    </row>
    <row r="508" spans="2:23" x14ac:dyDescent="0.3">
      <c r="B508" s="380" t="s">
        <v>1801</v>
      </c>
      <c r="C508" s="179" t="s">
        <v>979</v>
      </c>
      <c r="D508" s="182">
        <v>1.141591</v>
      </c>
      <c r="E508" s="43">
        <v>0.498168</v>
      </c>
      <c r="F508" s="43">
        <v>0</v>
      </c>
      <c r="G508" s="729">
        <v>0.237676</v>
      </c>
      <c r="H508" s="750">
        <v>0.244898</v>
      </c>
      <c r="I508" s="43">
        <v>0.53928200000000004</v>
      </c>
      <c r="J508" s="43">
        <v>0</v>
      </c>
      <c r="K508" s="43">
        <v>0</v>
      </c>
      <c r="L508" s="729">
        <v>0.998359</v>
      </c>
      <c r="M508" s="750">
        <v>1.5502999999999999E-2</v>
      </c>
      <c r="N508" s="45">
        <v>0.90145299999999995</v>
      </c>
      <c r="O508" s="43">
        <v>0</v>
      </c>
      <c r="P508" s="43">
        <v>0</v>
      </c>
      <c r="Q508" s="729">
        <v>0.993093</v>
      </c>
      <c r="R508" s="750">
        <v>0.68122400000000005</v>
      </c>
      <c r="S508" s="45">
        <v>1.0947990000000001</v>
      </c>
      <c r="T508" s="43">
        <v>0</v>
      </c>
      <c r="U508" s="43">
        <v>0</v>
      </c>
      <c r="V508" s="729">
        <v>0.99416800000000005</v>
      </c>
      <c r="W508" s="616">
        <v>0.15242700000000001</v>
      </c>
    </row>
    <row r="509" spans="2:23" x14ac:dyDescent="0.3">
      <c r="B509" s="380" t="s">
        <v>1802</v>
      </c>
      <c r="C509" s="179" t="s">
        <v>980</v>
      </c>
      <c r="D509" s="182">
        <v>0.44125900000000001</v>
      </c>
      <c r="E509" s="43">
        <v>0</v>
      </c>
      <c r="F509" s="43">
        <v>0</v>
      </c>
      <c r="G509" s="729">
        <v>0.33561000000000002</v>
      </c>
      <c r="H509" s="750">
        <v>5.8824000000000001E-2</v>
      </c>
      <c r="I509" s="43">
        <v>0.66397099999999998</v>
      </c>
      <c r="J509" s="43">
        <v>0</v>
      </c>
      <c r="K509" s="43">
        <v>0</v>
      </c>
      <c r="L509" s="729">
        <v>0</v>
      </c>
      <c r="M509" s="750">
        <v>0</v>
      </c>
      <c r="N509" s="45">
        <v>0.317992</v>
      </c>
      <c r="O509" s="43">
        <v>0</v>
      </c>
      <c r="P509" s="43">
        <v>0</v>
      </c>
      <c r="Q509" s="729">
        <v>0.99360400000000004</v>
      </c>
      <c r="R509" s="750">
        <v>0.43227700000000002</v>
      </c>
      <c r="S509" s="45">
        <v>0.38146000000000002</v>
      </c>
      <c r="T509" s="43">
        <v>0</v>
      </c>
      <c r="U509" s="43">
        <v>0</v>
      </c>
      <c r="V509" s="729">
        <v>0.98908799999999997</v>
      </c>
      <c r="W509" s="616">
        <v>6.9603999999999999E-2</v>
      </c>
    </row>
    <row r="510" spans="2:23" x14ac:dyDescent="0.3">
      <c r="B510" s="380" t="s">
        <v>1803</v>
      </c>
      <c r="C510" s="179" t="s">
        <v>981</v>
      </c>
      <c r="D510" s="182">
        <v>1.201897</v>
      </c>
      <c r="E510" s="43">
        <v>0.74195199999999994</v>
      </c>
      <c r="F510" s="43">
        <v>3.5479999999999999E-3</v>
      </c>
      <c r="G510" s="729">
        <v>0.80134000000000005</v>
      </c>
      <c r="H510" s="750">
        <v>0.99557899999999999</v>
      </c>
      <c r="I510" s="43">
        <v>0.54266099999999995</v>
      </c>
      <c r="J510" s="43">
        <v>0</v>
      </c>
      <c r="K510" s="43">
        <v>0</v>
      </c>
      <c r="L510" s="729">
        <v>1</v>
      </c>
      <c r="M510" s="750">
        <v>0.92533399999999999</v>
      </c>
      <c r="N510" s="45">
        <v>0.51691500000000001</v>
      </c>
      <c r="O510" s="43">
        <v>0</v>
      </c>
      <c r="P510" s="43">
        <v>0</v>
      </c>
      <c r="Q510" s="729">
        <v>0.999973</v>
      </c>
      <c r="R510" s="750">
        <v>0.99384899999999998</v>
      </c>
      <c r="S510" s="45">
        <v>0.81684999999999997</v>
      </c>
      <c r="T510" s="43">
        <v>0</v>
      </c>
      <c r="U510" s="43">
        <v>0</v>
      </c>
      <c r="V510" s="729">
        <v>1</v>
      </c>
      <c r="W510" s="616">
        <v>0.96801499999999996</v>
      </c>
    </row>
    <row r="511" spans="2:23" x14ac:dyDescent="0.3">
      <c r="B511" s="380" t="s">
        <v>1804</v>
      </c>
      <c r="C511" s="179" t="s">
        <v>982</v>
      </c>
      <c r="D511" s="182">
        <v>2.1296539999999999</v>
      </c>
      <c r="E511" s="43">
        <v>0.47788000000000003</v>
      </c>
      <c r="F511" s="43">
        <v>4.2129999999999997E-3</v>
      </c>
      <c r="G511" s="729">
        <v>0.47881899999999999</v>
      </c>
      <c r="H511" s="750">
        <v>1</v>
      </c>
      <c r="I511" s="43">
        <v>0.56808599999999998</v>
      </c>
      <c r="J511" s="43">
        <v>0</v>
      </c>
      <c r="K511" s="43">
        <v>0</v>
      </c>
      <c r="L511" s="729">
        <v>1</v>
      </c>
      <c r="M511" s="750">
        <v>1</v>
      </c>
      <c r="N511" s="45">
        <v>0.58343800000000001</v>
      </c>
      <c r="O511" s="43">
        <v>0</v>
      </c>
      <c r="P511" s="43">
        <v>0</v>
      </c>
      <c r="Q511" s="729">
        <v>0.99963400000000002</v>
      </c>
      <c r="R511" s="750">
        <v>1</v>
      </c>
      <c r="S511" s="45">
        <v>0.92256199999999999</v>
      </c>
      <c r="T511" s="43">
        <v>0</v>
      </c>
      <c r="U511" s="43">
        <v>0</v>
      </c>
      <c r="V511" s="729">
        <v>1</v>
      </c>
      <c r="W511" s="616">
        <v>1</v>
      </c>
    </row>
    <row r="512" spans="2:23" x14ac:dyDescent="0.3">
      <c r="B512" s="380" t="s">
        <v>1805</v>
      </c>
      <c r="C512" s="179" t="s">
        <v>983</v>
      </c>
      <c r="D512" s="182">
        <v>1.5487869999999999</v>
      </c>
      <c r="E512" s="43">
        <v>0.50391600000000003</v>
      </c>
      <c r="F512" s="43">
        <v>7.1060000000000003E-3</v>
      </c>
      <c r="G512" s="729">
        <v>0.36531000000000002</v>
      </c>
      <c r="H512" s="750">
        <v>1</v>
      </c>
      <c r="I512" s="43">
        <v>0.45574599999999998</v>
      </c>
      <c r="J512" s="43">
        <v>0</v>
      </c>
      <c r="K512" s="43">
        <v>0</v>
      </c>
      <c r="L512" s="729">
        <v>0.99990599999999996</v>
      </c>
      <c r="M512" s="750">
        <v>1</v>
      </c>
      <c r="N512" s="45">
        <v>0.41749999999999998</v>
      </c>
      <c r="O512" s="43">
        <v>0</v>
      </c>
      <c r="P512" s="43">
        <v>0</v>
      </c>
      <c r="Q512" s="729">
        <v>0.99668699999999999</v>
      </c>
      <c r="R512" s="750">
        <v>1</v>
      </c>
      <c r="S512" s="45">
        <v>0.66921600000000003</v>
      </c>
      <c r="T512" s="43">
        <v>0</v>
      </c>
      <c r="U512" s="43">
        <v>0</v>
      </c>
      <c r="V512" s="729">
        <v>0.99990599999999996</v>
      </c>
      <c r="W512" s="616">
        <v>1</v>
      </c>
    </row>
    <row r="513" spans="2:23" x14ac:dyDescent="0.3">
      <c r="B513" s="380" t="s">
        <v>1806</v>
      </c>
      <c r="C513" s="179" t="s">
        <v>984</v>
      </c>
      <c r="D513" s="182">
        <v>0.86465099999999995</v>
      </c>
      <c r="E513" s="43">
        <v>0</v>
      </c>
      <c r="F513" s="43">
        <v>0</v>
      </c>
      <c r="G513" s="729">
        <v>0.52590700000000001</v>
      </c>
      <c r="H513" s="750">
        <v>0.74270599999999998</v>
      </c>
      <c r="I513" s="43">
        <v>0.35587400000000002</v>
      </c>
      <c r="J513" s="43">
        <v>0</v>
      </c>
      <c r="K513" s="43">
        <v>0</v>
      </c>
      <c r="L513" s="729">
        <v>0.99970000000000003</v>
      </c>
      <c r="M513" s="750">
        <v>0.45818900000000001</v>
      </c>
      <c r="N513" s="45">
        <v>0.36369299999999999</v>
      </c>
      <c r="O513" s="43">
        <v>0</v>
      </c>
      <c r="P513" s="43">
        <v>0</v>
      </c>
      <c r="Q513" s="729">
        <v>0.99926099999999995</v>
      </c>
      <c r="R513" s="750">
        <v>0.98443700000000001</v>
      </c>
      <c r="S513" s="45">
        <v>0.54070600000000002</v>
      </c>
      <c r="T513" s="43">
        <v>0</v>
      </c>
      <c r="U513" s="43">
        <v>0</v>
      </c>
      <c r="V513" s="729">
        <v>0.99976900000000002</v>
      </c>
      <c r="W513" s="616">
        <v>0.79775200000000002</v>
      </c>
    </row>
    <row r="514" spans="2:23" x14ac:dyDescent="0.3">
      <c r="B514" s="380" t="s">
        <v>1807</v>
      </c>
      <c r="C514" s="179" t="s">
        <v>985</v>
      </c>
      <c r="D514" s="182">
        <v>1.0099450000000001</v>
      </c>
      <c r="E514" s="43">
        <v>0.64317800000000003</v>
      </c>
      <c r="F514" s="43">
        <v>0.02</v>
      </c>
      <c r="G514" s="729">
        <v>0.49736599999999997</v>
      </c>
      <c r="H514" s="750">
        <v>0.91847199999999996</v>
      </c>
      <c r="I514" s="43">
        <v>0.31007600000000002</v>
      </c>
      <c r="J514" s="43">
        <v>0</v>
      </c>
      <c r="K514" s="43">
        <v>0</v>
      </c>
      <c r="L514" s="729">
        <v>0.99885500000000005</v>
      </c>
      <c r="M514" s="750">
        <v>0.14019400000000001</v>
      </c>
      <c r="N514" s="45">
        <v>0.44314300000000001</v>
      </c>
      <c r="O514" s="43">
        <v>0</v>
      </c>
      <c r="P514" s="43">
        <v>0</v>
      </c>
      <c r="Q514" s="729">
        <v>0.99827600000000005</v>
      </c>
      <c r="R514" s="750">
        <v>0.66503100000000004</v>
      </c>
      <c r="S514" s="45">
        <v>0.57525700000000002</v>
      </c>
      <c r="T514" s="43">
        <v>0</v>
      </c>
      <c r="U514" s="43">
        <v>0</v>
      </c>
      <c r="V514" s="729">
        <v>0.99641000000000002</v>
      </c>
      <c r="W514" s="616">
        <v>0.32447799999999999</v>
      </c>
    </row>
    <row r="515" spans="2:23" x14ac:dyDescent="0.3">
      <c r="B515" s="380" t="s">
        <v>1808</v>
      </c>
      <c r="C515" s="179" t="s">
        <v>986</v>
      </c>
      <c r="D515" s="182">
        <v>2.2317459999999998</v>
      </c>
      <c r="E515" s="43">
        <v>0.53730599999999995</v>
      </c>
      <c r="F515" s="43">
        <v>0</v>
      </c>
      <c r="G515" s="729">
        <v>0.42671199999999998</v>
      </c>
      <c r="H515" s="750">
        <v>0.96551699999999996</v>
      </c>
      <c r="I515" s="43">
        <v>0.77036400000000005</v>
      </c>
      <c r="J515" s="43">
        <v>0</v>
      </c>
      <c r="K515" s="43">
        <v>0</v>
      </c>
      <c r="L515" s="729">
        <v>0.998668</v>
      </c>
      <c r="M515" s="750">
        <v>0.336814</v>
      </c>
      <c r="N515" s="45">
        <v>0.70785799999999999</v>
      </c>
      <c r="O515" s="43">
        <v>0</v>
      </c>
      <c r="P515" s="43">
        <v>0</v>
      </c>
      <c r="Q515" s="729">
        <v>0.99383200000000005</v>
      </c>
      <c r="R515" s="750">
        <v>0.943442</v>
      </c>
      <c r="S515" s="45">
        <v>1.0468980000000001</v>
      </c>
      <c r="T515" s="43">
        <v>0</v>
      </c>
      <c r="U515" s="43">
        <v>0</v>
      </c>
      <c r="V515" s="729">
        <v>0.99779499999999999</v>
      </c>
      <c r="W515" s="616">
        <v>0.77130299999999996</v>
      </c>
    </row>
    <row r="516" spans="2:23" x14ac:dyDescent="0.3">
      <c r="B516" s="380" t="s">
        <v>1809</v>
      </c>
      <c r="C516" s="179" t="s">
        <v>987</v>
      </c>
      <c r="D516" s="182">
        <v>0.40441500000000002</v>
      </c>
      <c r="E516" s="43">
        <v>0</v>
      </c>
      <c r="F516" s="43">
        <v>0</v>
      </c>
      <c r="G516" s="729">
        <v>0.183583</v>
      </c>
      <c r="H516" s="750">
        <v>0</v>
      </c>
      <c r="I516" s="43">
        <v>0.47803400000000001</v>
      </c>
      <c r="J516" s="43">
        <v>0</v>
      </c>
      <c r="K516" s="43">
        <v>0</v>
      </c>
      <c r="L516" s="729">
        <v>0</v>
      </c>
      <c r="M516" s="750">
        <v>0</v>
      </c>
      <c r="N516" s="45">
        <v>0.39750600000000003</v>
      </c>
      <c r="O516" s="43">
        <v>0.43610199999999999</v>
      </c>
      <c r="P516" s="43">
        <v>0.54</v>
      </c>
      <c r="Q516" s="729">
        <v>0</v>
      </c>
      <c r="R516" s="750">
        <v>0</v>
      </c>
      <c r="S516" s="45">
        <v>0.40383799999999997</v>
      </c>
      <c r="T516" s="43">
        <v>0.42377300000000001</v>
      </c>
      <c r="U516" s="43">
        <v>0.54</v>
      </c>
      <c r="V516" s="729">
        <v>0</v>
      </c>
      <c r="W516" s="616">
        <v>0</v>
      </c>
    </row>
    <row r="517" spans="2:23" x14ac:dyDescent="0.3">
      <c r="B517" s="380" t="s">
        <v>1810</v>
      </c>
      <c r="C517" s="179" t="s">
        <v>988</v>
      </c>
      <c r="D517" s="182">
        <v>0.57901199999999997</v>
      </c>
      <c r="E517" s="43">
        <v>0.58069199999999999</v>
      </c>
      <c r="F517" s="43">
        <v>0</v>
      </c>
      <c r="G517" s="729">
        <v>0.22692399999999999</v>
      </c>
      <c r="H517" s="750">
        <v>0</v>
      </c>
      <c r="I517" s="43">
        <v>0.66555699999999995</v>
      </c>
      <c r="J517" s="43">
        <v>0</v>
      </c>
      <c r="K517" s="43">
        <v>0</v>
      </c>
      <c r="L517" s="729">
        <v>0</v>
      </c>
      <c r="M517" s="750">
        <v>0</v>
      </c>
      <c r="N517" s="45">
        <v>0.32065199999999999</v>
      </c>
      <c r="O517" s="43">
        <v>0</v>
      </c>
      <c r="P517" s="43">
        <v>0</v>
      </c>
      <c r="Q517" s="729">
        <v>0.99890400000000001</v>
      </c>
      <c r="R517" s="750">
        <v>0</v>
      </c>
      <c r="S517" s="45">
        <v>0.36565599999999998</v>
      </c>
      <c r="T517" s="43">
        <v>0</v>
      </c>
      <c r="U517" s="43">
        <v>0</v>
      </c>
      <c r="V517" s="729">
        <v>0.99890400000000001</v>
      </c>
      <c r="W517" s="616">
        <v>0</v>
      </c>
    </row>
    <row r="518" spans="2:23" x14ac:dyDescent="0.3">
      <c r="B518" s="380" t="s">
        <v>1811</v>
      </c>
      <c r="C518" s="179" t="s">
        <v>989</v>
      </c>
      <c r="D518" s="182">
        <v>0.43268099999999998</v>
      </c>
      <c r="E518" s="43">
        <v>0</v>
      </c>
      <c r="F518" s="43">
        <v>0</v>
      </c>
      <c r="G518" s="729">
        <v>0.26152300000000001</v>
      </c>
      <c r="H518" s="750">
        <v>0.97652600000000001</v>
      </c>
      <c r="I518" s="43">
        <v>0.403866</v>
      </c>
      <c r="J518" s="43">
        <v>0.30880299999999999</v>
      </c>
      <c r="K518" s="43">
        <v>0.5</v>
      </c>
      <c r="L518" s="729">
        <v>0</v>
      </c>
      <c r="M518" s="750">
        <v>0</v>
      </c>
      <c r="N518" s="45">
        <v>0.16197800000000001</v>
      </c>
      <c r="O518" s="43">
        <v>0</v>
      </c>
      <c r="P518" s="43">
        <v>0</v>
      </c>
      <c r="Q518" s="729">
        <v>0.99882000000000004</v>
      </c>
      <c r="R518" s="750">
        <v>0.98772000000000004</v>
      </c>
      <c r="S518" s="45">
        <v>0.252585</v>
      </c>
      <c r="T518" s="43">
        <v>0</v>
      </c>
      <c r="U518" s="43">
        <v>0</v>
      </c>
      <c r="V518" s="729">
        <v>1</v>
      </c>
      <c r="W518" s="616">
        <v>0.94977299999999998</v>
      </c>
    </row>
    <row r="519" spans="2:23" x14ac:dyDescent="0.3">
      <c r="B519" s="380" t="s">
        <v>1812</v>
      </c>
      <c r="C519" s="179" t="s">
        <v>990</v>
      </c>
      <c r="D519" s="182">
        <v>0.45264399999999999</v>
      </c>
      <c r="E519" s="43">
        <v>0.38315900000000003</v>
      </c>
      <c r="F519" s="43">
        <v>0</v>
      </c>
      <c r="G519" s="729">
        <v>0.21326700000000001</v>
      </c>
      <c r="H519" s="750">
        <v>0</v>
      </c>
      <c r="I519" s="43">
        <v>0.72463599999999995</v>
      </c>
      <c r="J519" s="43">
        <v>0</v>
      </c>
      <c r="K519" s="43">
        <v>0</v>
      </c>
      <c r="L519" s="729">
        <v>0</v>
      </c>
      <c r="M519" s="750">
        <v>0</v>
      </c>
      <c r="N519" s="45">
        <v>0.419595</v>
      </c>
      <c r="O519" s="43">
        <v>0</v>
      </c>
      <c r="P519" s="43">
        <v>0</v>
      </c>
      <c r="Q519" s="729">
        <v>0.96320300000000003</v>
      </c>
      <c r="R519" s="750">
        <v>0.45117400000000002</v>
      </c>
      <c r="S519" s="45">
        <v>0.46591700000000003</v>
      </c>
      <c r="T519" s="43">
        <v>0</v>
      </c>
      <c r="U519" s="43">
        <v>0</v>
      </c>
      <c r="V519" s="729">
        <v>0.96598099999999998</v>
      </c>
      <c r="W519" s="616">
        <v>7.8706999999999999E-2</v>
      </c>
    </row>
    <row r="520" spans="2:23" x14ac:dyDescent="0.3">
      <c r="B520" s="380" t="s">
        <v>1813</v>
      </c>
      <c r="C520" s="179" t="s">
        <v>991</v>
      </c>
      <c r="D520" s="182">
        <v>0.19536000000000001</v>
      </c>
      <c r="E520" s="43">
        <v>0</v>
      </c>
      <c r="F520" s="43">
        <v>0</v>
      </c>
      <c r="G520" s="729">
        <v>0.106298</v>
      </c>
      <c r="H520" s="750">
        <v>0</v>
      </c>
      <c r="I520" s="43">
        <v>0.19846800000000001</v>
      </c>
      <c r="J520" s="43">
        <v>0</v>
      </c>
      <c r="K520" s="43">
        <v>0</v>
      </c>
      <c r="L520" s="729">
        <v>0</v>
      </c>
      <c r="M520" s="750">
        <v>0</v>
      </c>
      <c r="N520" s="45">
        <v>0.28931099999999998</v>
      </c>
      <c r="O520" s="43">
        <v>0.59373500000000001</v>
      </c>
      <c r="P520" s="43">
        <v>0.49</v>
      </c>
      <c r="Q520" s="729">
        <v>0</v>
      </c>
      <c r="R520" s="750">
        <v>0</v>
      </c>
      <c r="S520" s="45">
        <v>0.28931099999999998</v>
      </c>
      <c r="T520" s="43">
        <v>0.59373500000000001</v>
      </c>
      <c r="U520" s="43">
        <v>0.49</v>
      </c>
      <c r="V520" s="729">
        <v>0</v>
      </c>
      <c r="W520" s="616">
        <v>0</v>
      </c>
    </row>
    <row r="521" spans="2:23" x14ac:dyDescent="0.3">
      <c r="B521" s="380" t="s">
        <v>1814</v>
      </c>
      <c r="C521" s="179" t="s">
        <v>992</v>
      </c>
      <c r="D521" s="182">
        <v>0.48192600000000002</v>
      </c>
      <c r="E521" s="43">
        <v>0.36674600000000002</v>
      </c>
      <c r="F521" s="43">
        <v>0</v>
      </c>
      <c r="G521" s="729">
        <v>0.22647500000000001</v>
      </c>
      <c r="H521" s="750">
        <v>0.47191</v>
      </c>
      <c r="I521" s="43">
        <v>0.203184</v>
      </c>
      <c r="J521" s="43">
        <v>0.73186399999999996</v>
      </c>
      <c r="K521" s="43">
        <v>0.59</v>
      </c>
      <c r="L521" s="729">
        <v>0</v>
      </c>
      <c r="M521" s="750">
        <v>0</v>
      </c>
      <c r="N521" s="45">
        <v>0.40338200000000002</v>
      </c>
      <c r="O521" s="43">
        <v>0.50067700000000004</v>
      </c>
      <c r="P521" s="43">
        <v>0.55000000000000004</v>
      </c>
      <c r="Q521" s="729">
        <v>0</v>
      </c>
      <c r="R521" s="750">
        <v>0</v>
      </c>
      <c r="S521" s="45">
        <v>0.48426000000000002</v>
      </c>
      <c r="T521" s="43">
        <v>0.41028900000000001</v>
      </c>
      <c r="U521" s="43">
        <v>0.52</v>
      </c>
      <c r="V521" s="729">
        <v>0</v>
      </c>
      <c r="W521" s="616">
        <v>0</v>
      </c>
    </row>
    <row r="522" spans="2:23" x14ac:dyDescent="0.3">
      <c r="B522" s="380" t="s">
        <v>1815</v>
      </c>
      <c r="C522" s="179" t="s">
        <v>993</v>
      </c>
      <c r="D522" s="182">
        <v>0.61910600000000005</v>
      </c>
      <c r="E522" s="43">
        <v>0</v>
      </c>
      <c r="F522" s="43">
        <v>0</v>
      </c>
      <c r="G522" s="729">
        <v>0.14532900000000001</v>
      </c>
      <c r="H522" s="750">
        <v>0</v>
      </c>
      <c r="I522" s="43">
        <v>0.77376400000000001</v>
      </c>
      <c r="J522" s="43">
        <v>0</v>
      </c>
      <c r="K522" s="43">
        <v>0</v>
      </c>
      <c r="L522" s="729">
        <v>0</v>
      </c>
      <c r="M522" s="750">
        <v>0</v>
      </c>
      <c r="N522" s="45">
        <v>0.47560799999999998</v>
      </c>
      <c r="O522" s="43">
        <v>0</v>
      </c>
      <c r="P522" s="43">
        <v>0</v>
      </c>
      <c r="Q522" s="729">
        <v>0.99474399999999996</v>
      </c>
      <c r="R522" s="750">
        <v>7.6900999999999997E-2</v>
      </c>
      <c r="S522" s="45">
        <v>0.56685099999999999</v>
      </c>
      <c r="T522" s="43">
        <v>0</v>
      </c>
      <c r="U522" s="43">
        <v>0</v>
      </c>
      <c r="V522" s="729">
        <v>0.99431800000000004</v>
      </c>
      <c r="W522" s="616">
        <v>1.3749000000000001E-2</v>
      </c>
    </row>
    <row r="523" spans="2:23" x14ac:dyDescent="0.3">
      <c r="B523" s="380" t="s">
        <v>1816</v>
      </c>
      <c r="C523" s="179" t="s">
        <v>994</v>
      </c>
      <c r="D523" s="182">
        <v>0.17089299999999999</v>
      </c>
      <c r="E523" s="43">
        <v>1.0464979999999999</v>
      </c>
      <c r="F523" s="43">
        <v>0</v>
      </c>
      <c r="G523" s="729">
        <v>0.25311600000000001</v>
      </c>
      <c r="H523" s="750">
        <v>0</v>
      </c>
      <c r="I523" s="43">
        <v>0.16641500000000001</v>
      </c>
      <c r="J523" s="43">
        <v>0</v>
      </c>
      <c r="K523" s="43">
        <v>0</v>
      </c>
      <c r="L523" s="729">
        <v>0</v>
      </c>
      <c r="M523" s="750">
        <v>0</v>
      </c>
      <c r="N523" s="45">
        <v>0.19692599999999999</v>
      </c>
      <c r="O523" s="43">
        <v>0.44692300000000001</v>
      </c>
      <c r="P523" s="43">
        <v>0.5</v>
      </c>
      <c r="Q523" s="729">
        <v>0</v>
      </c>
      <c r="R523" s="750">
        <v>0</v>
      </c>
      <c r="S523" s="45">
        <v>0.19692599999999999</v>
      </c>
      <c r="T523" s="43">
        <v>0.44692300000000001</v>
      </c>
      <c r="U523" s="43">
        <v>0.5</v>
      </c>
      <c r="V523" s="729">
        <v>0</v>
      </c>
      <c r="W523" s="616">
        <v>0</v>
      </c>
    </row>
    <row r="524" spans="2:23" x14ac:dyDescent="0.3">
      <c r="B524" s="380" t="s">
        <v>1817</v>
      </c>
      <c r="C524" s="179" t="s">
        <v>995</v>
      </c>
      <c r="D524" s="182">
        <v>0.32150299999999998</v>
      </c>
      <c r="E524" s="43">
        <v>1.1823900000000001</v>
      </c>
      <c r="F524" s="43">
        <v>0</v>
      </c>
      <c r="G524" s="729">
        <v>0.33767799999999998</v>
      </c>
      <c r="H524" s="750">
        <v>0</v>
      </c>
      <c r="I524" s="43">
        <v>0.354823</v>
      </c>
      <c r="J524" s="43">
        <v>0</v>
      </c>
      <c r="K524" s="43">
        <v>0</v>
      </c>
      <c r="L524" s="729">
        <v>0</v>
      </c>
      <c r="M524" s="750">
        <v>0</v>
      </c>
      <c r="N524" s="45">
        <v>0.410694</v>
      </c>
      <c r="O524" s="43">
        <v>0.53365399999999996</v>
      </c>
      <c r="P524" s="43">
        <v>0.49</v>
      </c>
      <c r="Q524" s="729">
        <v>0</v>
      </c>
      <c r="R524" s="750">
        <v>0</v>
      </c>
      <c r="S524" s="45">
        <v>0.41184599999999999</v>
      </c>
      <c r="T524" s="43">
        <v>0.53437500000000004</v>
      </c>
      <c r="U524" s="43">
        <v>0.49</v>
      </c>
      <c r="V524" s="729">
        <v>0</v>
      </c>
      <c r="W524" s="616">
        <v>0</v>
      </c>
    </row>
    <row r="525" spans="2:23" x14ac:dyDescent="0.3">
      <c r="B525" s="380" t="s">
        <v>1818</v>
      </c>
      <c r="C525" s="179" t="s">
        <v>996</v>
      </c>
      <c r="D525" s="182">
        <v>0.317639</v>
      </c>
      <c r="E525" s="43">
        <v>0</v>
      </c>
      <c r="F525" s="43">
        <v>0</v>
      </c>
      <c r="G525" s="729">
        <v>0.180367</v>
      </c>
      <c r="H525" s="750">
        <v>0</v>
      </c>
      <c r="I525" s="43">
        <v>0.32165199999999999</v>
      </c>
      <c r="J525" s="43">
        <v>0</v>
      </c>
      <c r="K525" s="43">
        <v>0</v>
      </c>
      <c r="L525" s="729">
        <v>0</v>
      </c>
      <c r="M525" s="750">
        <v>0</v>
      </c>
      <c r="N525" s="45">
        <v>0.41386600000000001</v>
      </c>
      <c r="O525" s="43">
        <v>0.45253199999999999</v>
      </c>
      <c r="P525" s="43">
        <v>0.49</v>
      </c>
      <c r="Q525" s="729">
        <v>0</v>
      </c>
      <c r="R525" s="750">
        <v>0</v>
      </c>
      <c r="S525" s="45">
        <v>0.41386600000000001</v>
      </c>
      <c r="T525" s="43">
        <v>0.45253199999999999</v>
      </c>
      <c r="U525" s="43">
        <v>0.49</v>
      </c>
      <c r="V525" s="729">
        <v>0</v>
      </c>
      <c r="W525" s="616">
        <v>0</v>
      </c>
    </row>
    <row r="526" spans="2:23" x14ac:dyDescent="0.3">
      <c r="B526" s="380" t="s">
        <v>1819</v>
      </c>
      <c r="C526" s="179" t="s">
        <v>997</v>
      </c>
      <c r="D526" s="182">
        <v>0.48541000000000001</v>
      </c>
      <c r="E526" s="43">
        <v>0</v>
      </c>
      <c r="F526" s="43">
        <v>0</v>
      </c>
      <c r="G526" s="729">
        <v>0.10968799999999999</v>
      </c>
      <c r="H526" s="750">
        <v>0</v>
      </c>
      <c r="I526" s="43">
        <v>0.54845200000000005</v>
      </c>
      <c r="J526" s="43">
        <v>0</v>
      </c>
      <c r="K526" s="43">
        <v>0</v>
      </c>
      <c r="L526" s="729">
        <v>0</v>
      </c>
      <c r="M526" s="750">
        <v>0</v>
      </c>
      <c r="N526" s="45">
        <v>0.39091999999999999</v>
      </c>
      <c r="O526" s="43">
        <v>0</v>
      </c>
      <c r="P526" s="43">
        <v>0</v>
      </c>
      <c r="Q526" s="729">
        <v>0.98253400000000002</v>
      </c>
      <c r="R526" s="750">
        <v>0</v>
      </c>
      <c r="S526" s="45">
        <v>0.453592</v>
      </c>
      <c r="T526" s="43">
        <v>0</v>
      </c>
      <c r="U526" s="43">
        <v>0</v>
      </c>
      <c r="V526" s="729">
        <v>0.98253400000000002</v>
      </c>
      <c r="W526" s="616">
        <v>0</v>
      </c>
    </row>
    <row r="527" spans="2:23" x14ac:dyDescent="0.3">
      <c r="B527" s="380" t="s">
        <v>1820</v>
      </c>
      <c r="C527" s="179" t="s">
        <v>998</v>
      </c>
      <c r="D527" s="182">
        <v>0.18929000000000001</v>
      </c>
      <c r="E527" s="43">
        <v>0</v>
      </c>
      <c r="F527" s="43">
        <v>0</v>
      </c>
      <c r="G527" s="729">
        <v>0.72836599999999996</v>
      </c>
      <c r="H527" s="750">
        <v>0</v>
      </c>
      <c r="I527" s="43">
        <v>0.18790100000000001</v>
      </c>
      <c r="J527" s="43">
        <v>0.44628099999999998</v>
      </c>
      <c r="K527" s="43">
        <v>0.56999999999999995</v>
      </c>
      <c r="L527" s="729">
        <v>0</v>
      </c>
      <c r="M527" s="750">
        <v>0</v>
      </c>
      <c r="N527" s="45">
        <v>9.1243000000000005E-2</v>
      </c>
      <c r="O527" s="43">
        <v>0</v>
      </c>
      <c r="P527" s="43">
        <v>0</v>
      </c>
      <c r="Q527" s="729">
        <v>0.98671900000000001</v>
      </c>
      <c r="R527" s="750">
        <v>0.95120000000000005</v>
      </c>
      <c r="S527" s="45">
        <v>0.29380099999999998</v>
      </c>
      <c r="T527" s="43">
        <v>0.36054900000000001</v>
      </c>
      <c r="U527" s="43">
        <v>0.54</v>
      </c>
      <c r="V527" s="729">
        <v>0</v>
      </c>
      <c r="W527" s="616">
        <v>0</v>
      </c>
    </row>
    <row r="528" spans="2:23" x14ac:dyDescent="0.3">
      <c r="B528" s="380" t="s">
        <v>1821</v>
      </c>
      <c r="C528" s="179" t="s">
        <v>999</v>
      </c>
      <c r="D528" s="182">
        <v>0.63093900000000003</v>
      </c>
      <c r="E528" s="43">
        <v>0</v>
      </c>
      <c r="F528" s="43">
        <v>0</v>
      </c>
      <c r="G528" s="729">
        <v>0.31001400000000001</v>
      </c>
      <c r="H528" s="750">
        <v>0</v>
      </c>
      <c r="I528" s="43">
        <v>0.75333099999999997</v>
      </c>
      <c r="J528" s="43">
        <v>0</v>
      </c>
      <c r="K528" s="43">
        <v>0</v>
      </c>
      <c r="L528" s="729">
        <v>0</v>
      </c>
      <c r="M528" s="750">
        <v>0</v>
      </c>
      <c r="N528" s="45">
        <v>0.57189199999999996</v>
      </c>
      <c r="O528" s="43">
        <v>0</v>
      </c>
      <c r="P528" s="43">
        <v>0</v>
      </c>
      <c r="Q528" s="729">
        <v>0.99018600000000001</v>
      </c>
      <c r="R528" s="750">
        <v>0</v>
      </c>
      <c r="S528" s="45">
        <v>0.65632800000000002</v>
      </c>
      <c r="T528" s="43">
        <v>0</v>
      </c>
      <c r="U528" s="43">
        <v>0</v>
      </c>
      <c r="V528" s="729">
        <v>0.99018600000000001</v>
      </c>
      <c r="W528" s="616">
        <v>0</v>
      </c>
    </row>
    <row r="529" spans="2:23" x14ac:dyDescent="0.3">
      <c r="B529" s="380" t="s">
        <v>1822</v>
      </c>
      <c r="C529" s="179" t="s">
        <v>1000</v>
      </c>
      <c r="D529" s="182">
        <v>1.1851719999999999</v>
      </c>
      <c r="E529" s="43">
        <v>0.39314199999999999</v>
      </c>
      <c r="F529" s="43">
        <v>4.6389999999999999E-3</v>
      </c>
      <c r="G529" s="729">
        <v>0.19048200000000001</v>
      </c>
      <c r="H529" s="750">
        <v>0.17368400000000001</v>
      </c>
      <c r="I529" s="43">
        <v>0.40682099999999999</v>
      </c>
      <c r="J529" s="43">
        <v>0</v>
      </c>
      <c r="K529" s="43">
        <v>0</v>
      </c>
      <c r="L529" s="729">
        <v>0.99214599999999997</v>
      </c>
      <c r="M529" s="750">
        <v>8.8909999999999996E-3</v>
      </c>
      <c r="N529" s="45">
        <v>0.75286600000000004</v>
      </c>
      <c r="O529" s="43">
        <v>0</v>
      </c>
      <c r="P529" s="43">
        <v>0</v>
      </c>
      <c r="Q529" s="729">
        <v>0.97877800000000004</v>
      </c>
      <c r="R529" s="750">
        <v>0.17968400000000001</v>
      </c>
      <c r="S529" s="45">
        <v>0.89497400000000005</v>
      </c>
      <c r="T529" s="43">
        <v>0</v>
      </c>
      <c r="U529" s="43">
        <v>0</v>
      </c>
      <c r="V529" s="729">
        <v>0.97978600000000005</v>
      </c>
      <c r="W529" s="616">
        <v>4.7381E-2</v>
      </c>
    </row>
    <row r="530" spans="2:23" x14ac:dyDescent="0.3">
      <c r="B530" s="380" t="s">
        <v>1823</v>
      </c>
      <c r="C530" s="179" t="s">
        <v>1001</v>
      </c>
      <c r="D530" s="182">
        <v>0.66929799999999995</v>
      </c>
      <c r="E530" s="43">
        <v>0</v>
      </c>
      <c r="F530" s="43">
        <v>0</v>
      </c>
      <c r="G530" s="729">
        <v>0.104934</v>
      </c>
      <c r="H530" s="750">
        <v>0</v>
      </c>
      <c r="I530" s="43">
        <v>0.78410299999999999</v>
      </c>
      <c r="J530" s="43">
        <v>0</v>
      </c>
      <c r="K530" s="43">
        <v>0</v>
      </c>
      <c r="L530" s="729">
        <v>0</v>
      </c>
      <c r="M530" s="750">
        <v>0</v>
      </c>
      <c r="N530" s="45">
        <v>0.57169599999999998</v>
      </c>
      <c r="O530" s="43">
        <v>0</v>
      </c>
      <c r="P530" s="43">
        <v>0</v>
      </c>
      <c r="Q530" s="729">
        <v>0.98758599999999996</v>
      </c>
      <c r="R530" s="750">
        <v>0</v>
      </c>
      <c r="S530" s="45">
        <v>0.67437999999999998</v>
      </c>
      <c r="T530" s="43">
        <v>0</v>
      </c>
      <c r="U530" s="43">
        <v>0</v>
      </c>
      <c r="V530" s="729">
        <v>0.98758599999999996</v>
      </c>
      <c r="W530" s="616">
        <v>0</v>
      </c>
    </row>
    <row r="531" spans="2:23" x14ac:dyDescent="0.3">
      <c r="B531" s="380" t="s">
        <v>1824</v>
      </c>
      <c r="C531" s="179" t="s">
        <v>1002</v>
      </c>
      <c r="D531" s="182">
        <v>0.59328000000000003</v>
      </c>
      <c r="E531" s="43">
        <v>0</v>
      </c>
      <c r="F531" s="43">
        <v>0</v>
      </c>
      <c r="G531" s="729">
        <v>0.14399200000000001</v>
      </c>
      <c r="H531" s="750">
        <v>0</v>
      </c>
      <c r="I531" s="43">
        <v>0.69895700000000005</v>
      </c>
      <c r="J531" s="43">
        <v>0</v>
      </c>
      <c r="K531" s="43">
        <v>0</v>
      </c>
      <c r="L531" s="729">
        <v>0</v>
      </c>
      <c r="M531" s="750">
        <v>0</v>
      </c>
      <c r="N531" s="45">
        <v>0.48849199999999998</v>
      </c>
      <c r="O531" s="43">
        <v>0</v>
      </c>
      <c r="P531" s="43">
        <v>0</v>
      </c>
      <c r="Q531" s="729">
        <v>0.99031400000000003</v>
      </c>
      <c r="R531" s="750">
        <v>0</v>
      </c>
      <c r="S531" s="45">
        <v>0.58085600000000004</v>
      </c>
      <c r="T531" s="43">
        <v>0</v>
      </c>
      <c r="U531" s="43">
        <v>0</v>
      </c>
      <c r="V531" s="729">
        <v>0.99031400000000003</v>
      </c>
      <c r="W531" s="616">
        <v>0</v>
      </c>
    </row>
    <row r="532" spans="2:23" x14ac:dyDescent="0.3">
      <c r="B532" s="380" t="s">
        <v>1825</v>
      </c>
      <c r="C532" s="179" t="s">
        <v>1003</v>
      </c>
      <c r="D532" s="182">
        <v>0.59087000000000001</v>
      </c>
      <c r="E532" s="43">
        <v>0.32176900000000003</v>
      </c>
      <c r="F532" s="43">
        <v>0</v>
      </c>
      <c r="G532" s="729">
        <v>0.16231799999999999</v>
      </c>
      <c r="H532" s="750">
        <v>0</v>
      </c>
      <c r="I532" s="43">
        <v>0.62007599999999996</v>
      </c>
      <c r="J532" s="43">
        <v>0</v>
      </c>
      <c r="K532" s="43">
        <v>0</v>
      </c>
      <c r="L532" s="729">
        <v>0</v>
      </c>
      <c r="M532" s="750">
        <v>0</v>
      </c>
      <c r="N532" s="45">
        <v>0.51034400000000002</v>
      </c>
      <c r="O532" s="43">
        <v>0.44661800000000001</v>
      </c>
      <c r="P532" s="43">
        <v>0.57999999999999996</v>
      </c>
      <c r="Q532" s="729">
        <v>0</v>
      </c>
      <c r="R532" s="750">
        <v>0</v>
      </c>
      <c r="S532" s="45">
        <v>0.51034400000000002</v>
      </c>
      <c r="T532" s="43">
        <v>0.44661800000000001</v>
      </c>
      <c r="U532" s="43">
        <v>0.57999999999999996</v>
      </c>
      <c r="V532" s="729">
        <v>0</v>
      </c>
      <c r="W532" s="616">
        <v>0</v>
      </c>
    </row>
    <row r="533" spans="2:23" x14ac:dyDescent="0.3">
      <c r="B533" s="380" t="s">
        <v>1826</v>
      </c>
      <c r="C533" s="179" t="s">
        <v>1004</v>
      </c>
      <c r="D533" s="182">
        <v>0.56206800000000001</v>
      </c>
      <c r="E533" s="43">
        <v>0</v>
      </c>
      <c r="F533" s="43">
        <v>0</v>
      </c>
      <c r="G533" s="729">
        <v>0.15132300000000001</v>
      </c>
      <c r="H533" s="750">
        <v>0</v>
      </c>
      <c r="I533" s="43">
        <v>0.55957100000000004</v>
      </c>
      <c r="J533" s="43">
        <v>0</v>
      </c>
      <c r="K533" s="43">
        <v>0</v>
      </c>
      <c r="L533" s="729">
        <v>0</v>
      </c>
      <c r="M533" s="750">
        <v>0</v>
      </c>
      <c r="N533" s="45">
        <v>0.718669</v>
      </c>
      <c r="O533" s="43">
        <v>0.52936000000000005</v>
      </c>
      <c r="P533" s="43">
        <v>0.50272600000000001</v>
      </c>
      <c r="Q533" s="729">
        <v>0</v>
      </c>
      <c r="R533" s="750">
        <v>0</v>
      </c>
      <c r="S533" s="45">
        <v>0.718669</v>
      </c>
      <c r="T533" s="43">
        <v>0.52936000000000005</v>
      </c>
      <c r="U533" s="43">
        <v>0.50272600000000001</v>
      </c>
      <c r="V533" s="729">
        <v>0</v>
      </c>
      <c r="W533" s="616">
        <v>0</v>
      </c>
    </row>
    <row r="534" spans="2:23" x14ac:dyDescent="0.3">
      <c r="B534" s="380" t="s">
        <v>1827</v>
      </c>
      <c r="C534" s="179" t="s">
        <v>1005</v>
      </c>
      <c r="D534" s="182">
        <v>0.17865800000000001</v>
      </c>
      <c r="E534" s="43">
        <v>0</v>
      </c>
      <c r="F534" s="43">
        <v>0</v>
      </c>
      <c r="G534" s="729">
        <v>0.91281500000000004</v>
      </c>
      <c r="H534" s="750">
        <v>0</v>
      </c>
      <c r="I534" s="43">
        <v>0.640401</v>
      </c>
      <c r="J534" s="43">
        <v>0</v>
      </c>
      <c r="K534" s="43">
        <v>0</v>
      </c>
      <c r="L534" s="729">
        <v>0</v>
      </c>
      <c r="M534" s="750">
        <v>0</v>
      </c>
      <c r="N534" s="45">
        <v>0.18529899999999999</v>
      </c>
      <c r="O534" s="43">
        <v>0</v>
      </c>
      <c r="P534" s="43">
        <v>0</v>
      </c>
      <c r="Q534" s="729">
        <v>0.99155099999999996</v>
      </c>
      <c r="R534" s="750">
        <v>0</v>
      </c>
      <c r="S534" s="45">
        <v>0.20763799999999999</v>
      </c>
      <c r="T534" s="43">
        <v>0</v>
      </c>
      <c r="U534" s="43">
        <v>0</v>
      </c>
      <c r="V534" s="729">
        <v>0.99155099999999996</v>
      </c>
      <c r="W534" s="616">
        <v>0</v>
      </c>
    </row>
    <row r="535" spans="2:23" x14ac:dyDescent="0.3">
      <c r="B535" s="380" t="s">
        <v>1828</v>
      </c>
      <c r="C535" s="179" t="s">
        <v>1006</v>
      </c>
      <c r="D535" s="182">
        <v>0.31897199999999998</v>
      </c>
      <c r="E535" s="43">
        <v>0</v>
      </c>
      <c r="F535" s="43">
        <v>0</v>
      </c>
      <c r="G535" s="729">
        <v>0.150725</v>
      </c>
      <c r="H535" s="750">
        <v>0</v>
      </c>
      <c r="I535" s="43">
        <v>0.38360300000000003</v>
      </c>
      <c r="J535" s="43">
        <v>0</v>
      </c>
      <c r="K535" s="43">
        <v>0</v>
      </c>
      <c r="L535" s="729">
        <v>0</v>
      </c>
      <c r="M535" s="750">
        <v>0</v>
      </c>
      <c r="N535" s="45">
        <v>0.39819199999999999</v>
      </c>
      <c r="O535" s="43">
        <v>0</v>
      </c>
      <c r="P535" s="43">
        <v>0</v>
      </c>
      <c r="Q535" s="729">
        <v>0.95998899999999998</v>
      </c>
      <c r="R535" s="750">
        <v>0</v>
      </c>
      <c r="S535" s="45">
        <v>0.44932699999999998</v>
      </c>
      <c r="T535" s="43">
        <v>0</v>
      </c>
      <c r="U535" s="43">
        <v>0</v>
      </c>
      <c r="V535" s="729">
        <v>0.95998899999999998</v>
      </c>
      <c r="W535" s="616">
        <v>0</v>
      </c>
    </row>
    <row r="536" spans="2:23" x14ac:dyDescent="0.3">
      <c r="B536" s="380" t="s">
        <v>1829</v>
      </c>
      <c r="C536" s="179" t="s">
        <v>1007</v>
      </c>
      <c r="D536" s="182">
        <v>0.52565899999999999</v>
      </c>
      <c r="E536" s="43">
        <v>1.134247</v>
      </c>
      <c r="F536" s="43">
        <v>1.8019E-2</v>
      </c>
      <c r="G536" s="729">
        <v>0.33526299999999998</v>
      </c>
      <c r="H536" s="750">
        <v>0</v>
      </c>
      <c r="I536" s="43">
        <v>0.66597799999999996</v>
      </c>
      <c r="J536" s="43">
        <v>0</v>
      </c>
      <c r="K536" s="43">
        <v>0</v>
      </c>
      <c r="L536" s="729">
        <v>0</v>
      </c>
      <c r="M536" s="750">
        <v>0</v>
      </c>
      <c r="N536" s="45">
        <v>0.446932</v>
      </c>
      <c r="O536" s="43">
        <v>0</v>
      </c>
      <c r="P536" s="43">
        <v>0</v>
      </c>
      <c r="Q536" s="729">
        <v>0.98616099999999995</v>
      </c>
      <c r="R536" s="750">
        <v>0</v>
      </c>
      <c r="S536" s="45">
        <v>0.51009000000000004</v>
      </c>
      <c r="T536" s="43">
        <v>0</v>
      </c>
      <c r="U536" s="43">
        <v>0</v>
      </c>
      <c r="V536" s="729">
        <v>0.98616099999999995</v>
      </c>
      <c r="W536" s="616">
        <v>0</v>
      </c>
    </row>
    <row r="537" spans="2:23" x14ac:dyDescent="0.3">
      <c r="B537" s="380" t="s">
        <v>1830</v>
      </c>
      <c r="C537" s="179" t="s">
        <v>1008</v>
      </c>
      <c r="D537" s="182">
        <v>0.94622499999999998</v>
      </c>
      <c r="E537" s="43">
        <v>0</v>
      </c>
      <c r="F537" s="43">
        <v>0</v>
      </c>
      <c r="G537" s="729">
        <v>0.14466599999999999</v>
      </c>
      <c r="H537" s="750">
        <v>0</v>
      </c>
      <c r="I537" s="43">
        <v>1.030356</v>
      </c>
      <c r="J537" s="43">
        <v>0</v>
      </c>
      <c r="K537" s="43">
        <v>0</v>
      </c>
      <c r="L537" s="729">
        <v>0</v>
      </c>
      <c r="M537" s="750">
        <v>0</v>
      </c>
      <c r="N537" s="45">
        <v>0.48358200000000001</v>
      </c>
      <c r="O537" s="43">
        <v>0</v>
      </c>
      <c r="P537" s="43">
        <v>0</v>
      </c>
      <c r="Q537" s="729">
        <v>0.98518799999999995</v>
      </c>
      <c r="R537" s="750">
        <v>0</v>
      </c>
      <c r="S537" s="45">
        <v>0.558172</v>
      </c>
      <c r="T537" s="43">
        <v>0</v>
      </c>
      <c r="U537" s="43">
        <v>0</v>
      </c>
      <c r="V537" s="729">
        <v>0.98518799999999995</v>
      </c>
      <c r="W537" s="616">
        <v>0</v>
      </c>
    </row>
    <row r="538" spans="2:23" x14ac:dyDescent="0.3">
      <c r="B538" s="380" t="s">
        <v>1831</v>
      </c>
      <c r="C538" s="179" t="s">
        <v>1009</v>
      </c>
      <c r="D538" s="182">
        <v>1.2781340000000001</v>
      </c>
      <c r="E538" s="43">
        <v>0.82852899999999996</v>
      </c>
      <c r="F538" s="43">
        <v>0</v>
      </c>
      <c r="G538" s="729">
        <v>0.353827</v>
      </c>
      <c r="H538" s="750">
        <v>7.3011000000000006E-2</v>
      </c>
      <c r="I538" s="43">
        <v>1.4381630000000001</v>
      </c>
      <c r="J538" s="43">
        <v>0.58782800000000002</v>
      </c>
      <c r="K538" s="43">
        <v>0.52</v>
      </c>
      <c r="L538" s="729">
        <v>0</v>
      </c>
      <c r="M538" s="750">
        <v>0</v>
      </c>
      <c r="N538" s="45">
        <v>0.83100300000000005</v>
      </c>
      <c r="O538" s="43">
        <v>0</v>
      </c>
      <c r="P538" s="43">
        <v>0</v>
      </c>
      <c r="Q538" s="729">
        <v>0.98151999999999995</v>
      </c>
      <c r="R538" s="750">
        <v>0.235092</v>
      </c>
      <c r="S538" s="45">
        <v>0.96484999999999999</v>
      </c>
      <c r="T538" s="43">
        <v>0</v>
      </c>
      <c r="U538" s="43">
        <v>0</v>
      </c>
      <c r="V538" s="729">
        <v>0.98267300000000002</v>
      </c>
      <c r="W538" s="616">
        <v>6.9095000000000004E-2</v>
      </c>
    </row>
    <row r="539" spans="2:23" x14ac:dyDescent="0.3">
      <c r="B539" s="380" t="s">
        <v>1832</v>
      </c>
      <c r="C539" s="179" t="s">
        <v>1010</v>
      </c>
      <c r="D539" s="182">
        <v>0.60019900000000004</v>
      </c>
      <c r="E539" s="43">
        <v>0</v>
      </c>
      <c r="F539" s="43">
        <v>0</v>
      </c>
      <c r="G539" s="729">
        <v>0.278889</v>
      </c>
      <c r="H539" s="750">
        <v>0</v>
      </c>
      <c r="I539" s="43">
        <v>0.72255899999999995</v>
      </c>
      <c r="J539" s="43">
        <v>0</v>
      </c>
      <c r="K539" s="43">
        <v>0</v>
      </c>
      <c r="L539" s="729">
        <v>0</v>
      </c>
      <c r="M539" s="750">
        <v>0</v>
      </c>
      <c r="N539" s="45">
        <v>0.48540299999999997</v>
      </c>
      <c r="O539" s="43">
        <v>0</v>
      </c>
      <c r="P539" s="43">
        <v>0</v>
      </c>
      <c r="Q539" s="729">
        <v>0.95084000000000002</v>
      </c>
      <c r="R539" s="750">
        <v>0</v>
      </c>
      <c r="S539" s="45">
        <v>0.54581500000000005</v>
      </c>
      <c r="T539" s="43">
        <v>0</v>
      </c>
      <c r="U539" s="43">
        <v>0</v>
      </c>
      <c r="V539" s="729">
        <v>0.95084000000000002</v>
      </c>
      <c r="W539" s="616">
        <v>0</v>
      </c>
    </row>
    <row r="540" spans="2:23" x14ac:dyDescent="0.3">
      <c r="B540" s="380" t="s">
        <v>1833</v>
      </c>
      <c r="C540" s="179" t="s">
        <v>1011</v>
      </c>
      <c r="D540" s="182">
        <v>0.41313899999999998</v>
      </c>
      <c r="E540" s="43">
        <v>0</v>
      </c>
      <c r="F540" s="43">
        <v>0</v>
      </c>
      <c r="G540" s="729">
        <v>0.470385</v>
      </c>
      <c r="H540" s="750">
        <v>0</v>
      </c>
      <c r="I540" s="43">
        <v>0.50664200000000004</v>
      </c>
      <c r="J540" s="43">
        <v>0</v>
      </c>
      <c r="K540" s="43">
        <v>0</v>
      </c>
      <c r="L540" s="729">
        <v>0</v>
      </c>
      <c r="M540" s="750">
        <v>0</v>
      </c>
      <c r="N540" s="45">
        <v>0.39996700000000002</v>
      </c>
      <c r="O540" s="43">
        <v>0</v>
      </c>
      <c r="P540" s="43">
        <v>0</v>
      </c>
      <c r="Q540" s="729">
        <v>0.985954</v>
      </c>
      <c r="R540" s="750">
        <v>0</v>
      </c>
      <c r="S540" s="45">
        <v>0.46268500000000001</v>
      </c>
      <c r="T540" s="43">
        <v>0</v>
      </c>
      <c r="U540" s="43">
        <v>0</v>
      </c>
      <c r="V540" s="729">
        <v>0.985954</v>
      </c>
      <c r="W540" s="616">
        <v>0</v>
      </c>
    </row>
    <row r="541" spans="2:23" x14ac:dyDescent="0.3">
      <c r="B541" s="380" t="s">
        <v>1834</v>
      </c>
      <c r="C541" s="179" t="s">
        <v>1012</v>
      </c>
      <c r="D541" s="182">
        <v>1.1564570000000001</v>
      </c>
      <c r="E541" s="43">
        <v>0</v>
      </c>
      <c r="F541" s="43">
        <v>0</v>
      </c>
      <c r="G541" s="729">
        <v>7.7015E-2</v>
      </c>
      <c r="H541" s="750">
        <v>0</v>
      </c>
      <c r="I541" s="43">
        <v>1.159432</v>
      </c>
      <c r="J541" s="43">
        <v>0</v>
      </c>
      <c r="K541" s="43">
        <v>0</v>
      </c>
      <c r="L541" s="729">
        <v>0</v>
      </c>
      <c r="M541" s="750">
        <v>0</v>
      </c>
      <c r="N541" s="45">
        <v>0.80411900000000003</v>
      </c>
      <c r="O541" s="43">
        <v>0.51775400000000005</v>
      </c>
      <c r="P541" s="43">
        <v>0.60584400000000005</v>
      </c>
      <c r="Q541" s="729">
        <v>0</v>
      </c>
      <c r="R541" s="750">
        <v>0</v>
      </c>
      <c r="S541" s="45">
        <v>0.80411900000000003</v>
      </c>
      <c r="T541" s="43">
        <v>0.51775400000000005</v>
      </c>
      <c r="U541" s="43">
        <v>0.60584400000000005</v>
      </c>
      <c r="V541" s="729">
        <v>0</v>
      </c>
      <c r="W541" s="616">
        <v>0</v>
      </c>
    </row>
    <row r="542" spans="2:23" x14ac:dyDescent="0.3">
      <c r="B542" s="380" t="s">
        <v>1835</v>
      </c>
      <c r="C542" s="179" t="s">
        <v>1013</v>
      </c>
      <c r="D542" s="182">
        <v>0.40384500000000001</v>
      </c>
      <c r="E542" s="43">
        <v>0</v>
      </c>
      <c r="F542" s="43">
        <v>0</v>
      </c>
      <c r="G542" s="729">
        <v>0.47606900000000002</v>
      </c>
      <c r="H542" s="750">
        <v>0</v>
      </c>
      <c r="I542" s="43">
        <v>0.51903200000000005</v>
      </c>
      <c r="J542" s="43">
        <v>0</v>
      </c>
      <c r="K542" s="43">
        <v>0</v>
      </c>
      <c r="L542" s="729">
        <v>0</v>
      </c>
      <c r="M542" s="750">
        <v>0</v>
      </c>
      <c r="N542" s="45">
        <v>0.44218600000000002</v>
      </c>
      <c r="O542" s="43">
        <v>0</v>
      </c>
      <c r="P542" s="43">
        <v>0</v>
      </c>
      <c r="Q542" s="729">
        <v>0.96971799999999997</v>
      </c>
      <c r="R542" s="750">
        <v>0</v>
      </c>
      <c r="S542" s="45">
        <v>0.50196600000000002</v>
      </c>
      <c r="T542" s="43">
        <v>0</v>
      </c>
      <c r="U542" s="43">
        <v>0</v>
      </c>
      <c r="V542" s="729">
        <v>0.96971799999999997</v>
      </c>
      <c r="W542" s="616">
        <v>0</v>
      </c>
    </row>
    <row r="543" spans="2:23" x14ac:dyDescent="0.3">
      <c r="B543" s="380" t="s">
        <v>1836</v>
      </c>
      <c r="C543" s="179" t="s">
        <v>1014</v>
      </c>
      <c r="D543" s="182">
        <v>0.81724300000000005</v>
      </c>
      <c r="E543" s="43">
        <v>0.69272100000000003</v>
      </c>
      <c r="F543" s="43">
        <v>0</v>
      </c>
      <c r="G543" s="729">
        <v>0.189858</v>
      </c>
      <c r="H543" s="750">
        <v>0.17866699999999999</v>
      </c>
      <c r="I543" s="43">
        <v>0.229465</v>
      </c>
      <c r="J543" s="43">
        <v>0</v>
      </c>
      <c r="K543" s="43">
        <v>0</v>
      </c>
      <c r="L543" s="729">
        <v>0.99574799999999997</v>
      </c>
      <c r="M543" s="750">
        <v>6.3587000000000005E-2</v>
      </c>
      <c r="N543" s="45">
        <v>0.30266599999999999</v>
      </c>
      <c r="O543" s="43">
        <v>0</v>
      </c>
      <c r="P543" s="43">
        <v>0</v>
      </c>
      <c r="Q543" s="729">
        <v>0.986178</v>
      </c>
      <c r="R543" s="750">
        <v>0.81506999999999996</v>
      </c>
      <c r="S543" s="45">
        <v>0.77587600000000001</v>
      </c>
      <c r="T543" s="43">
        <v>0.41547400000000001</v>
      </c>
      <c r="U543" s="43">
        <v>0.49</v>
      </c>
      <c r="V543" s="729">
        <v>0</v>
      </c>
      <c r="W543" s="616">
        <v>0</v>
      </c>
    </row>
    <row r="544" spans="2:23" x14ac:dyDescent="0.3">
      <c r="B544" s="380" t="s">
        <v>1837</v>
      </c>
      <c r="C544" s="179" t="s">
        <v>1015</v>
      </c>
      <c r="D544" s="182">
        <v>0.227184</v>
      </c>
      <c r="E544" s="43">
        <v>0</v>
      </c>
      <c r="F544" s="43">
        <v>0</v>
      </c>
      <c r="G544" s="729">
        <v>0.40002199999999999</v>
      </c>
      <c r="H544" s="750">
        <v>0</v>
      </c>
      <c r="I544" s="43">
        <v>0.25176399999999999</v>
      </c>
      <c r="J544" s="43">
        <v>0</v>
      </c>
      <c r="K544" s="43">
        <v>0</v>
      </c>
      <c r="L544" s="729">
        <v>0</v>
      </c>
      <c r="M544" s="750">
        <v>0</v>
      </c>
      <c r="N544" s="45">
        <v>0.28693200000000002</v>
      </c>
      <c r="O544" s="43">
        <v>0.52009000000000005</v>
      </c>
      <c r="P544" s="43">
        <v>0.5</v>
      </c>
      <c r="Q544" s="729">
        <v>0</v>
      </c>
      <c r="R544" s="750">
        <v>0</v>
      </c>
      <c r="S544" s="45">
        <v>0.28693200000000002</v>
      </c>
      <c r="T544" s="43">
        <v>0.52009000000000005</v>
      </c>
      <c r="U544" s="43">
        <v>0.5</v>
      </c>
      <c r="V544" s="729">
        <v>0</v>
      </c>
      <c r="W544" s="616">
        <v>0</v>
      </c>
    </row>
    <row r="545" spans="2:23" x14ac:dyDescent="0.3">
      <c r="B545" s="380" t="s">
        <v>1838</v>
      </c>
      <c r="C545" s="179" t="s">
        <v>1016</v>
      </c>
      <c r="D545" s="182">
        <v>0.45819300000000002</v>
      </c>
      <c r="E545" s="43">
        <v>0</v>
      </c>
      <c r="F545" s="43">
        <v>0</v>
      </c>
      <c r="G545" s="729">
        <v>0.26804299999999998</v>
      </c>
      <c r="H545" s="750">
        <v>9.4488000000000003E-2</v>
      </c>
      <c r="I545" s="43">
        <v>0.66609200000000002</v>
      </c>
      <c r="J545" s="43">
        <v>0</v>
      </c>
      <c r="K545" s="43">
        <v>0</v>
      </c>
      <c r="L545" s="729">
        <v>0</v>
      </c>
      <c r="M545" s="750">
        <v>0</v>
      </c>
      <c r="N545" s="45">
        <v>0.44273899999999999</v>
      </c>
      <c r="O545" s="43">
        <v>0.46835500000000002</v>
      </c>
      <c r="P545" s="43">
        <v>0.52</v>
      </c>
      <c r="Q545" s="729">
        <v>0</v>
      </c>
      <c r="R545" s="750">
        <v>0</v>
      </c>
      <c r="S545" s="45">
        <v>0.47256100000000001</v>
      </c>
      <c r="T545" s="43">
        <v>0.43864300000000001</v>
      </c>
      <c r="U545" s="43">
        <v>0.51</v>
      </c>
      <c r="V545" s="729">
        <v>0</v>
      </c>
      <c r="W545" s="616">
        <v>0</v>
      </c>
    </row>
    <row r="546" spans="2:23" x14ac:dyDescent="0.3">
      <c r="B546" s="380" t="s">
        <v>1839</v>
      </c>
      <c r="C546" s="179" t="s">
        <v>1017</v>
      </c>
      <c r="D546" s="182">
        <v>0.416437</v>
      </c>
      <c r="E546" s="43">
        <v>0</v>
      </c>
      <c r="F546" s="43">
        <v>0</v>
      </c>
      <c r="G546" s="729">
        <v>0.196099</v>
      </c>
      <c r="H546" s="750">
        <v>0</v>
      </c>
      <c r="I546" s="43">
        <v>0.46909899999999999</v>
      </c>
      <c r="J546" s="43">
        <v>0</v>
      </c>
      <c r="K546" s="43">
        <v>0</v>
      </c>
      <c r="L546" s="729">
        <v>0</v>
      </c>
      <c r="M546" s="750">
        <v>0</v>
      </c>
      <c r="N546" s="45">
        <v>0.32595000000000002</v>
      </c>
      <c r="O546" s="43">
        <v>0</v>
      </c>
      <c r="P546" s="43">
        <v>0</v>
      </c>
      <c r="Q546" s="729">
        <v>0.97184400000000004</v>
      </c>
      <c r="R546" s="750">
        <v>0</v>
      </c>
      <c r="S546" s="45">
        <v>0.35999700000000001</v>
      </c>
      <c r="T546" s="43">
        <v>0</v>
      </c>
      <c r="U546" s="43">
        <v>0</v>
      </c>
      <c r="V546" s="729">
        <v>0.97184400000000004</v>
      </c>
      <c r="W546" s="616">
        <v>0</v>
      </c>
    </row>
    <row r="547" spans="2:23" x14ac:dyDescent="0.3">
      <c r="B547" s="380" t="s">
        <v>1840</v>
      </c>
      <c r="C547" s="179" t="s">
        <v>1018</v>
      </c>
      <c r="D547" s="182">
        <v>0.412047</v>
      </c>
      <c r="E547" s="43">
        <v>0.424902</v>
      </c>
      <c r="F547" s="43">
        <v>0.01</v>
      </c>
      <c r="G547" s="729">
        <v>3.6923999999999998E-2</v>
      </c>
      <c r="H547" s="750">
        <v>0</v>
      </c>
      <c r="I547" s="43">
        <v>0.20546700000000001</v>
      </c>
      <c r="J547" s="43">
        <v>0</v>
      </c>
      <c r="K547" s="43">
        <v>0</v>
      </c>
      <c r="L547" s="729">
        <v>0.76817000000000002</v>
      </c>
      <c r="M547" s="750">
        <v>0</v>
      </c>
      <c r="N547" s="45">
        <v>0.32927099999999998</v>
      </c>
      <c r="O547" s="43">
        <v>0.58745099999999995</v>
      </c>
      <c r="P547" s="43">
        <v>0.61</v>
      </c>
      <c r="Q547" s="729">
        <v>0</v>
      </c>
      <c r="R547" s="750">
        <v>0</v>
      </c>
      <c r="S547" s="45">
        <v>0.32927099999999998</v>
      </c>
      <c r="T547" s="43">
        <v>0.58745099999999995</v>
      </c>
      <c r="U547" s="43">
        <v>0.61</v>
      </c>
      <c r="V547" s="729">
        <v>0</v>
      </c>
      <c r="W547" s="616">
        <v>0</v>
      </c>
    </row>
    <row r="548" spans="2:23" x14ac:dyDescent="0.3">
      <c r="B548" s="380" t="s">
        <v>1841</v>
      </c>
      <c r="C548" s="179" t="s">
        <v>1019</v>
      </c>
      <c r="D548" s="182">
        <v>1.3041959999999999</v>
      </c>
      <c r="E548" s="43">
        <v>0.39396599999999998</v>
      </c>
      <c r="F548" s="43">
        <v>1.1207999999999999E-2</v>
      </c>
      <c r="G548" s="729">
        <v>0.39948099999999998</v>
      </c>
      <c r="H548" s="750">
        <v>0</v>
      </c>
      <c r="I548" s="43">
        <v>1.503851</v>
      </c>
      <c r="J548" s="43">
        <v>0</v>
      </c>
      <c r="K548" s="43">
        <v>0</v>
      </c>
      <c r="L548" s="729">
        <v>0</v>
      </c>
      <c r="M548" s="750">
        <v>0</v>
      </c>
      <c r="N548" s="45">
        <v>0.98158999999999996</v>
      </c>
      <c r="O548" s="43">
        <v>0.48289900000000002</v>
      </c>
      <c r="P548" s="43">
        <v>0.51</v>
      </c>
      <c r="Q548" s="729">
        <v>0.63819999999999999</v>
      </c>
      <c r="R548" s="750">
        <v>0</v>
      </c>
      <c r="S548" s="45">
        <v>1.071861</v>
      </c>
      <c r="T548" s="43">
        <v>0.48289900000000002</v>
      </c>
      <c r="U548" s="43">
        <v>0.51</v>
      </c>
      <c r="V548" s="729">
        <v>0.63819999999999999</v>
      </c>
      <c r="W548" s="616">
        <v>0</v>
      </c>
    </row>
    <row r="549" spans="2:23" x14ac:dyDescent="0.3">
      <c r="B549" s="380" t="s">
        <v>1842</v>
      </c>
      <c r="C549" s="179" t="s">
        <v>1020</v>
      </c>
      <c r="D549" s="182">
        <v>1.592978</v>
      </c>
      <c r="E549" s="43">
        <v>0.33810099999999998</v>
      </c>
      <c r="F549" s="43">
        <v>0</v>
      </c>
      <c r="G549" s="729">
        <v>0.42164299999999999</v>
      </c>
      <c r="H549" s="750">
        <v>0.77307700000000001</v>
      </c>
      <c r="I549" s="43">
        <v>0.51433200000000001</v>
      </c>
      <c r="J549" s="43">
        <v>0</v>
      </c>
      <c r="K549" s="43">
        <v>0</v>
      </c>
      <c r="L549" s="729">
        <v>0.99847300000000005</v>
      </c>
      <c r="M549" s="750">
        <v>0.238339</v>
      </c>
      <c r="N549" s="45">
        <v>0.64463599999999999</v>
      </c>
      <c r="O549" s="43">
        <v>0</v>
      </c>
      <c r="P549" s="43">
        <v>0</v>
      </c>
      <c r="Q549" s="729">
        <v>0.98806400000000005</v>
      </c>
      <c r="R549" s="750">
        <v>0.90788800000000003</v>
      </c>
      <c r="S549" s="45">
        <v>0.84990399999999999</v>
      </c>
      <c r="T549" s="43">
        <v>0</v>
      </c>
      <c r="U549" s="43">
        <v>0</v>
      </c>
      <c r="V549" s="729">
        <v>0.99513099999999999</v>
      </c>
      <c r="W549" s="616">
        <v>0.57662000000000002</v>
      </c>
    </row>
    <row r="550" spans="2:23" x14ac:dyDescent="0.3">
      <c r="B550" s="380" t="s">
        <v>1843</v>
      </c>
      <c r="C550" s="179" t="s">
        <v>1021</v>
      </c>
      <c r="D550" s="182">
        <v>0.20027300000000001</v>
      </c>
      <c r="E550" s="43">
        <v>0</v>
      </c>
      <c r="F550" s="43">
        <v>0</v>
      </c>
      <c r="G550" s="729">
        <v>0.44281999999999999</v>
      </c>
      <c r="H550" s="750">
        <v>0</v>
      </c>
      <c r="I550" s="43">
        <v>0.21371499999999999</v>
      </c>
      <c r="J550" s="43">
        <v>0</v>
      </c>
      <c r="K550" s="43">
        <v>0</v>
      </c>
      <c r="L550" s="729">
        <v>0</v>
      </c>
      <c r="M550" s="750">
        <v>0</v>
      </c>
      <c r="N550" s="45">
        <v>0.303533</v>
      </c>
      <c r="O550" s="43">
        <v>0.54491299999999998</v>
      </c>
      <c r="P550" s="43">
        <v>0.49</v>
      </c>
      <c r="Q550" s="729">
        <v>0</v>
      </c>
      <c r="R550" s="750">
        <v>0</v>
      </c>
      <c r="S550" s="45">
        <v>0.303533</v>
      </c>
      <c r="T550" s="43">
        <v>0.54491299999999998</v>
      </c>
      <c r="U550" s="43">
        <v>0.49</v>
      </c>
      <c r="V550" s="729">
        <v>0</v>
      </c>
      <c r="W550" s="616">
        <v>0</v>
      </c>
    </row>
    <row r="551" spans="2:23" x14ac:dyDescent="0.3">
      <c r="B551" s="380" t="s">
        <v>1844</v>
      </c>
      <c r="C551" s="179" t="s">
        <v>1022</v>
      </c>
      <c r="D551" s="182">
        <v>0.75378000000000001</v>
      </c>
      <c r="E551" s="43">
        <v>0.27060099999999998</v>
      </c>
      <c r="F551" s="43">
        <v>0.01</v>
      </c>
      <c r="G551" s="729">
        <v>0.239116</v>
      </c>
      <c r="H551" s="750">
        <v>9.8039000000000001E-2</v>
      </c>
      <c r="I551" s="43">
        <v>1.4239090000000001</v>
      </c>
      <c r="J551" s="43">
        <v>0</v>
      </c>
      <c r="K551" s="43">
        <v>0</v>
      </c>
      <c r="L551" s="729">
        <v>0</v>
      </c>
      <c r="M551" s="750">
        <v>0</v>
      </c>
      <c r="N551" s="45">
        <v>0.55291400000000002</v>
      </c>
      <c r="O551" s="43">
        <v>0</v>
      </c>
      <c r="P551" s="43">
        <v>0</v>
      </c>
      <c r="Q551" s="729">
        <v>0.97489700000000001</v>
      </c>
      <c r="R551" s="750">
        <v>0.741004</v>
      </c>
      <c r="S551" s="45">
        <v>0.66156899999999996</v>
      </c>
      <c r="T551" s="43">
        <v>0</v>
      </c>
      <c r="U551" s="43">
        <v>0</v>
      </c>
      <c r="V551" s="729">
        <v>0.977047</v>
      </c>
      <c r="W551" s="616">
        <v>0.26159300000000002</v>
      </c>
    </row>
    <row r="552" spans="2:23" x14ac:dyDescent="0.3">
      <c r="B552" s="380" t="s">
        <v>1845</v>
      </c>
      <c r="C552" s="179" t="s">
        <v>1023</v>
      </c>
      <c r="D552" s="182">
        <v>0.41089100000000001</v>
      </c>
      <c r="E552" s="43">
        <v>0.266513</v>
      </c>
      <c r="F552" s="43">
        <v>0</v>
      </c>
      <c r="G552" s="729">
        <v>0.38494400000000001</v>
      </c>
      <c r="H552" s="750">
        <v>0</v>
      </c>
      <c r="I552" s="43">
        <v>0.48544300000000001</v>
      </c>
      <c r="J552" s="43">
        <v>0</v>
      </c>
      <c r="K552" s="43">
        <v>0</v>
      </c>
      <c r="L552" s="729">
        <v>0</v>
      </c>
      <c r="M552" s="750">
        <v>0</v>
      </c>
      <c r="N552" s="45">
        <v>0.39243800000000001</v>
      </c>
      <c r="O552" s="43">
        <v>0</v>
      </c>
      <c r="P552" s="43">
        <v>0</v>
      </c>
      <c r="Q552" s="729">
        <v>0.98221400000000003</v>
      </c>
      <c r="R552" s="750">
        <v>0</v>
      </c>
      <c r="S552" s="45">
        <v>0.45491700000000002</v>
      </c>
      <c r="T552" s="43">
        <v>0</v>
      </c>
      <c r="U552" s="43">
        <v>0</v>
      </c>
      <c r="V552" s="729">
        <v>0.98221400000000003</v>
      </c>
      <c r="W552" s="616">
        <v>0</v>
      </c>
    </row>
    <row r="553" spans="2:23" x14ac:dyDescent="0.3">
      <c r="B553" s="380" t="s">
        <v>1846</v>
      </c>
      <c r="C553" s="179" t="s">
        <v>1024</v>
      </c>
      <c r="D553" s="182">
        <v>0.503363</v>
      </c>
      <c r="E553" s="43">
        <v>0.22733300000000001</v>
      </c>
      <c r="F553" s="43">
        <v>0</v>
      </c>
      <c r="G553" s="729">
        <v>0.48924099999999998</v>
      </c>
      <c r="H553" s="750">
        <v>0</v>
      </c>
      <c r="I553" s="43">
        <v>0.66775499999999999</v>
      </c>
      <c r="J553" s="43">
        <v>0</v>
      </c>
      <c r="K553" s="43">
        <v>0</v>
      </c>
      <c r="L553" s="729">
        <v>0</v>
      </c>
      <c r="M553" s="750">
        <v>0</v>
      </c>
      <c r="N553" s="45">
        <v>0.56219600000000003</v>
      </c>
      <c r="O553" s="43">
        <v>0</v>
      </c>
      <c r="P553" s="43">
        <v>0</v>
      </c>
      <c r="Q553" s="729">
        <v>0.96613800000000005</v>
      </c>
      <c r="R553" s="750">
        <v>0</v>
      </c>
      <c r="S553" s="45">
        <v>0.64849000000000001</v>
      </c>
      <c r="T553" s="43">
        <v>0</v>
      </c>
      <c r="U553" s="43">
        <v>0</v>
      </c>
      <c r="V553" s="729">
        <v>0.96613800000000005</v>
      </c>
      <c r="W553" s="616">
        <v>0</v>
      </c>
    </row>
    <row r="554" spans="2:23" x14ac:dyDescent="0.3">
      <c r="B554" s="380" t="s">
        <v>1847</v>
      </c>
      <c r="C554" s="179" t="s">
        <v>1025</v>
      </c>
      <c r="D554" s="182">
        <v>0.32478000000000001</v>
      </c>
      <c r="E554" s="43">
        <v>0</v>
      </c>
      <c r="F554" s="43">
        <v>0</v>
      </c>
      <c r="G554" s="729">
        <v>0.293605</v>
      </c>
      <c r="H554" s="750">
        <v>0.1</v>
      </c>
      <c r="I554" s="43">
        <v>0.56733599999999995</v>
      </c>
      <c r="J554" s="43">
        <v>0</v>
      </c>
      <c r="K554" s="43">
        <v>0</v>
      </c>
      <c r="L554" s="729">
        <v>0</v>
      </c>
      <c r="M554" s="750">
        <v>0</v>
      </c>
      <c r="N554" s="45">
        <v>0.28051999999999999</v>
      </c>
      <c r="O554" s="43">
        <v>0</v>
      </c>
      <c r="P554" s="43">
        <v>0</v>
      </c>
      <c r="Q554" s="729">
        <v>0.98661100000000002</v>
      </c>
      <c r="R554" s="750">
        <v>0.59698200000000001</v>
      </c>
      <c r="S554" s="45">
        <v>0.32853199999999999</v>
      </c>
      <c r="T554" s="43">
        <v>0</v>
      </c>
      <c r="U554" s="43">
        <v>0</v>
      </c>
      <c r="V554" s="729">
        <v>0.98813600000000001</v>
      </c>
      <c r="W554" s="616">
        <v>0.12296700000000001</v>
      </c>
    </row>
    <row r="555" spans="2:23" x14ac:dyDescent="0.3">
      <c r="B555" s="380" t="s">
        <v>1848</v>
      </c>
      <c r="C555" s="179" t="s">
        <v>1026</v>
      </c>
      <c r="D555" s="182">
        <v>2.2311359999999998</v>
      </c>
      <c r="E555" s="43">
        <v>0.52818799999999999</v>
      </c>
      <c r="F555" s="43">
        <v>2.8960000000000001E-3</v>
      </c>
      <c r="G555" s="729">
        <v>0.77224000000000004</v>
      </c>
      <c r="H555" s="750">
        <v>0.980993</v>
      </c>
      <c r="I555" s="43">
        <v>1.0093179999999999</v>
      </c>
      <c r="J555" s="43">
        <v>0</v>
      </c>
      <c r="K555" s="43">
        <v>0</v>
      </c>
      <c r="L555" s="729">
        <v>0.99991099999999999</v>
      </c>
      <c r="M555" s="750">
        <v>0.33229399999999998</v>
      </c>
      <c r="N555" s="45">
        <v>1.3831089999999999</v>
      </c>
      <c r="O555" s="43">
        <v>0</v>
      </c>
      <c r="P555" s="43">
        <v>0</v>
      </c>
      <c r="Q555" s="729">
        <v>0.99958100000000005</v>
      </c>
      <c r="R555" s="750">
        <v>0.77422000000000002</v>
      </c>
      <c r="S555" s="45">
        <v>1.9699850000000001</v>
      </c>
      <c r="T555" s="43">
        <v>0</v>
      </c>
      <c r="U555" s="43">
        <v>0</v>
      </c>
      <c r="V555" s="729">
        <v>0.999471</v>
      </c>
      <c r="W555" s="616">
        <v>0.59053599999999995</v>
      </c>
    </row>
    <row r="556" spans="2:23" x14ac:dyDescent="0.3">
      <c r="B556" s="380" t="s">
        <v>1849</v>
      </c>
      <c r="C556" s="179" t="s">
        <v>1027</v>
      </c>
      <c r="D556" s="182">
        <v>0.31155500000000003</v>
      </c>
      <c r="E556" s="43">
        <v>0</v>
      </c>
      <c r="F556" s="43">
        <v>0</v>
      </c>
      <c r="G556" s="729">
        <v>0.45185500000000001</v>
      </c>
      <c r="H556" s="750">
        <v>0</v>
      </c>
      <c r="I556" s="43">
        <v>0.493315</v>
      </c>
      <c r="J556" s="43">
        <v>0</v>
      </c>
      <c r="K556" s="43">
        <v>0</v>
      </c>
      <c r="L556" s="729">
        <v>0</v>
      </c>
      <c r="M556" s="750">
        <v>0</v>
      </c>
      <c r="N556" s="45">
        <v>0.32014900000000002</v>
      </c>
      <c r="O556" s="43">
        <v>0</v>
      </c>
      <c r="P556" s="43">
        <v>0</v>
      </c>
      <c r="Q556" s="729">
        <v>0.99585000000000001</v>
      </c>
      <c r="R556" s="750">
        <v>0</v>
      </c>
      <c r="S556" s="45">
        <v>0.38230700000000001</v>
      </c>
      <c r="T556" s="43">
        <v>0</v>
      </c>
      <c r="U556" s="43">
        <v>0</v>
      </c>
      <c r="V556" s="729">
        <v>0.99585000000000001</v>
      </c>
      <c r="W556" s="616">
        <v>0</v>
      </c>
    </row>
    <row r="557" spans="2:23" x14ac:dyDescent="0.3">
      <c r="B557" s="380" t="s">
        <v>1850</v>
      </c>
      <c r="C557" s="179" t="s">
        <v>1028</v>
      </c>
      <c r="D557" s="182">
        <v>0.235787</v>
      </c>
      <c r="E557" s="43">
        <v>0</v>
      </c>
      <c r="F557" s="43">
        <v>0</v>
      </c>
      <c r="G557" s="729">
        <v>0.101647</v>
      </c>
      <c r="H557" s="750">
        <v>0</v>
      </c>
      <c r="I557" s="43">
        <v>0.23983699999999999</v>
      </c>
      <c r="J557" s="43">
        <v>0</v>
      </c>
      <c r="K557" s="43">
        <v>0</v>
      </c>
      <c r="L557" s="729">
        <v>0</v>
      </c>
      <c r="M557" s="750">
        <v>0</v>
      </c>
      <c r="N557" s="45">
        <v>0.26125700000000002</v>
      </c>
      <c r="O557" s="43">
        <v>0.442691</v>
      </c>
      <c r="P557" s="43">
        <v>0.5</v>
      </c>
      <c r="Q557" s="729">
        <v>0</v>
      </c>
      <c r="R557" s="750">
        <v>0</v>
      </c>
      <c r="S557" s="45">
        <v>0.26125700000000002</v>
      </c>
      <c r="T557" s="43">
        <v>0.442691</v>
      </c>
      <c r="U557" s="43">
        <v>0.5</v>
      </c>
      <c r="V557" s="729">
        <v>0</v>
      </c>
      <c r="W557" s="616">
        <v>0</v>
      </c>
    </row>
    <row r="558" spans="2:23" x14ac:dyDescent="0.3">
      <c r="B558" s="380" t="s">
        <v>1851</v>
      </c>
      <c r="C558" s="179" t="s">
        <v>1029</v>
      </c>
      <c r="D558" s="182">
        <v>2.0663999999999998E-2</v>
      </c>
      <c r="E558" s="43">
        <v>0</v>
      </c>
      <c r="F558" s="43">
        <v>0</v>
      </c>
      <c r="G558" s="729">
        <v>0</v>
      </c>
      <c r="H558" s="750">
        <v>0</v>
      </c>
      <c r="I558" s="43">
        <v>2.0663999999999998E-2</v>
      </c>
      <c r="J558" s="43">
        <v>0</v>
      </c>
      <c r="K558" s="43">
        <v>0</v>
      </c>
      <c r="L558" s="729">
        <v>0</v>
      </c>
      <c r="M558" s="750">
        <v>0</v>
      </c>
      <c r="N558" s="45">
        <v>2.7354E-2</v>
      </c>
      <c r="O558" s="43">
        <v>0</v>
      </c>
      <c r="P558" s="43">
        <v>0</v>
      </c>
      <c r="Q558" s="729">
        <v>0</v>
      </c>
      <c r="R558" s="750">
        <v>0</v>
      </c>
      <c r="S558" s="45">
        <v>2.7354E-2</v>
      </c>
      <c r="T558" s="43">
        <v>0</v>
      </c>
      <c r="U558" s="43">
        <v>0</v>
      </c>
      <c r="V558" s="729">
        <v>0</v>
      </c>
      <c r="W558" s="616">
        <v>0</v>
      </c>
    </row>
    <row r="559" spans="2:23" x14ac:dyDescent="0.3">
      <c r="B559" s="380" t="s">
        <v>1852</v>
      </c>
      <c r="C559" s="179" t="s">
        <v>1030</v>
      </c>
      <c r="D559" s="182">
        <v>0.63499499999999998</v>
      </c>
      <c r="E559" s="43">
        <v>0.474661</v>
      </c>
      <c r="F559" s="43">
        <v>0</v>
      </c>
      <c r="G559" s="729">
        <v>0.29816599999999999</v>
      </c>
      <c r="H559" s="750">
        <v>0.93348600000000004</v>
      </c>
      <c r="I559" s="43">
        <v>0.27672600000000003</v>
      </c>
      <c r="J559" s="43">
        <v>0</v>
      </c>
      <c r="K559" s="43">
        <v>0</v>
      </c>
      <c r="L559" s="729">
        <v>0.99827200000000005</v>
      </c>
      <c r="M559" s="750">
        <v>0.33483099999999999</v>
      </c>
      <c r="N559" s="45">
        <v>0.31384699999999999</v>
      </c>
      <c r="O559" s="43">
        <v>0</v>
      </c>
      <c r="P559" s="43">
        <v>0</v>
      </c>
      <c r="Q559" s="729">
        <v>0.99930099999999999</v>
      </c>
      <c r="R559" s="750">
        <v>0.95767500000000005</v>
      </c>
      <c r="S559" s="45">
        <v>0.46746700000000002</v>
      </c>
      <c r="T559" s="43">
        <v>0</v>
      </c>
      <c r="U559" s="43">
        <v>0</v>
      </c>
      <c r="V559" s="729">
        <v>0.99701799999999996</v>
      </c>
      <c r="W559" s="616">
        <v>0.73998200000000003</v>
      </c>
    </row>
    <row r="560" spans="2:23" x14ac:dyDescent="0.3">
      <c r="B560" s="380" t="s">
        <v>1853</v>
      </c>
      <c r="C560" s="179" t="s">
        <v>1031</v>
      </c>
      <c r="D560" s="182">
        <v>1.3386899999999999</v>
      </c>
      <c r="E560" s="43">
        <v>0</v>
      </c>
      <c r="F560" s="43">
        <v>0</v>
      </c>
      <c r="G560" s="729">
        <v>0.13028000000000001</v>
      </c>
      <c r="H560" s="750">
        <v>0</v>
      </c>
      <c r="I560" s="43">
        <v>1.548916</v>
      </c>
      <c r="J560" s="43">
        <v>0</v>
      </c>
      <c r="K560" s="43">
        <v>0</v>
      </c>
      <c r="L560" s="729">
        <v>0</v>
      </c>
      <c r="M560" s="750">
        <v>0</v>
      </c>
      <c r="N560" s="45">
        <v>0.71567700000000001</v>
      </c>
      <c r="O560" s="43">
        <v>0</v>
      </c>
      <c r="P560" s="43">
        <v>0</v>
      </c>
      <c r="Q560" s="729">
        <v>0.99816000000000005</v>
      </c>
      <c r="R560" s="750">
        <v>6.437E-3</v>
      </c>
      <c r="S560" s="45">
        <v>0.87289300000000003</v>
      </c>
      <c r="T560" s="43">
        <v>0</v>
      </c>
      <c r="U560" s="43">
        <v>0</v>
      </c>
      <c r="V560" s="729">
        <v>0.998058</v>
      </c>
      <c r="W560" s="616">
        <v>1.7570000000000001E-3</v>
      </c>
    </row>
    <row r="561" spans="2:23" x14ac:dyDescent="0.3">
      <c r="B561" s="380" t="s">
        <v>1854</v>
      </c>
      <c r="C561" s="179" t="s">
        <v>1032</v>
      </c>
      <c r="D561" s="182">
        <v>0.93645699999999998</v>
      </c>
      <c r="E561" s="43">
        <v>0</v>
      </c>
      <c r="F561" s="43">
        <v>0</v>
      </c>
      <c r="G561" s="729">
        <v>0.36920500000000001</v>
      </c>
      <c r="H561" s="750">
        <v>0</v>
      </c>
      <c r="I561" s="43">
        <v>1.4899770000000001</v>
      </c>
      <c r="J561" s="43">
        <v>0</v>
      </c>
      <c r="K561" s="43">
        <v>0</v>
      </c>
      <c r="L561" s="729">
        <v>0</v>
      </c>
      <c r="M561" s="750">
        <v>0</v>
      </c>
      <c r="N561" s="45">
        <v>0.684365</v>
      </c>
      <c r="O561" s="43">
        <v>0</v>
      </c>
      <c r="P561" s="43">
        <v>0</v>
      </c>
      <c r="Q561" s="729">
        <v>0.99768500000000004</v>
      </c>
      <c r="R561" s="750">
        <v>0.151501</v>
      </c>
      <c r="S561" s="45">
        <v>0.87438199999999999</v>
      </c>
      <c r="T561" s="43">
        <v>0</v>
      </c>
      <c r="U561" s="43">
        <v>0</v>
      </c>
      <c r="V561" s="729">
        <v>0.99771799999999999</v>
      </c>
      <c r="W561" s="616">
        <v>4.6471999999999999E-2</v>
      </c>
    </row>
    <row r="562" spans="2:23" x14ac:dyDescent="0.3">
      <c r="B562" s="380" t="s">
        <v>1855</v>
      </c>
      <c r="C562" s="179" t="s">
        <v>1033</v>
      </c>
      <c r="D562" s="182">
        <v>0.78583899999999995</v>
      </c>
      <c r="E562" s="43">
        <v>0.80292200000000002</v>
      </c>
      <c r="F562" s="43">
        <v>0</v>
      </c>
      <c r="G562" s="729">
        <v>0.29603099999999999</v>
      </c>
      <c r="H562" s="750">
        <v>0</v>
      </c>
      <c r="I562" s="43">
        <v>1.0111760000000001</v>
      </c>
      <c r="J562" s="43">
        <v>0</v>
      </c>
      <c r="K562" s="43">
        <v>0</v>
      </c>
      <c r="L562" s="729">
        <v>0</v>
      </c>
      <c r="M562" s="750">
        <v>0</v>
      </c>
      <c r="N562" s="45">
        <v>0.46607999999999999</v>
      </c>
      <c r="O562" s="43">
        <v>0</v>
      </c>
      <c r="P562" s="43">
        <v>0</v>
      </c>
      <c r="Q562" s="729">
        <v>0.99136299999999999</v>
      </c>
      <c r="R562" s="750">
        <v>0</v>
      </c>
      <c r="S562" s="45">
        <v>0.56175600000000003</v>
      </c>
      <c r="T562" s="43">
        <v>0</v>
      </c>
      <c r="U562" s="43">
        <v>0</v>
      </c>
      <c r="V562" s="729">
        <v>0.99136299999999999</v>
      </c>
      <c r="W562" s="616">
        <v>0</v>
      </c>
    </row>
    <row r="563" spans="2:23" x14ac:dyDescent="0.3">
      <c r="B563" s="380" t="s">
        <v>1856</v>
      </c>
      <c r="C563" s="179" t="s">
        <v>1034</v>
      </c>
      <c r="D563" s="182">
        <v>0.93453200000000003</v>
      </c>
      <c r="E563" s="43">
        <v>0</v>
      </c>
      <c r="F563" s="43">
        <v>0</v>
      </c>
      <c r="G563" s="729">
        <v>0.232708</v>
      </c>
      <c r="H563" s="750">
        <v>0.118644</v>
      </c>
      <c r="I563" s="43">
        <v>1.692577</v>
      </c>
      <c r="J563" s="43">
        <v>0</v>
      </c>
      <c r="K563" s="43">
        <v>0</v>
      </c>
      <c r="L563" s="729">
        <v>0</v>
      </c>
      <c r="M563" s="750">
        <v>0</v>
      </c>
      <c r="N563" s="45">
        <v>0.73581300000000005</v>
      </c>
      <c r="O563" s="43">
        <v>0</v>
      </c>
      <c r="P563" s="43">
        <v>0</v>
      </c>
      <c r="Q563" s="729">
        <v>0.99860300000000002</v>
      </c>
      <c r="R563" s="750">
        <v>0.44008700000000001</v>
      </c>
      <c r="S563" s="45">
        <v>0.93278899999999998</v>
      </c>
      <c r="T563" s="43">
        <v>0</v>
      </c>
      <c r="U563" s="43">
        <v>0</v>
      </c>
      <c r="V563" s="729">
        <v>0.99819899999999995</v>
      </c>
      <c r="W563" s="616">
        <v>0.115061</v>
      </c>
    </row>
    <row r="564" spans="2:23" x14ac:dyDescent="0.3">
      <c r="B564" s="380" t="s">
        <v>1857</v>
      </c>
      <c r="C564" s="179" t="s">
        <v>1035</v>
      </c>
      <c r="D564" s="182">
        <v>0.75827100000000003</v>
      </c>
      <c r="E564" s="43">
        <v>0</v>
      </c>
      <c r="F564" s="43">
        <v>0</v>
      </c>
      <c r="G564" s="729">
        <v>0.121181</v>
      </c>
      <c r="H564" s="750">
        <v>0.72262800000000005</v>
      </c>
      <c r="I564" s="43">
        <v>0.303116</v>
      </c>
      <c r="J564" s="43">
        <v>0</v>
      </c>
      <c r="K564" s="43">
        <v>0</v>
      </c>
      <c r="L564" s="729">
        <v>0.99810200000000004</v>
      </c>
      <c r="M564" s="750">
        <v>0.28463899999999998</v>
      </c>
      <c r="N564" s="45">
        <v>0.42791200000000001</v>
      </c>
      <c r="O564" s="43">
        <v>0</v>
      </c>
      <c r="P564" s="43">
        <v>0</v>
      </c>
      <c r="Q564" s="729">
        <v>0.99988900000000003</v>
      </c>
      <c r="R564" s="750">
        <v>0.77280400000000005</v>
      </c>
      <c r="S564" s="45">
        <v>0.580982</v>
      </c>
      <c r="T564" s="43">
        <v>0</v>
      </c>
      <c r="U564" s="43">
        <v>0</v>
      </c>
      <c r="V564" s="729">
        <v>0.99866200000000005</v>
      </c>
      <c r="W564" s="616">
        <v>0.45739800000000003</v>
      </c>
    </row>
    <row r="565" spans="2:23" x14ac:dyDescent="0.3">
      <c r="B565" s="380" t="s">
        <v>1858</v>
      </c>
      <c r="C565" s="179" t="s">
        <v>1036</v>
      </c>
      <c r="D565" s="182">
        <v>1.2864249999999999</v>
      </c>
      <c r="E565" s="43">
        <v>0.79994699999999996</v>
      </c>
      <c r="F565" s="43">
        <v>0</v>
      </c>
      <c r="G565" s="729">
        <v>0.49731799999999998</v>
      </c>
      <c r="H565" s="750">
        <v>0.89671400000000001</v>
      </c>
      <c r="I565" s="43">
        <v>0.71933400000000003</v>
      </c>
      <c r="J565" s="43">
        <v>0</v>
      </c>
      <c r="K565" s="43">
        <v>0</v>
      </c>
      <c r="L565" s="729">
        <v>0.99915399999999999</v>
      </c>
      <c r="M565" s="750">
        <v>0.49656400000000001</v>
      </c>
      <c r="N565" s="45">
        <v>0.84450099999999995</v>
      </c>
      <c r="O565" s="43">
        <v>0</v>
      </c>
      <c r="P565" s="43">
        <v>0</v>
      </c>
      <c r="Q565" s="729">
        <v>0.99879899999999999</v>
      </c>
      <c r="R565" s="750">
        <v>0.97679300000000002</v>
      </c>
      <c r="S565" s="45">
        <v>1.3966369999999999</v>
      </c>
      <c r="T565" s="43">
        <v>0.32802599999999998</v>
      </c>
      <c r="U565" s="43">
        <v>0.5</v>
      </c>
      <c r="V565" s="729">
        <v>0.79976499999999995</v>
      </c>
      <c r="W565" s="616">
        <v>0.82208499999999995</v>
      </c>
    </row>
    <row r="566" spans="2:23" x14ac:dyDescent="0.3">
      <c r="B566" s="380" t="s">
        <v>1859</v>
      </c>
      <c r="C566" s="179" t="s">
        <v>1037</v>
      </c>
      <c r="D566" s="182">
        <v>1.7423869999999999</v>
      </c>
      <c r="E566" s="43">
        <v>0</v>
      </c>
      <c r="F566" s="43">
        <v>0</v>
      </c>
      <c r="G566" s="729">
        <v>0.16453300000000001</v>
      </c>
      <c r="H566" s="750">
        <v>0.53125</v>
      </c>
      <c r="I566" s="43">
        <v>0.60196000000000005</v>
      </c>
      <c r="J566" s="43">
        <v>0</v>
      </c>
      <c r="K566" s="43">
        <v>0</v>
      </c>
      <c r="L566" s="729">
        <v>0.99938000000000005</v>
      </c>
      <c r="M566" s="750">
        <v>1.5412E-2</v>
      </c>
      <c r="N566" s="45">
        <v>0.93496800000000002</v>
      </c>
      <c r="O566" s="43">
        <v>0</v>
      </c>
      <c r="P566" s="43">
        <v>0</v>
      </c>
      <c r="Q566" s="729">
        <v>0.99848499999999996</v>
      </c>
      <c r="R566" s="750">
        <v>0.231044</v>
      </c>
      <c r="S566" s="45">
        <v>1.1871970000000001</v>
      </c>
      <c r="T566" s="43">
        <v>0</v>
      </c>
      <c r="U566" s="43">
        <v>0</v>
      </c>
      <c r="V566" s="729">
        <v>0.99992400000000004</v>
      </c>
      <c r="W566" s="616">
        <v>0.144347</v>
      </c>
    </row>
    <row r="567" spans="2:23" x14ac:dyDescent="0.3">
      <c r="B567" s="380" t="s">
        <v>1860</v>
      </c>
      <c r="C567" s="179" t="s">
        <v>1038</v>
      </c>
      <c r="D567" s="182">
        <v>0.72202</v>
      </c>
      <c r="E567" s="43">
        <v>0</v>
      </c>
      <c r="F567" s="43">
        <v>0</v>
      </c>
      <c r="G567" s="729">
        <v>0.110217</v>
      </c>
      <c r="H567" s="750">
        <v>0</v>
      </c>
      <c r="I567" s="43">
        <v>0.86992100000000006</v>
      </c>
      <c r="J567" s="43">
        <v>0</v>
      </c>
      <c r="K567" s="43">
        <v>0</v>
      </c>
      <c r="L567" s="729">
        <v>0</v>
      </c>
      <c r="M567" s="750">
        <v>0</v>
      </c>
      <c r="N567" s="45">
        <v>0.53293699999999999</v>
      </c>
      <c r="O567" s="43">
        <v>0</v>
      </c>
      <c r="P567" s="43">
        <v>0</v>
      </c>
      <c r="Q567" s="729">
        <v>0.99695900000000004</v>
      </c>
      <c r="R567" s="750">
        <v>0</v>
      </c>
      <c r="S567" s="45">
        <v>0.66357600000000005</v>
      </c>
      <c r="T567" s="43">
        <v>0</v>
      </c>
      <c r="U567" s="43">
        <v>0</v>
      </c>
      <c r="V567" s="729">
        <v>0.99695900000000004</v>
      </c>
      <c r="W567" s="616">
        <v>0</v>
      </c>
    </row>
    <row r="568" spans="2:23" x14ac:dyDescent="0.3">
      <c r="B568" s="380" t="s">
        <v>1861</v>
      </c>
      <c r="C568" s="179" t="s">
        <v>1039</v>
      </c>
      <c r="D568" s="182">
        <v>0.20958499999999999</v>
      </c>
      <c r="E568" s="43">
        <v>0.63740300000000005</v>
      </c>
      <c r="F568" s="43">
        <v>9.1900000000000003E-3</v>
      </c>
      <c r="G568" s="729">
        <v>0.52997499999999997</v>
      </c>
      <c r="H568" s="750">
        <v>0.55555600000000005</v>
      </c>
      <c r="I568" s="43">
        <v>0.10612000000000001</v>
      </c>
      <c r="J568" s="43">
        <v>0.62893299999999996</v>
      </c>
      <c r="K568" s="43">
        <v>0.56000000000000005</v>
      </c>
      <c r="L568" s="729">
        <v>0</v>
      </c>
      <c r="M568" s="750">
        <v>0</v>
      </c>
      <c r="N568" s="45">
        <v>6.4568E-2</v>
      </c>
      <c r="O568" s="43">
        <v>0</v>
      </c>
      <c r="P568" s="43">
        <v>0</v>
      </c>
      <c r="Q568" s="729">
        <v>0.99998799999999999</v>
      </c>
      <c r="R568" s="750">
        <v>0.74790800000000002</v>
      </c>
      <c r="S568" s="45">
        <v>0.18932499999999999</v>
      </c>
      <c r="T568" s="43">
        <v>0.41749999999999998</v>
      </c>
      <c r="U568" s="43">
        <v>0.54</v>
      </c>
      <c r="V568" s="729">
        <v>0</v>
      </c>
      <c r="W568" s="616">
        <v>0</v>
      </c>
    </row>
    <row r="569" spans="2:23" x14ac:dyDescent="0.3">
      <c r="B569" s="380" t="s">
        <v>1862</v>
      </c>
      <c r="C569" s="179" t="s">
        <v>1040</v>
      </c>
      <c r="D569" s="182">
        <v>6.7446999999999993E-2</v>
      </c>
      <c r="E569" s="43">
        <v>0</v>
      </c>
      <c r="F569" s="43">
        <v>0</v>
      </c>
      <c r="G569" s="729">
        <v>0</v>
      </c>
      <c r="H569" s="750">
        <v>0</v>
      </c>
      <c r="I569" s="43">
        <v>6.7446999999999993E-2</v>
      </c>
      <c r="J569" s="43">
        <v>0</v>
      </c>
      <c r="K569" s="43">
        <v>0</v>
      </c>
      <c r="L569" s="729">
        <v>0</v>
      </c>
      <c r="M569" s="750">
        <v>0</v>
      </c>
      <c r="N569" s="45">
        <v>8.9566000000000007E-2</v>
      </c>
      <c r="O569" s="43">
        <v>0.50615699999999997</v>
      </c>
      <c r="P569" s="43">
        <v>0.5</v>
      </c>
      <c r="Q569" s="729">
        <v>0</v>
      </c>
      <c r="R569" s="750">
        <v>0</v>
      </c>
      <c r="S569" s="45">
        <v>8.9566000000000007E-2</v>
      </c>
      <c r="T569" s="43">
        <v>0.50615699999999997</v>
      </c>
      <c r="U569" s="43">
        <v>0.5</v>
      </c>
      <c r="V569" s="729">
        <v>0</v>
      </c>
      <c r="W569" s="616">
        <v>0</v>
      </c>
    </row>
    <row r="570" spans="2:23" x14ac:dyDescent="0.3">
      <c r="B570" s="380" t="s">
        <v>1863</v>
      </c>
      <c r="C570" s="179" t="s">
        <v>1041</v>
      </c>
      <c r="D570" s="182">
        <v>0.86044699999999996</v>
      </c>
      <c r="E570" s="43">
        <v>0</v>
      </c>
      <c r="F570" s="43">
        <v>0</v>
      </c>
      <c r="G570" s="729">
        <v>0.35379500000000003</v>
      </c>
      <c r="H570" s="750">
        <v>0</v>
      </c>
      <c r="I570" s="43">
        <v>1.1549689999999999</v>
      </c>
      <c r="J570" s="43">
        <v>0</v>
      </c>
      <c r="K570" s="43">
        <v>0</v>
      </c>
      <c r="L570" s="729">
        <v>0</v>
      </c>
      <c r="M570" s="750">
        <v>0</v>
      </c>
      <c r="N570" s="45">
        <v>0.57060299999999997</v>
      </c>
      <c r="O570" s="43">
        <v>0</v>
      </c>
      <c r="P570" s="43">
        <v>0</v>
      </c>
      <c r="Q570" s="729">
        <v>0.99377300000000002</v>
      </c>
      <c r="R570" s="750">
        <v>0</v>
      </c>
      <c r="S570" s="45">
        <v>0.69298099999999996</v>
      </c>
      <c r="T570" s="43">
        <v>0</v>
      </c>
      <c r="U570" s="43">
        <v>0</v>
      </c>
      <c r="V570" s="729">
        <v>0.99377300000000002</v>
      </c>
      <c r="W570" s="616">
        <v>0</v>
      </c>
    </row>
    <row r="571" spans="2:23" x14ac:dyDescent="0.3">
      <c r="B571" s="380" t="s">
        <v>1864</v>
      </c>
      <c r="C571" s="179" t="s">
        <v>1042</v>
      </c>
      <c r="D571" s="182">
        <v>6.6940000000000003E-3</v>
      </c>
      <c r="E571" s="43">
        <v>0</v>
      </c>
      <c r="F571" s="43">
        <v>0</v>
      </c>
      <c r="G571" s="729">
        <v>0.95153900000000002</v>
      </c>
      <c r="H571" s="750">
        <v>0</v>
      </c>
      <c r="I571" s="43">
        <v>1.1135000000000001E-2</v>
      </c>
      <c r="J571" s="43">
        <v>0</v>
      </c>
      <c r="K571" s="43">
        <v>0</v>
      </c>
      <c r="L571" s="729">
        <v>0.99968500000000005</v>
      </c>
      <c r="M571" s="750">
        <v>0</v>
      </c>
      <c r="N571" s="45">
        <v>1.8206E-2</v>
      </c>
      <c r="O571" s="43">
        <v>0</v>
      </c>
      <c r="P571" s="43">
        <v>0</v>
      </c>
      <c r="Q571" s="729">
        <v>1</v>
      </c>
      <c r="R571" s="750">
        <v>0</v>
      </c>
      <c r="S571" s="45">
        <v>2.4788000000000001E-2</v>
      </c>
      <c r="T571" s="43">
        <v>0</v>
      </c>
      <c r="U571" s="43">
        <v>0</v>
      </c>
      <c r="V571" s="729">
        <v>1</v>
      </c>
      <c r="W571" s="616">
        <v>0</v>
      </c>
    </row>
    <row r="572" spans="2:23" x14ac:dyDescent="0.3">
      <c r="B572" s="380" t="s">
        <v>1865</v>
      </c>
      <c r="C572" s="179" t="s">
        <v>1043</v>
      </c>
      <c r="D572" s="182">
        <v>0.11291900000000001</v>
      </c>
      <c r="E572" s="43">
        <v>0</v>
      </c>
      <c r="F572" s="43">
        <v>0</v>
      </c>
      <c r="G572" s="729">
        <v>0.44573499999999999</v>
      </c>
      <c r="H572" s="750">
        <v>1</v>
      </c>
      <c r="I572" s="43">
        <v>0.101073</v>
      </c>
      <c r="J572" s="43">
        <v>0.64918299999999995</v>
      </c>
      <c r="K572" s="43">
        <v>0.51</v>
      </c>
      <c r="L572" s="729">
        <v>0</v>
      </c>
      <c r="M572" s="750">
        <v>0</v>
      </c>
      <c r="N572" s="45">
        <v>0.123404</v>
      </c>
      <c r="O572" s="43">
        <v>0.54921200000000003</v>
      </c>
      <c r="P572" s="43">
        <v>0.51</v>
      </c>
      <c r="Q572" s="729">
        <v>0</v>
      </c>
      <c r="R572" s="750">
        <v>0</v>
      </c>
      <c r="S572" s="45">
        <v>0.17186899999999999</v>
      </c>
      <c r="T572" s="43">
        <v>0.412603</v>
      </c>
      <c r="U572" s="43">
        <v>0.5</v>
      </c>
      <c r="V572" s="729">
        <v>0</v>
      </c>
      <c r="W572" s="616">
        <v>0</v>
      </c>
    </row>
    <row r="573" spans="2:23" x14ac:dyDescent="0.3">
      <c r="B573" s="380" t="s">
        <v>1866</v>
      </c>
      <c r="C573" s="179" t="s">
        <v>1044</v>
      </c>
      <c r="D573" s="182">
        <v>0.50556900000000005</v>
      </c>
      <c r="E573" s="43">
        <v>0</v>
      </c>
      <c r="F573" s="43">
        <v>0</v>
      </c>
      <c r="G573" s="729">
        <v>0.21739700000000001</v>
      </c>
      <c r="H573" s="750">
        <v>8.2474000000000006E-2</v>
      </c>
      <c r="I573" s="43">
        <v>0.63199399999999994</v>
      </c>
      <c r="J573" s="43">
        <v>0</v>
      </c>
      <c r="K573" s="43">
        <v>0</v>
      </c>
      <c r="L573" s="729">
        <v>0</v>
      </c>
      <c r="M573" s="750">
        <v>0</v>
      </c>
      <c r="N573" s="45">
        <v>0.28069699999999997</v>
      </c>
      <c r="O573" s="43">
        <v>0</v>
      </c>
      <c r="P573" s="43">
        <v>0</v>
      </c>
      <c r="Q573" s="729">
        <v>0.99673699999999998</v>
      </c>
      <c r="R573" s="750">
        <v>6.4215999999999995E-2</v>
      </c>
      <c r="S573" s="45">
        <v>0.33548499999999998</v>
      </c>
      <c r="T573" s="43">
        <v>0</v>
      </c>
      <c r="U573" s="43">
        <v>0</v>
      </c>
      <c r="V573" s="729">
        <v>0.99679399999999996</v>
      </c>
      <c r="W573" s="616">
        <v>1.5844E-2</v>
      </c>
    </row>
    <row r="574" spans="2:23" x14ac:dyDescent="0.3">
      <c r="B574" s="380" t="s">
        <v>1867</v>
      </c>
      <c r="C574" s="179" t="s">
        <v>1045</v>
      </c>
      <c r="D574" s="182">
        <v>0.44915899999999997</v>
      </c>
      <c r="E574" s="43">
        <v>0</v>
      </c>
      <c r="F574" s="43">
        <v>0</v>
      </c>
      <c r="G574" s="729">
        <v>0.41083799999999998</v>
      </c>
      <c r="H574" s="750">
        <v>0.245283</v>
      </c>
      <c r="I574" s="43">
        <v>0.73494999999999999</v>
      </c>
      <c r="J574" s="43">
        <v>0</v>
      </c>
      <c r="K574" s="43">
        <v>0</v>
      </c>
      <c r="L574" s="729">
        <v>0</v>
      </c>
      <c r="M574" s="750">
        <v>0</v>
      </c>
      <c r="N574" s="45">
        <v>0.54945900000000003</v>
      </c>
      <c r="O574" s="43">
        <v>0</v>
      </c>
      <c r="P574" s="43">
        <v>0</v>
      </c>
      <c r="Q574" s="729">
        <v>0.98653000000000002</v>
      </c>
      <c r="R574" s="750">
        <v>0.48997400000000002</v>
      </c>
      <c r="S574" s="45">
        <v>0.66885700000000003</v>
      </c>
      <c r="T574" s="43">
        <v>0</v>
      </c>
      <c r="U574" s="43">
        <v>0</v>
      </c>
      <c r="V574" s="729">
        <v>0.985954</v>
      </c>
      <c r="W574" s="616">
        <v>7.2040000000000007E-2</v>
      </c>
    </row>
    <row r="575" spans="2:23" x14ac:dyDescent="0.3">
      <c r="B575" s="380" t="s">
        <v>1868</v>
      </c>
      <c r="C575" s="179" t="s">
        <v>1046</v>
      </c>
      <c r="D575" s="182">
        <v>0.44697300000000001</v>
      </c>
      <c r="E575" s="43">
        <v>0</v>
      </c>
      <c r="F575" s="43">
        <v>0</v>
      </c>
      <c r="G575" s="729">
        <v>0.353717</v>
      </c>
      <c r="H575" s="750">
        <v>0</v>
      </c>
      <c r="I575" s="43">
        <v>0.57821400000000001</v>
      </c>
      <c r="J575" s="43">
        <v>0</v>
      </c>
      <c r="K575" s="43">
        <v>0</v>
      </c>
      <c r="L575" s="729">
        <v>0</v>
      </c>
      <c r="M575" s="750">
        <v>0</v>
      </c>
      <c r="N575" s="45">
        <v>0.54309399999999997</v>
      </c>
      <c r="O575" s="43">
        <v>0</v>
      </c>
      <c r="P575" s="43">
        <v>0</v>
      </c>
      <c r="Q575" s="729">
        <v>0.98508600000000002</v>
      </c>
      <c r="R575" s="750">
        <v>0</v>
      </c>
      <c r="S575" s="45">
        <v>0.64425299999999996</v>
      </c>
      <c r="T575" s="43">
        <v>0</v>
      </c>
      <c r="U575" s="43">
        <v>0</v>
      </c>
      <c r="V575" s="729">
        <v>0.98508600000000002</v>
      </c>
      <c r="W575" s="616">
        <v>0</v>
      </c>
    </row>
    <row r="576" spans="2:23" x14ac:dyDescent="0.3">
      <c r="B576" s="380" t="s">
        <v>1869</v>
      </c>
      <c r="C576" s="179" t="s">
        <v>1047</v>
      </c>
      <c r="D576" s="182">
        <v>2.5049999999999998E-3</v>
      </c>
      <c r="E576" s="43">
        <v>0</v>
      </c>
      <c r="F576" s="43">
        <v>0</v>
      </c>
      <c r="G576" s="729">
        <v>0</v>
      </c>
      <c r="H576" s="750">
        <v>0</v>
      </c>
      <c r="I576" s="43">
        <v>2.5049999999999998E-3</v>
      </c>
      <c r="J576" s="43">
        <v>0</v>
      </c>
      <c r="K576" s="43">
        <v>0</v>
      </c>
      <c r="L576" s="729">
        <v>0</v>
      </c>
      <c r="M576" s="750">
        <v>0</v>
      </c>
      <c r="N576" s="45">
        <v>2.4545999999999998E-2</v>
      </c>
      <c r="O576" s="43">
        <v>0</v>
      </c>
      <c r="P576" s="43">
        <v>0</v>
      </c>
      <c r="Q576" s="729">
        <v>0</v>
      </c>
      <c r="R576" s="750">
        <v>0</v>
      </c>
      <c r="S576" s="45">
        <v>2.4545999999999998E-2</v>
      </c>
      <c r="T576" s="43">
        <v>0</v>
      </c>
      <c r="U576" s="43">
        <v>0</v>
      </c>
      <c r="V576" s="729">
        <v>0</v>
      </c>
      <c r="W576" s="616">
        <v>0</v>
      </c>
    </row>
    <row r="577" spans="2:23" x14ac:dyDescent="0.3">
      <c r="B577" s="380" t="s">
        <v>1870</v>
      </c>
      <c r="C577" s="179" t="s">
        <v>1048</v>
      </c>
      <c r="D577" s="182">
        <v>0.57509100000000002</v>
      </c>
      <c r="E577" s="43">
        <v>0</v>
      </c>
      <c r="F577" s="43">
        <v>0</v>
      </c>
      <c r="G577" s="729">
        <v>0.337785</v>
      </c>
      <c r="H577" s="750">
        <v>0</v>
      </c>
      <c r="I577" s="43">
        <v>0.73542799999999997</v>
      </c>
      <c r="J577" s="43">
        <v>0</v>
      </c>
      <c r="K577" s="43">
        <v>0</v>
      </c>
      <c r="L577" s="729">
        <v>0</v>
      </c>
      <c r="M577" s="750">
        <v>0</v>
      </c>
      <c r="N577" s="45">
        <v>0.73515799999999998</v>
      </c>
      <c r="O577" s="43">
        <v>0</v>
      </c>
      <c r="P577" s="43">
        <v>0</v>
      </c>
      <c r="Q577" s="729">
        <v>0.97322399999999998</v>
      </c>
      <c r="R577" s="750">
        <v>0</v>
      </c>
      <c r="S577" s="45">
        <v>0.868363</v>
      </c>
      <c r="T577" s="43">
        <v>0</v>
      </c>
      <c r="U577" s="43">
        <v>0</v>
      </c>
      <c r="V577" s="729">
        <v>0.97322399999999998</v>
      </c>
      <c r="W577" s="616">
        <v>0</v>
      </c>
    </row>
    <row r="578" spans="2:23" x14ac:dyDescent="0.3">
      <c r="B578" s="380" t="s">
        <v>1871</v>
      </c>
      <c r="C578" s="179" t="s">
        <v>1049</v>
      </c>
      <c r="D578" s="182">
        <v>1.125014</v>
      </c>
      <c r="E578" s="43">
        <v>0.33788800000000002</v>
      </c>
      <c r="F578" s="43">
        <v>0</v>
      </c>
      <c r="G578" s="729">
        <v>0.66099600000000003</v>
      </c>
      <c r="H578" s="750">
        <v>0.243697</v>
      </c>
      <c r="I578" s="43">
        <v>0.51602099999999995</v>
      </c>
      <c r="J578" s="43">
        <v>0</v>
      </c>
      <c r="K578" s="43">
        <v>0</v>
      </c>
      <c r="L578" s="729">
        <v>0.99590199999999995</v>
      </c>
      <c r="M578" s="750">
        <v>2.3118E-2</v>
      </c>
      <c r="N578" s="45">
        <v>0.724638</v>
      </c>
      <c r="O578" s="43">
        <v>0</v>
      </c>
      <c r="P578" s="43">
        <v>0</v>
      </c>
      <c r="Q578" s="729">
        <v>0.99411300000000002</v>
      </c>
      <c r="R578" s="750">
        <v>0.44029699999999999</v>
      </c>
      <c r="S578" s="45">
        <v>0.90960099999999999</v>
      </c>
      <c r="T578" s="43">
        <v>0</v>
      </c>
      <c r="U578" s="43">
        <v>0</v>
      </c>
      <c r="V578" s="729">
        <v>0.99408099999999999</v>
      </c>
      <c r="W578" s="616">
        <v>0.19148100000000001</v>
      </c>
    </row>
    <row r="579" spans="2:23" x14ac:dyDescent="0.3">
      <c r="B579" s="380" t="s">
        <v>1872</v>
      </c>
      <c r="C579" s="179" t="s">
        <v>1050</v>
      </c>
      <c r="D579" s="182">
        <v>0.552535</v>
      </c>
      <c r="E579" s="43">
        <v>0</v>
      </c>
      <c r="F579" s="43">
        <v>0</v>
      </c>
      <c r="G579" s="729">
        <v>0.68771000000000004</v>
      </c>
      <c r="H579" s="750">
        <v>0</v>
      </c>
      <c r="I579" s="43">
        <v>0.87895599999999996</v>
      </c>
      <c r="J579" s="43">
        <v>0</v>
      </c>
      <c r="K579" s="43">
        <v>0</v>
      </c>
      <c r="L579" s="729">
        <v>0</v>
      </c>
      <c r="M579" s="750">
        <v>0</v>
      </c>
      <c r="N579" s="45">
        <v>0.46982099999999999</v>
      </c>
      <c r="O579" s="43">
        <v>0</v>
      </c>
      <c r="P579" s="43">
        <v>0</v>
      </c>
      <c r="Q579" s="729">
        <v>0.994417</v>
      </c>
      <c r="R579" s="750">
        <v>1.176E-3</v>
      </c>
      <c r="S579" s="45">
        <v>0.55298199999999997</v>
      </c>
      <c r="T579" s="43">
        <v>0</v>
      </c>
      <c r="U579" s="43">
        <v>0</v>
      </c>
      <c r="V579" s="729">
        <v>0.99441900000000005</v>
      </c>
      <c r="W579" s="616">
        <v>2.5799999999999998E-4</v>
      </c>
    </row>
    <row r="580" spans="2:23" x14ac:dyDescent="0.3">
      <c r="B580" s="380" t="s">
        <v>1873</v>
      </c>
      <c r="C580" s="179" t="s">
        <v>1051</v>
      </c>
      <c r="D580" s="182">
        <v>0.33476400000000001</v>
      </c>
      <c r="E580" s="43">
        <v>0</v>
      </c>
      <c r="F580" s="43">
        <v>0</v>
      </c>
      <c r="G580" s="729">
        <v>0.59947499999999998</v>
      </c>
      <c r="H580" s="750">
        <v>0</v>
      </c>
      <c r="I580" s="43">
        <v>0.459005</v>
      </c>
      <c r="J580" s="43">
        <v>0</v>
      </c>
      <c r="K580" s="43">
        <v>0</v>
      </c>
      <c r="L580" s="729">
        <v>0</v>
      </c>
      <c r="M580" s="750">
        <v>0</v>
      </c>
      <c r="N580" s="45">
        <v>0.39638000000000001</v>
      </c>
      <c r="O580" s="43">
        <v>0.44562499999999999</v>
      </c>
      <c r="P580" s="43">
        <v>0.54</v>
      </c>
      <c r="Q580" s="729">
        <v>0</v>
      </c>
      <c r="R580" s="750">
        <v>0</v>
      </c>
      <c r="S580" s="45">
        <v>0.39638000000000001</v>
      </c>
      <c r="T580" s="43">
        <v>0.44562499999999999</v>
      </c>
      <c r="U580" s="43">
        <v>0.54</v>
      </c>
      <c r="V580" s="729">
        <v>0</v>
      </c>
      <c r="W580" s="616">
        <v>0</v>
      </c>
    </row>
    <row r="581" spans="2:23" x14ac:dyDescent="0.3">
      <c r="B581" s="380" t="s">
        <v>1874</v>
      </c>
      <c r="C581" s="179" t="s">
        <v>1052</v>
      </c>
      <c r="D581" s="182">
        <v>0.591669</v>
      </c>
      <c r="E581" s="43">
        <v>0</v>
      </c>
      <c r="F581" s="43">
        <v>0</v>
      </c>
      <c r="G581" s="729">
        <v>0.53309700000000004</v>
      </c>
      <c r="H581" s="750">
        <v>0</v>
      </c>
      <c r="I581" s="43">
        <v>0.85957799999999995</v>
      </c>
      <c r="J581" s="43">
        <v>0</v>
      </c>
      <c r="K581" s="43">
        <v>0</v>
      </c>
      <c r="L581" s="729">
        <v>0</v>
      </c>
      <c r="M581" s="750">
        <v>0</v>
      </c>
      <c r="N581" s="45">
        <v>0.43642700000000001</v>
      </c>
      <c r="O581" s="43">
        <v>0</v>
      </c>
      <c r="P581" s="43">
        <v>0</v>
      </c>
      <c r="Q581" s="729">
        <v>0.99751900000000004</v>
      </c>
      <c r="R581" s="750">
        <v>1.2290000000000001E-3</v>
      </c>
      <c r="S581" s="45">
        <v>0.53288599999999997</v>
      </c>
      <c r="T581" s="43">
        <v>0</v>
      </c>
      <c r="U581" s="43">
        <v>0</v>
      </c>
      <c r="V581" s="729">
        <v>0.99751999999999996</v>
      </c>
      <c r="W581" s="616">
        <v>3.2299999999999999E-4</v>
      </c>
    </row>
    <row r="582" spans="2:23" x14ac:dyDescent="0.3">
      <c r="B582" s="380" t="s">
        <v>1875</v>
      </c>
      <c r="C582" s="179" t="s">
        <v>1053</v>
      </c>
      <c r="D582" s="182">
        <v>0.61328000000000005</v>
      </c>
      <c r="E582" s="43">
        <v>0</v>
      </c>
      <c r="F582" s="43">
        <v>0</v>
      </c>
      <c r="G582" s="729">
        <v>0.21406700000000001</v>
      </c>
      <c r="H582" s="750">
        <v>0</v>
      </c>
      <c r="I582" s="43">
        <v>0.69323199999999996</v>
      </c>
      <c r="J582" s="43">
        <v>0</v>
      </c>
      <c r="K582" s="43">
        <v>0</v>
      </c>
      <c r="L582" s="729">
        <v>0</v>
      </c>
      <c r="M582" s="750">
        <v>0</v>
      </c>
      <c r="N582" s="45">
        <v>0.44594</v>
      </c>
      <c r="O582" s="43">
        <v>0</v>
      </c>
      <c r="P582" s="43">
        <v>0</v>
      </c>
      <c r="Q582" s="729">
        <v>0.99008700000000005</v>
      </c>
      <c r="R582" s="750">
        <v>0</v>
      </c>
      <c r="S582" s="45">
        <v>0.49352099999999999</v>
      </c>
      <c r="T582" s="43">
        <v>0</v>
      </c>
      <c r="U582" s="43">
        <v>0</v>
      </c>
      <c r="V582" s="729">
        <v>0.99008700000000005</v>
      </c>
      <c r="W582" s="616">
        <v>0</v>
      </c>
    </row>
    <row r="583" spans="2:23" x14ac:dyDescent="0.3">
      <c r="B583" s="380" t="s">
        <v>1876</v>
      </c>
      <c r="C583" s="179" t="s">
        <v>1054</v>
      </c>
      <c r="D583" s="182">
        <v>1.0254540000000001</v>
      </c>
      <c r="E583" s="43">
        <v>0</v>
      </c>
      <c r="F583" s="43">
        <v>0</v>
      </c>
      <c r="G583" s="729">
        <v>0.76095400000000002</v>
      </c>
      <c r="H583" s="750">
        <v>0.190661</v>
      </c>
      <c r="I583" s="43">
        <v>2.2815159999999999</v>
      </c>
      <c r="J583" s="43">
        <v>0</v>
      </c>
      <c r="K583" s="43">
        <v>0</v>
      </c>
      <c r="L583" s="729">
        <v>0</v>
      </c>
      <c r="M583" s="750">
        <v>0</v>
      </c>
      <c r="N583" s="45">
        <v>1.065561</v>
      </c>
      <c r="O583" s="43">
        <v>0</v>
      </c>
      <c r="P583" s="43">
        <v>0</v>
      </c>
      <c r="Q583" s="729">
        <v>0.98690999999999995</v>
      </c>
      <c r="R583" s="750">
        <v>0.33966200000000002</v>
      </c>
      <c r="S583" s="45">
        <v>1.326306</v>
      </c>
      <c r="T583" s="43">
        <v>0</v>
      </c>
      <c r="U583" s="43">
        <v>0</v>
      </c>
      <c r="V583" s="729">
        <v>0.98715799999999998</v>
      </c>
      <c r="W583" s="616">
        <v>6.5573000000000006E-2</v>
      </c>
    </row>
    <row r="584" spans="2:23" x14ac:dyDescent="0.3">
      <c r="B584" s="380" t="s">
        <v>1877</v>
      </c>
      <c r="C584" s="179" t="s">
        <v>1055</v>
      </c>
      <c r="D584" s="182">
        <v>0.53576500000000005</v>
      </c>
      <c r="E584" s="43">
        <v>0</v>
      </c>
      <c r="F584" s="43">
        <v>0</v>
      </c>
      <c r="G584" s="729">
        <v>0.67283800000000005</v>
      </c>
      <c r="H584" s="750">
        <v>0</v>
      </c>
      <c r="I584" s="43">
        <v>0.850746</v>
      </c>
      <c r="J584" s="43">
        <v>0</v>
      </c>
      <c r="K584" s="43">
        <v>0</v>
      </c>
      <c r="L584" s="729">
        <v>0</v>
      </c>
      <c r="M584" s="750">
        <v>0</v>
      </c>
      <c r="N584" s="45">
        <v>0.515177</v>
      </c>
      <c r="O584" s="43">
        <v>0</v>
      </c>
      <c r="P584" s="43">
        <v>0</v>
      </c>
      <c r="Q584" s="729">
        <v>0.99535300000000004</v>
      </c>
      <c r="R584" s="750">
        <v>4.653E-3</v>
      </c>
      <c r="S584" s="45">
        <v>0.59774300000000002</v>
      </c>
      <c r="T584" s="43">
        <v>0</v>
      </c>
      <c r="U584" s="43">
        <v>0</v>
      </c>
      <c r="V584" s="729">
        <v>0.99535799999999997</v>
      </c>
      <c r="W584" s="616">
        <v>1.0430000000000001E-3</v>
      </c>
    </row>
    <row r="585" spans="2:23" x14ac:dyDescent="0.3">
      <c r="B585" s="380" t="s">
        <v>1878</v>
      </c>
      <c r="C585" s="179" t="s">
        <v>1056</v>
      </c>
      <c r="D585" s="182">
        <v>0.52908699999999997</v>
      </c>
      <c r="E585" s="43">
        <v>0</v>
      </c>
      <c r="F585" s="43">
        <v>0</v>
      </c>
      <c r="G585" s="729">
        <v>0.44883800000000001</v>
      </c>
      <c r="H585" s="750">
        <v>0</v>
      </c>
      <c r="I585" s="43">
        <v>0.73060400000000003</v>
      </c>
      <c r="J585" s="43">
        <v>0</v>
      </c>
      <c r="K585" s="43">
        <v>0</v>
      </c>
      <c r="L585" s="729">
        <v>0</v>
      </c>
      <c r="M585" s="750">
        <v>0</v>
      </c>
      <c r="N585" s="45">
        <v>0.55091900000000005</v>
      </c>
      <c r="O585" s="43">
        <v>0</v>
      </c>
      <c r="P585" s="43">
        <v>0</v>
      </c>
      <c r="Q585" s="729">
        <v>0.98322399999999999</v>
      </c>
      <c r="R585" s="750">
        <v>0</v>
      </c>
      <c r="S585" s="45">
        <v>0.64771800000000002</v>
      </c>
      <c r="T585" s="43">
        <v>0</v>
      </c>
      <c r="U585" s="43">
        <v>0</v>
      </c>
      <c r="V585" s="729">
        <v>0.98322399999999999</v>
      </c>
      <c r="W585" s="616">
        <v>0</v>
      </c>
    </row>
    <row r="586" spans="2:23" x14ac:dyDescent="0.3">
      <c r="B586" s="380" t="s">
        <v>1879</v>
      </c>
      <c r="C586" s="179" t="s">
        <v>1057</v>
      </c>
      <c r="D586" s="182">
        <v>0.34021099999999999</v>
      </c>
      <c r="E586" s="43">
        <v>0</v>
      </c>
      <c r="F586" s="43">
        <v>0</v>
      </c>
      <c r="G586" s="729">
        <v>0.196266</v>
      </c>
      <c r="H586" s="750">
        <v>0</v>
      </c>
      <c r="I586" s="43">
        <v>0.36648399999999998</v>
      </c>
      <c r="J586" s="43">
        <v>0</v>
      </c>
      <c r="K586" s="43">
        <v>0</v>
      </c>
      <c r="L586" s="729">
        <v>0</v>
      </c>
      <c r="M586" s="750">
        <v>0</v>
      </c>
      <c r="N586" s="45">
        <v>0.377276</v>
      </c>
      <c r="O586" s="43">
        <v>0.51325900000000002</v>
      </c>
      <c r="P586" s="43">
        <v>0.54</v>
      </c>
      <c r="Q586" s="729">
        <v>0</v>
      </c>
      <c r="R586" s="750">
        <v>0</v>
      </c>
      <c r="S586" s="45">
        <v>0.377276</v>
      </c>
      <c r="T586" s="43">
        <v>0.51325900000000002</v>
      </c>
      <c r="U586" s="43">
        <v>0.54</v>
      </c>
      <c r="V586" s="729">
        <v>0</v>
      </c>
      <c r="W586" s="616">
        <v>0</v>
      </c>
    </row>
    <row r="587" spans="2:23" x14ac:dyDescent="0.3">
      <c r="B587" s="380" t="s">
        <v>1880</v>
      </c>
      <c r="C587" s="179" t="s">
        <v>1058</v>
      </c>
      <c r="D587" s="182">
        <v>0.44997999999999999</v>
      </c>
      <c r="E587" s="43">
        <v>0</v>
      </c>
      <c r="F587" s="43">
        <v>0</v>
      </c>
      <c r="G587" s="729">
        <v>0.41019</v>
      </c>
      <c r="H587" s="750">
        <v>0</v>
      </c>
      <c r="I587" s="43">
        <v>0.58830199999999999</v>
      </c>
      <c r="J587" s="43">
        <v>0</v>
      </c>
      <c r="K587" s="43">
        <v>0</v>
      </c>
      <c r="L587" s="729">
        <v>0</v>
      </c>
      <c r="M587" s="750">
        <v>0</v>
      </c>
      <c r="N587" s="45">
        <v>0.49158499999999999</v>
      </c>
      <c r="O587" s="43">
        <v>0</v>
      </c>
      <c r="P587" s="43">
        <v>0</v>
      </c>
      <c r="Q587" s="729">
        <v>0.98726100000000006</v>
      </c>
      <c r="R587" s="750">
        <v>0</v>
      </c>
      <c r="S587" s="45">
        <v>0.58144300000000004</v>
      </c>
      <c r="T587" s="43">
        <v>0</v>
      </c>
      <c r="U587" s="43">
        <v>0</v>
      </c>
      <c r="V587" s="729">
        <v>0.98726100000000006</v>
      </c>
      <c r="W587" s="616">
        <v>0</v>
      </c>
    </row>
    <row r="588" spans="2:23" x14ac:dyDescent="0.3">
      <c r="B588" s="380" t="s">
        <v>1881</v>
      </c>
      <c r="C588" s="179" t="s">
        <v>1059</v>
      </c>
      <c r="D588" s="182">
        <v>1.1475519999999999</v>
      </c>
      <c r="E588" s="43">
        <v>0.217446</v>
      </c>
      <c r="F588" s="43">
        <v>0</v>
      </c>
      <c r="G588" s="729">
        <v>0.18929099999999999</v>
      </c>
      <c r="H588" s="750">
        <v>0.95320199999999999</v>
      </c>
      <c r="I588" s="43">
        <v>0.40911199999999998</v>
      </c>
      <c r="J588" s="43">
        <v>0</v>
      </c>
      <c r="K588" s="43">
        <v>0</v>
      </c>
      <c r="L588" s="729">
        <v>0.99827699999999997</v>
      </c>
      <c r="M588" s="750">
        <v>0.265627</v>
      </c>
      <c r="N588" s="45">
        <v>0.39885300000000001</v>
      </c>
      <c r="O588" s="43">
        <v>0</v>
      </c>
      <c r="P588" s="43">
        <v>0</v>
      </c>
      <c r="Q588" s="729">
        <v>0.99658199999999997</v>
      </c>
      <c r="R588" s="750">
        <v>0.96050000000000002</v>
      </c>
      <c r="S588" s="45">
        <v>0.59834600000000004</v>
      </c>
      <c r="T588" s="43">
        <v>0</v>
      </c>
      <c r="U588" s="43">
        <v>0</v>
      </c>
      <c r="V588" s="729">
        <v>0.99395599999999995</v>
      </c>
      <c r="W588" s="616">
        <v>0.74366399999999999</v>
      </c>
    </row>
    <row r="589" spans="2:23" x14ac:dyDescent="0.3">
      <c r="B589" s="380" t="s">
        <v>1882</v>
      </c>
      <c r="C589" s="179" t="s">
        <v>1060</v>
      </c>
      <c r="D589" s="182">
        <v>0.62107500000000004</v>
      </c>
      <c r="E589" s="43">
        <v>0</v>
      </c>
      <c r="F589" s="43">
        <v>0</v>
      </c>
      <c r="G589" s="729">
        <v>0.54679699999999998</v>
      </c>
      <c r="H589" s="750">
        <v>0</v>
      </c>
      <c r="I589" s="43">
        <v>0.92947000000000002</v>
      </c>
      <c r="J589" s="43">
        <v>0</v>
      </c>
      <c r="K589" s="43">
        <v>0</v>
      </c>
      <c r="L589" s="729">
        <v>0</v>
      </c>
      <c r="M589" s="750">
        <v>0</v>
      </c>
      <c r="N589" s="45">
        <v>0.45786500000000002</v>
      </c>
      <c r="O589" s="43">
        <v>0</v>
      </c>
      <c r="P589" s="43">
        <v>0</v>
      </c>
      <c r="Q589" s="729">
        <v>0.98161600000000004</v>
      </c>
      <c r="R589" s="750">
        <v>0</v>
      </c>
      <c r="S589" s="45">
        <v>0.52193900000000004</v>
      </c>
      <c r="T589" s="43">
        <v>0</v>
      </c>
      <c r="U589" s="43">
        <v>0</v>
      </c>
      <c r="V589" s="729">
        <v>0.98161600000000004</v>
      </c>
      <c r="W589" s="616">
        <v>0</v>
      </c>
    </row>
    <row r="590" spans="2:23" x14ac:dyDescent="0.3">
      <c r="B590" s="380" t="s">
        <v>1883</v>
      </c>
      <c r="C590" s="179" t="s">
        <v>1061</v>
      </c>
      <c r="D590" s="182">
        <v>0.71799299999999999</v>
      </c>
      <c r="E590" s="43">
        <v>0.90154500000000004</v>
      </c>
      <c r="F590" s="43">
        <v>0</v>
      </c>
      <c r="G590" s="729">
        <v>0.29471900000000001</v>
      </c>
      <c r="H590" s="750">
        <v>0.72839500000000001</v>
      </c>
      <c r="I590" s="43">
        <v>0.26741900000000002</v>
      </c>
      <c r="J590" s="43">
        <v>0</v>
      </c>
      <c r="K590" s="43">
        <v>0</v>
      </c>
      <c r="L590" s="729">
        <v>0.99602199999999996</v>
      </c>
      <c r="M590" s="750">
        <v>0.239957</v>
      </c>
      <c r="N590" s="45">
        <v>0.28281899999999999</v>
      </c>
      <c r="O590" s="43">
        <v>0</v>
      </c>
      <c r="P590" s="43">
        <v>0</v>
      </c>
      <c r="Q590" s="729">
        <v>0.98790699999999998</v>
      </c>
      <c r="R590" s="750">
        <v>0.937724</v>
      </c>
      <c r="S590" s="45">
        <v>0.38896500000000001</v>
      </c>
      <c r="T590" s="43">
        <v>0</v>
      </c>
      <c r="U590" s="43">
        <v>0</v>
      </c>
      <c r="V590" s="729">
        <v>0.99241299999999999</v>
      </c>
      <c r="W590" s="616">
        <v>0.66221600000000003</v>
      </c>
    </row>
    <row r="591" spans="2:23" x14ac:dyDescent="0.3">
      <c r="B591" s="380" t="s">
        <v>1884</v>
      </c>
      <c r="C591" s="179" t="s">
        <v>1062</v>
      </c>
      <c r="D591" s="182">
        <v>1.188E-3</v>
      </c>
      <c r="E591" s="43">
        <v>0</v>
      </c>
      <c r="F591" s="43">
        <v>0</v>
      </c>
      <c r="G591" s="729">
        <v>0</v>
      </c>
      <c r="H591" s="750">
        <v>0</v>
      </c>
      <c r="I591" s="43">
        <v>1.188E-3</v>
      </c>
      <c r="J591" s="43">
        <v>0</v>
      </c>
      <c r="K591" s="43">
        <v>0</v>
      </c>
      <c r="L591" s="729">
        <v>0</v>
      </c>
      <c r="M591" s="750">
        <v>0</v>
      </c>
      <c r="N591" s="45">
        <v>1.1712999999999999E-2</v>
      </c>
      <c r="O591" s="43">
        <v>0</v>
      </c>
      <c r="P591" s="43">
        <v>0</v>
      </c>
      <c r="Q591" s="729">
        <v>0</v>
      </c>
      <c r="R591" s="750">
        <v>0</v>
      </c>
      <c r="S591" s="45">
        <v>1.1712999999999999E-2</v>
      </c>
      <c r="T591" s="43">
        <v>0</v>
      </c>
      <c r="U591" s="43">
        <v>0</v>
      </c>
      <c r="V591" s="729">
        <v>0</v>
      </c>
      <c r="W591" s="616">
        <v>0</v>
      </c>
    </row>
    <row r="592" spans="2:23" x14ac:dyDescent="0.3">
      <c r="B592" s="380" t="s">
        <v>1885</v>
      </c>
      <c r="C592" s="179" t="s">
        <v>1063</v>
      </c>
      <c r="D592" s="182">
        <v>0.411242</v>
      </c>
      <c r="E592" s="43">
        <v>0.77281900000000003</v>
      </c>
      <c r="F592" s="43">
        <v>0</v>
      </c>
      <c r="G592" s="729">
        <v>0.31948900000000002</v>
      </c>
      <c r="H592" s="750">
        <v>0.87223799999999996</v>
      </c>
      <c r="I592" s="43">
        <v>0.232067</v>
      </c>
      <c r="J592" s="43">
        <v>0.44027500000000003</v>
      </c>
      <c r="K592" s="43">
        <v>0.52</v>
      </c>
      <c r="L592" s="729">
        <v>0</v>
      </c>
      <c r="M592" s="750">
        <v>0</v>
      </c>
      <c r="N592" s="45">
        <v>0.129523</v>
      </c>
      <c r="O592" s="43">
        <v>0.84192599999999995</v>
      </c>
      <c r="P592" s="43">
        <v>0.55000000000000004</v>
      </c>
      <c r="Q592" s="729">
        <v>0</v>
      </c>
      <c r="R592" s="750">
        <v>0</v>
      </c>
      <c r="S592" s="45">
        <v>0.28806900000000002</v>
      </c>
      <c r="T592" s="43">
        <v>0.38402599999999998</v>
      </c>
      <c r="U592" s="43">
        <v>0.51</v>
      </c>
      <c r="V592" s="729">
        <v>0</v>
      </c>
      <c r="W592" s="616">
        <v>0</v>
      </c>
    </row>
    <row r="593" spans="2:23" x14ac:dyDescent="0.3">
      <c r="B593" s="380" t="s">
        <v>1886</v>
      </c>
      <c r="C593" s="179" t="s">
        <v>1064</v>
      </c>
      <c r="D593" s="182">
        <v>1.017344</v>
      </c>
      <c r="E593" s="43">
        <v>0.94703800000000005</v>
      </c>
      <c r="F593" s="43">
        <v>0</v>
      </c>
      <c r="G593" s="729">
        <v>0.19959399999999999</v>
      </c>
      <c r="H593" s="750">
        <v>0.94931500000000002</v>
      </c>
      <c r="I593" s="43">
        <v>0.28807199999999999</v>
      </c>
      <c r="J593" s="43">
        <v>0</v>
      </c>
      <c r="K593" s="43">
        <v>0</v>
      </c>
      <c r="L593" s="729">
        <v>0.99814800000000004</v>
      </c>
      <c r="M593" s="750">
        <v>0.645926</v>
      </c>
      <c r="N593" s="45">
        <v>0.25467200000000001</v>
      </c>
      <c r="O593" s="43">
        <v>0</v>
      </c>
      <c r="P593" s="43">
        <v>0</v>
      </c>
      <c r="Q593" s="729">
        <v>0.99960199999999999</v>
      </c>
      <c r="R593" s="750">
        <v>0.98031299999999999</v>
      </c>
      <c r="S593" s="45">
        <v>0.403424</v>
      </c>
      <c r="T593" s="43">
        <v>0</v>
      </c>
      <c r="U593" s="43">
        <v>0</v>
      </c>
      <c r="V593" s="729">
        <v>0.99435899999999999</v>
      </c>
      <c r="W593" s="616">
        <v>0.77521200000000001</v>
      </c>
    </row>
    <row r="594" spans="2:23" x14ac:dyDescent="0.3">
      <c r="B594" s="380" t="s">
        <v>1887</v>
      </c>
      <c r="C594" s="179" t="s">
        <v>1065</v>
      </c>
      <c r="D594" s="182">
        <v>0.34781000000000001</v>
      </c>
      <c r="E594" s="43">
        <v>0</v>
      </c>
      <c r="F594" s="43">
        <v>0</v>
      </c>
      <c r="G594" s="729">
        <v>0.17824300000000001</v>
      </c>
      <c r="H594" s="750">
        <v>0</v>
      </c>
      <c r="I594" s="43">
        <v>0.39128299999999999</v>
      </c>
      <c r="J594" s="43">
        <v>0</v>
      </c>
      <c r="K594" s="43">
        <v>0</v>
      </c>
      <c r="L594" s="729">
        <v>0</v>
      </c>
      <c r="M594" s="750">
        <v>0</v>
      </c>
      <c r="N594" s="45">
        <v>0.201261</v>
      </c>
      <c r="O594" s="43">
        <v>0</v>
      </c>
      <c r="P594" s="43">
        <v>0</v>
      </c>
      <c r="Q594" s="729">
        <v>0.99521099999999996</v>
      </c>
      <c r="R594" s="750">
        <v>0</v>
      </c>
      <c r="S594" s="45">
        <v>0.229908</v>
      </c>
      <c r="T594" s="43">
        <v>0</v>
      </c>
      <c r="U594" s="43">
        <v>0</v>
      </c>
      <c r="V594" s="729">
        <v>0.99521099999999996</v>
      </c>
      <c r="W594" s="616">
        <v>0</v>
      </c>
    </row>
    <row r="595" spans="2:23" x14ac:dyDescent="0.3">
      <c r="B595" s="380" t="s">
        <v>1888</v>
      </c>
      <c r="C595" s="179" t="s">
        <v>1066</v>
      </c>
      <c r="D595" s="182">
        <v>0.45537100000000003</v>
      </c>
      <c r="E595" s="43">
        <v>0</v>
      </c>
      <c r="F595" s="43">
        <v>0</v>
      </c>
      <c r="G595" s="729">
        <v>0.34797899999999998</v>
      </c>
      <c r="H595" s="750">
        <v>0</v>
      </c>
      <c r="I595" s="43">
        <v>0.52299099999999998</v>
      </c>
      <c r="J595" s="43">
        <v>0</v>
      </c>
      <c r="K595" s="43">
        <v>0</v>
      </c>
      <c r="L595" s="729">
        <v>0</v>
      </c>
      <c r="M595" s="750">
        <v>0</v>
      </c>
      <c r="N595" s="45">
        <v>0.35192800000000002</v>
      </c>
      <c r="O595" s="43">
        <v>0</v>
      </c>
      <c r="P595" s="43">
        <v>0</v>
      </c>
      <c r="Q595" s="729">
        <v>0.98329699999999998</v>
      </c>
      <c r="R595" s="750">
        <v>0</v>
      </c>
      <c r="S595" s="45">
        <v>0.39744499999999999</v>
      </c>
      <c r="T595" s="43">
        <v>0</v>
      </c>
      <c r="U595" s="43">
        <v>0</v>
      </c>
      <c r="V595" s="729">
        <v>0.98329699999999998</v>
      </c>
      <c r="W595" s="616">
        <v>0</v>
      </c>
    </row>
    <row r="596" spans="2:23" x14ac:dyDescent="0.3">
      <c r="B596" s="380" t="s">
        <v>1889</v>
      </c>
      <c r="C596" s="179" t="s">
        <v>1067</v>
      </c>
      <c r="D596" s="182">
        <v>0.46914899999999998</v>
      </c>
      <c r="E596" s="43">
        <v>0.38340000000000002</v>
      </c>
      <c r="F596" s="43">
        <v>0</v>
      </c>
      <c r="G596" s="729">
        <v>0.12619900000000001</v>
      </c>
      <c r="H596" s="750">
        <v>0</v>
      </c>
      <c r="I596" s="43">
        <v>0.62071200000000004</v>
      </c>
      <c r="J596" s="43">
        <v>0</v>
      </c>
      <c r="K596" s="43">
        <v>0</v>
      </c>
      <c r="L596" s="729">
        <v>0</v>
      </c>
      <c r="M596" s="750">
        <v>0</v>
      </c>
      <c r="N596" s="45">
        <v>0.40289799999999998</v>
      </c>
      <c r="O596" s="43">
        <v>0</v>
      </c>
      <c r="P596" s="43">
        <v>0</v>
      </c>
      <c r="Q596" s="729">
        <v>0.98934299999999997</v>
      </c>
      <c r="R596" s="750">
        <v>0.29054200000000002</v>
      </c>
      <c r="S596" s="45">
        <v>0.46317199999999997</v>
      </c>
      <c r="T596" s="43">
        <v>0</v>
      </c>
      <c r="U596" s="43">
        <v>0</v>
      </c>
      <c r="V596" s="729">
        <v>0.98816300000000001</v>
      </c>
      <c r="W596" s="616">
        <v>3.6200000000000003E-2</v>
      </c>
    </row>
    <row r="597" spans="2:23" x14ac:dyDescent="0.3">
      <c r="B597" s="380" t="s">
        <v>1890</v>
      </c>
      <c r="C597" s="179" t="s">
        <v>1068</v>
      </c>
      <c r="D597" s="182">
        <v>0.64861500000000005</v>
      </c>
      <c r="E597" s="43">
        <v>0.71902100000000002</v>
      </c>
      <c r="F597" s="43">
        <v>0</v>
      </c>
      <c r="G597" s="729">
        <v>0.32535999999999998</v>
      </c>
      <c r="H597" s="750">
        <v>0.65185199999999999</v>
      </c>
      <c r="I597" s="43">
        <v>0.25512200000000002</v>
      </c>
      <c r="J597" s="43">
        <v>0</v>
      </c>
      <c r="K597" s="43">
        <v>0</v>
      </c>
      <c r="L597" s="729">
        <v>0.99167400000000006</v>
      </c>
      <c r="M597" s="750">
        <v>7.4034000000000003E-2</v>
      </c>
      <c r="N597" s="45">
        <v>0.31132399999999999</v>
      </c>
      <c r="O597" s="43">
        <v>0</v>
      </c>
      <c r="P597" s="43">
        <v>0</v>
      </c>
      <c r="Q597" s="729">
        <v>0.99586799999999998</v>
      </c>
      <c r="R597" s="750">
        <v>0.825156</v>
      </c>
      <c r="S597" s="45">
        <v>0.39493</v>
      </c>
      <c r="T597" s="43">
        <v>0</v>
      </c>
      <c r="U597" s="43">
        <v>0</v>
      </c>
      <c r="V597" s="729">
        <v>0.99325399999999997</v>
      </c>
      <c r="W597" s="616">
        <v>0.33756700000000001</v>
      </c>
    </row>
    <row r="598" spans="2:23" x14ac:dyDescent="0.3">
      <c r="B598" s="380" t="s">
        <v>1891</v>
      </c>
      <c r="C598" s="179" t="s">
        <v>1069</v>
      </c>
      <c r="D598" s="182">
        <v>0.85307900000000003</v>
      </c>
      <c r="E598" s="43">
        <v>0.87604099999999996</v>
      </c>
      <c r="F598" s="43">
        <v>0</v>
      </c>
      <c r="G598" s="729">
        <v>0.63280499999999995</v>
      </c>
      <c r="H598" s="750">
        <v>0</v>
      </c>
      <c r="I598" s="43">
        <v>1.4176040000000001</v>
      </c>
      <c r="J598" s="43">
        <v>0</v>
      </c>
      <c r="K598" s="43">
        <v>0</v>
      </c>
      <c r="L598" s="729">
        <v>0</v>
      </c>
      <c r="M598" s="750">
        <v>0</v>
      </c>
      <c r="N598" s="45">
        <v>0.40622200000000003</v>
      </c>
      <c r="O598" s="43">
        <v>0</v>
      </c>
      <c r="P598" s="43">
        <v>0</v>
      </c>
      <c r="Q598" s="729">
        <v>0.98924699999999999</v>
      </c>
      <c r="R598" s="750">
        <v>0.20332500000000001</v>
      </c>
      <c r="S598" s="45">
        <v>0.43735800000000002</v>
      </c>
      <c r="T598" s="43">
        <v>0</v>
      </c>
      <c r="U598" s="43">
        <v>0</v>
      </c>
      <c r="V598" s="729">
        <v>0.99030899999999999</v>
      </c>
      <c r="W598" s="616">
        <v>5.9617000000000003E-2</v>
      </c>
    </row>
    <row r="599" spans="2:23" x14ac:dyDescent="0.3">
      <c r="B599" s="380" t="s">
        <v>1892</v>
      </c>
      <c r="C599" s="179" t="s">
        <v>1070</v>
      </c>
      <c r="D599" s="182">
        <v>0.95264700000000002</v>
      </c>
      <c r="E599" s="43">
        <v>0</v>
      </c>
      <c r="F599" s="43">
        <v>0</v>
      </c>
      <c r="G599" s="729">
        <v>0.21581</v>
      </c>
      <c r="H599" s="750">
        <v>0.18571399999999999</v>
      </c>
      <c r="I599" s="43">
        <v>1.738278</v>
      </c>
      <c r="J599" s="43">
        <v>0</v>
      </c>
      <c r="K599" s="43">
        <v>0</v>
      </c>
      <c r="L599" s="729">
        <v>0</v>
      </c>
      <c r="M599" s="750">
        <v>0</v>
      </c>
      <c r="N599" s="45">
        <v>0.59903200000000001</v>
      </c>
      <c r="O599" s="43">
        <v>0</v>
      </c>
      <c r="P599" s="43">
        <v>0</v>
      </c>
      <c r="Q599" s="729">
        <v>0.97785</v>
      </c>
      <c r="R599" s="750">
        <v>0.560137</v>
      </c>
      <c r="S599" s="45">
        <v>0.69762999999999997</v>
      </c>
      <c r="T599" s="43">
        <v>0</v>
      </c>
      <c r="U599" s="43">
        <v>0</v>
      </c>
      <c r="V599" s="729">
        <v>0.97951699999999997</v>
      </c>
      <c r="W599" s="616">
        <v>0.171795</v>
      </c>
    </row>
    <row r="600" spans="2:23" x14ac:dyDescent="0.3">
      <c r="B600" s="380" t="s">
        <v>1893</v>
      </c>
      <c r="C600" s="179" t="s">
        <v>1071</v>
      </c>
      <c r="D600" s="182">
        <v>0.208177</v>
      </c>
      <c r="E600" s="43">
        <v>0</v>
      </c>
      <c r="F600" s="43">
        <v>0</v>
      </c>
      <c r="G600" s="729">
        <v>0</v>
      </c>
      <c r="H600" s="750">
        <v>0</v>
      </c>
      <c r="I600" s="43">
        <v>0.208177</v>
      </c>
      <c r="J600" s="43">
        <v>0</v>
      </c>
      <c r="K600" s="43">
        <v>0</v>
      </c>
      <c r="L600" s="729">
        <v>0</v>
      </c>
      <c r="M600" s="750">
        <v>0</v>
      </c>
      <c r="N600" s="45">
        <v>0.30399399999999999</v>
      </c>
      <c r="O600" s="43">
        <v>0.51753199999999999</v>
      </c>
      <c r="P600" s="43">
        <v>0.49</v>
      </c>
      <c r="Q600" s="729">
        <v>0</v>
      </c>
      <c r="R600" s="750">
        <v>0</v>
      </c>
      <c r="S600" s="45">
        <v>0.30399399999999999</v>
      </c>
      <c r="T600" s="43">
        <v>0.51753199999999999</v>
      </c>
      <c r="U600" s="43">
        <v>0.49</v>
      </c>
      <c r="V600" s="729">
        <v>0</v>
      </c>
      <c r="W600" s="616">
        <v>0</v>
      </c>
    </row>
    <row r="601" spans="2:23" x14ac:dyDescent="0.3">
      <c r="B601" s="380" t="s">
        <v>1894</v>
      </c>
      <c r="C601" s="179" t="s">
        <v>1072</v>
      </c>
      <c r="D601" s="182">
        <v>0.957376</v>
      </c>
      <c r="E601" s="43">
        <v>0.40905200000000003</v>
      </c>
      <c r="F601" s="43">
        <v>0.01</v>
      </c>
      <c r="G601" s="729">
        <v>0.56318299999999999</v>
      </c>
      <c r="H601" s="750">
        <v>0.92228900000000003</v>
      </c>
      <c r="I601" s="43">
        <v>0.30741299999999999</v>
      </c>
      <c r="J601" s="43">
        <v>0</v>
      </c>
      <c r="K601" s="43">
        <v>0</v>
      </c>
      <c r="L601" s="729">
        <v>0.99822500000000003</v>
      </c>
      <c r="M601" s="750">
        <v>0.28362700000000002</v>
      </c>
      <c r="N601" s="45">
        <v>0.40373399999999998</v>
      </c>
      <c r="O601" s="43">
        <v>0</v>
      </c>
      <c r="P601" s="43">
        <v>0</v>
      </c>
      <c r="Q601" s="729">
        <v>0.98330600000000001</v>
      </c>
      <c r="R601" s="750">
        <v>0.82881800000000005</v>
      </c>
      <c r="S601" s="45">
        <v>0.518926</v>
      </c>
      <c r="T601" s="43">
        <v>0</v>
      </c>
      <c r="U601" s="43">
        <v>0</v>
      </c>
      <c r="V601" s="729">
        <v>0.99077999999999999</v>
      </c>
      <c r="W601" s="616">
        <v>0.48375800000000002</v>
      </c>
    </row>
    <row r="602" spans="2:23" x14ac:dyDescent="0.3">
      <c r="B602" s="380" t="s">
        <v>1895</v>
      </c>
      <c r="C602" s="179" t="s">
        <v>1073</v>
      </c>
      <c r="D602" s="182">
        <v>1.388231</v>
      </c>
      <c r="E602" s="43">
        <v>0.30499999999999999</v>
      </c>
      <c r="F602" s="43">
        <v>0</v>
      </c>
      <c r="G602" s="729">
        <v>0.40954800000000002</v>
      </c>
      <c r="H602" s="750">
        <v>0.79692300000000005</v>
      </c>
      <c r="I602" s="43">
        <v>0.481933</v>
      </c>
      <c r="J602" s="43">
        <v>0</v>
      </c>
      <c r="K602" s="43">
        <v>0</v>
      </c>
      <c r="L602" s="729">
        <v>0.99535399999999996</v>
      </c>
      <c r="M602" s="750">
        <v>7.0736999999999994E-2</v>
      </c>
      <c r="N602" s="45">
        <v>0.65055399999999997</v>
      </c>
      <c r="O602" s="43">
        <v>0</v>
      </c>
      <c r="P602" s="43">
        <v>0</v>
      </c>
      <c r="Q602" s="729">
        <v>0.98562799999999995</v>
      </c>
      <c r="R602" s="750">
        <v>0.72222900000000001</v>
      </c>
      <c r="S602" s="45">
        <v>1.053471</v>
      </c>
      <c r="T602" s="43">
        <v>0.45405299999999998</v>
      </c>
      <c r="U602" s="43">
        <v>0.54</v>
      </c>
      <c r="V602" s="729">
        <v>0.64204000000000006</v>
      </c>
      <c r="W602" s="616">
        <v>0.51220399999999999</v>
      </c>
    </row>
    <row r="603" spans="2:23" x14ac:dyDescent="0.3">
      <c r="B603" s="380" t="s">
        <v>1896</v>
      </c>
      <c r="C603" s="179" t="s">
        <v>1074</v>
      </c>
      <c r="D603" s="182">
        <v>0.80889800000000001</v>
      </c>
      <c r="E603" s="43">
        <v>0.25059399999999998</v>
      </c>
      <c r="F603" s="43">
        <v>0</v>
      </c>
      <c r="G603" s="729">
        <v>0.48972900000000003</v>
      </c>
      <c r="H603" s="750">
        <v>2.0695999999999999E-2</v>
      </c>
      <c r="I603" s="43">
        <v>1.3209759999999999</v>
      </c>
      <c r="J603" s="43">
        <v>0</v>
      </c>
      <c r="K603" s="43">
        <v>0</v>
      </c>
      <c r="L603" s="729">
        <v>0</v>
      </c>
      <c r="M603" s="750">
        <v>0</v>
      </c>
      <c r="N603" s="45">
        <v>0.47620400000000002</v>
      </c>
      <c r="O603" s="43">
        <v>0</v>
      </c>
      <c r="P603" s="43">
        <v>0</v>
      </c>
      <c r="Q603" s="729">
        <v>0.99158599999999997</v>
      </c>
      <c r="R603" s="750">
        <v>0.169546</v>
      </c>
      <c r="S603" s="45">
        <v>0.53950399999999998</v>
      </c>
      <c r="T603" s="43">
        <v>0</v>
      </c>
      <c r="U603" s="43">
        <v>0</v>
      </c>
      <c r="V603" s="729">
        <v>0.99264600000000003</v>
      </c>
      <c r="W603" s="616">
        <v>4.6674E-2</v>
      </c>
    </row>
    <row r="604" spans="2:23" x14ac:dyDescent="0.3">
      <c r="B604" s="380" t="s">
        <v>1897</v>
      </c>
      <c r="C604" s="179" t="s">
        <v>1075</v>
      </c>
      <c r="D604" s="182">
        <v>0.44256000000000001</v>
      </c>
      <c r="E604" s="43">
        <v>0</v>
      </c>
      <c r="F604" s="43">
        <v>0</v>
      </c>
      <c r="G604" s="729">
        <v>0.53204700000000005</v>
      </c>
      <c r="H604" s="750">
        <v>0.44897999999999999</v>
      </c>
      <c r="I604" s="43">
        <v>0.93733699999999998</v>
      </c>
      <c r="J604" s="43">
        <v>0</v>
      </c>
      <c r="K604" s="43">
        <v>0</v>
      </c>
      <c r="L604" s="729">
        <v>0</v>
      </c>
      <c r="M604" s="750">
        <v>0</v>
      </c>
      <c r="N604" s="45">
        <v>0.33155200000000001</v>
      </c>
      <c r="O604" s="43">
        <v>0</v>
      </c>
      <c r="P604" s="43">
        <v>0</v>
      </c>
      <c r="Q604" s="729">
        <v>0.97497199999999995</v>
      </c>
      <c r="R604" s="750">
        <v>0.51312000000000002</v>
      </c>
      <c r="S604" s="45">
        <v>0.38687300000000002</v>
      </c>
      <c r="T604" s="43">
        <v>0</v>
      </c>
      <c r="U604" s="43">
        <v>0</v>
      </c>
      <c r="V604" s="729">
        <v>0.97981099999999999</v>
      </c>
      <c r="W604" s="616">
        <v>0.170428</v>
      </c>
    </row>
    <row r="605" spans="2:23" x14ac:dyDescent="0.3">
      <c r="B605" s="380" t="s">
        <v>1898</v>
      </c>
      <c r="C605" s="179" t="s">
        <v>1076</v>
      </c>
      <c r="D605" s="182">
        <v>0.53423200000000004</v>
      </c>
      <c r="E605" s="43">
        <v>0</v>
      </c>
      <c r="F605" s="43">
        <v>0</v>
      </c>
      <c r="G605" s="729">
        <v>9.6361000000000002E-2</v>
      </c>
      <c r="H605" s="750">
        <v>0</v>
      </c>
      <c r="I605" s="43">
        <v>0.54081400000000002</v>
      </c>
      <c r="J605" s="43">
        <v>0</v>
      </c>
      <c r="K605" s="43">
        <v>0</v>
      </c>
      <c r="L605" s="729">
        <v>0</v>
      </c>
      <c r="M605" s="750">
        <v>0</v>
      </c>
      <c r="N605" s="45">
        <v>0.44144899999999998</v>
      </c>
      <c r="O605" s="43">
        <v>0.52596900000000002</v>
      </c>
      <c r="P605" s="43">
        <v>0.57999999999999996</v>
      </c>
      <c r="Q605" s="729">
        <v>0</v>
      </c>
      <c r="R605" s="750">
        <v>0</v>
      </c>
      <c r="S605" s="45">
        <v>0.44144899999999998</v>
      </c>
      <c r="T605" s="43">
        <v>0.52596900000000002</v>
      </c>
      <c r="U605" s="43">
        <v>0.57999999999999996</v>
      </c>
      <c r="V605" s="729">
        <v>0</v>
      </c>
      <c r="W605" s="616">
        <v>0</v>
      </c>
    </row>
    <row r="606" spans="2:23" x14ac:dyDescent="0.3">
      <c r="B606" s="380" t="s">
        <v>1899</v>
      </c>
      <c r="C606" s="179" t="s">
        <v>1077</v>
      </c>
      <c r="D606" s="182">
        <v>0.59217600000000004</v>
      </c>
      <c r="E606" s="43">
        <v>1.141057</v>
      </c>
      <c r="F606" s="43">
        <v>0</v>
      </c>
      <c r="G606" s="729">
        <v>0.458285</v>
      </c>
      <c r="H606" s="750">
        <v>0</v>
      </c>
      <c r="I606" s="43">
        <v>0.823214</v>
      </c>
      <c r="J606" s="43">
        <v>0</v>
      </c>
      <c r="K606" s="43">
        <v>0</v>
      </c>
      <c r="L606" s="729">
        <v>0</v>
      </c>
      <c r="M606" s="750">
        <v>0</v>
      </c>
      <c r="N606" s="45">
        <v>0.45034299999999999</v>
      </c>
      <c r="O606" s="43">
        <v>0</v>
      </c>
      <c r="P606" s="43">
        <v>0</v>
      </c>
      <c r="Q606" s="729">
        <v>0.98065500000000005</v>
      </c>
      <c r="R606" s="750">
        <v>0</v>
      </c>
      <c r="S606" s="45">
        <v>0.51686100000000001</v>
      </c>
      <c r="T606" s="43">
        <v>0</v>
      </c>
      <c r="U606" s="43">
        <v>0</v>
      </c>
      <c r="V606" s="729">
        <v>0.98065500000000005</v>
      </c>
      <c r="W606" s="616">
        <v>0</v>
      </c>
    </row>
    <row r="607" spans="2:23" x14ac:dyDescent="0.3">
      <c r="B607" s="380" t="s">
        <v>1900</v>
      </c>
      <c r="C607" s="179" t="s">
        <v>1078</v>
      </c>
      <c r="D607" s="182">
        <v>0.97629900000000003</v>
      </c>
      <c r="E607" s="43">
        <v>0.42174499999999998</v>
      </c>
      <c r="F607" s="43">
        <v>0</v>
      </c>
      <c r="G607" s="729">
        <v>0.39691599999999999</v>
      </c>
      <c r="H607" s="750">
        <v>0.88834999999999997</v>
      </c>
      <c r="I607" s="43">
        <v>0.39396300000000001</v>
      </c>
      <c r="J607" s="43">
        <v>0</v>
      </c>
      <c r="K607" s="43">
        <v>0</v>
      </c>
      <c r="L607" s="729">
        <v>0.99279399999999995</v>
      </c>
      <c r="M607" s="750">
        <v>0.175815</v>
      </c>
      <c r="N607" s="45">
        <v>0.39735599999999999</v>
      </c>
      <c r="O607" s="43">
        <v>0</v>
      </c>
      <c r="P607" s="43">
        <v>0</v>
      </c>
      <c r="Q607" s="729">
        <v>0.97680100000000003</v>
      </c>
      <c r="R607" s="750">
        <v>0.95485699999999996</v>
      </c>
      <c r="S607" s="45">
        <v>0.56673300000000004</v>
      </c>
      <c r="T607" s="43">
        <v>0</v>
      </c>
      <c r="U607" s="43">
        <v>0</v>
      </c>
      <c r="V607" s="729">
        <v>0.98501899999999998</v>
      </c>
      <c r="W607" s="616">
        <v>0.63692800000000005</v>
      </c>
    </row>
    <row r="608" spans="2:23" x14ac:dyDescent="0.3">
      <c r="B608" s="380" t="s">
        <v>1901</v>
      </c>
      <c r="C608" s="179" t="s">
        <v>1079</v>
      </c>
      <c r="D608" s="182">
        <v>1.522548</v>
      </c>
      <c r="E608" s="43">
        <v>0.49531500000000001</v>
      </c>
      <c r="F608" s="43">
        <v>2.9719999999999998E-3</v>
      </c>
      <c r="G608" s="729">
        <v>0.70012300000000005</v>
      </c>
      <c r="H608" s="750">
        <v>0.98361100000000001</v>
      </c>
      <c r="I608" s="43">
        <v>0.53691699999999998</v>
      </c>
      <c r="J608" s="43">
        <v>0</v>
      </c>
      <c r="K608" s="43">
        <v>0</v>
      </c>
      <c r="L608" s="729">
        <v>0.99486300000000005</v>
      </c>
      <c r="M608" s="750">
        <v>0.77277399999999996</v>
      </c>
      <c r="N608" s="45">
        <v>0.51713500000000001</v>
      </c>
      <c r="O608" s="43">
        <v>0</v>
      </c>
      <c r="P608" s="43">
        <v>0</v>
      </c>
      <c r="Q608" s="729">
        <v>0.973576</v>
      </c>
      <c r="R608" s="750">
        <v>0.98721199999999998</v>
      </c>
      <c r="S608" s="45">
        <v>0.71517699999999995</v>
      </c>
      <c r="T608" s="43">
        <v>0</v>
      </c>
      <c r="U608" s="43">
        <v>0</v>
      </c>
      <c r="V608" s="729">
        <v>0.99541199999999996</v>
      </c>
      <c r="W608" s="616">
        <v>0.88814400000000004</v>
      </c>
    </row>
    <row r="609" spans="2:23" x14ac:dyDescent="0.3">
      <c r="B609" s="380" t="s">
        <v>1902</v>
      </c>
      <c r="C609" s="179" t="s">
        <v>1080</v>
      </c>
      <c r="D609" s="182">
        <v>0.80055500000000002</v>
      </c>
      <c r="E609" s="43">
        <v>0</v>
      </c>
      <c r="F609" s="43">
        <v>0</v>
      </c>
      <c r="G609" s="729">
        <v>0.22223000000000001</v>
      </c>
      <c r="H609" s="750">
        <v>0.42342299999999999</v>
      </c>
      <c r="I609" s="43">
        <v>1.246969</v>
      </c>
      <c r="J609" s="43">
        <v>0</v>
      </c>
      <c r="K609" s="43">
        <v>0</v>
      </c>
      <c r="L609" s="729">
        <v>0</v>
      </c>
      <c r="M609" s="750">
        <v>0</v>
      </c>
      <c r="N609" s="45">
        <v>0.45960899999999999</v>
      </c>
      <c r="O609" s="43">
        <v>0</v>
      </c>
      <c r="P609" s="43">
        <v>0</v>
      </c>
      <c r="Q609" s="729">
        <v>0.99395699999999998</v>
      </c>
      <c r="R609" s="750">
        <v>0.362817</v>
      </c>
      <c r="S609" s="45">
        <v>0.71470699999999998</v>
      </c>
      <c r="T609" s="43">
        <v>0.38034800000000002</v>
      </c>
      <c r="U609" s="43">
        <v>0.55000000000000004</v>
      </c>
      <c r="V609" s="729">
        <v>0.59532200000000002</v>
      </c>
      <c r="W609" s="616">
        <v>0.10953300000000001</v>
      </c>
    </row>
    <row r="610" spans="2:23" x14ac:dyDescent="0.3">
      <c r="B610" s="380" t="s">
        <v>1903</v>
      </c>
      <c r="C610" s="179" t="s">
        <v>1081</v>
      </c>
      <c r="D610" s="182">
        <v>0.56901900000000005</v>
      </c>
      <c r="E610" s="43">
        <v>0.46187800000000001</v>
      </c>
      <c r="F610" s="43">
        <v>8.6090000000000003E-3</v>
      </c>
      <c r="G610" s="729">
        <v>0.32657599999999998</v>
      </c>
      <c r="H610" s="750">
        <v>0.38076900000000002</v>
      </c>
      <c r="I610" s="43">
        <v>0.20974200000000001</v>
      </c>
      <c r="J610" s="43">
        <v>0</v>
      </c>
      <c r="K610" s="43">
        <v>0</v>
      </c>
      <c r="L610" s="729">
        <v>0.98912699999999998</v>
      </c>
      <c r="M610" s="750">
        <v>2.0990000000000002E-2</v>
      </c>
      <c r="N610" s="45">
        <v>0.32978499999999999</v>
      </c>
      <c r="O610" s="43">
        <v>0</v>
      </c>
      <c r="P610" s="43">
        <v>0</v>
      </c>
      <c r="Q610" s="729">
        <v>0.98366100000000001</v>
      </c>
      <c r="R610" s="750">
        <v>0.60093600000000003</v>
      </c>
      <c r="S610" s="45">
        <v>0.41387600000000002</v>
      </c>
      <c r="T610" s="43">
        <v>0</v>
      </c>
      <c r="U610" s="43">
        <v>0</v>
      </c>
      <c r="V610" s="729">
        <v>0.97808099999999998</v>
      </c>
      <c r="W610" s="616">
        <v>0.166216</v>
      </c>
    </row>
  </sheetData>
  <sheetProtection algorithmName="SHA-512" hashValue="JrfLD+NVVgs2gmLs9e3Mqd96ULGPkUq9dKYlVbvX2SmHQLAAIa21CXZwD8CmRCe63cbcbM3UlahKw/QxWUs0jg==" saltValue="+ZnhEvJVP4pZqlQULtLNRA==" spinCount="100000" sheet="1" objects="1" scenarios="1" selectLockedCells="1"/>
  <phoneticPr fontId="42" type="noConversion"/>
  <conditionalFormatting sqref="C13:C14 C17:E19">
    <cfRule type="containsBlanks" dxfId="2" priority="4">
      <formula>LEN(TRIM(C13))=0</formula>
    </cfRule>
  </conditionalFormatting>
  <dataValidations count="5">
    <dataValidation type="whole" operator="greaterThan" allowBlank="1" showInputMessage="1" showErrorMessage="1" errorTitle="CleanCooking-inputs" error="Value must be integer and greater than zero (&gt;0)." sqref="C14" xr:uid="{321D67E6-B4D9-4149-82FA-F20E86A70324}">
      <formula1>0</formula1>
    </dataValidation>
    <dataValidation type="decimal" allowBlank="1" showInputMessage="1" showErrorMessage="1" errorTitle="CleanCooking-inputs" error="Value must be between zero and one [0,1]." sqref="C13" xr:uid="{74737791-8175-4440-AC5D-35B22D99C179}">
      <formula1>0</formula1>
      <formula2>1</formula2>
    </dataValidation>
    <dataValidation type="textLength" operator="lessThanOrEqual" allowBlank="1" showInputMessage="1" showErrorMessage="1" errorTitle="CleanCooking-plans" error="Text length must be lower than or equal to 16 characters." sqref="C24:C1048576" xr:uid="{957B5F3A-73FC-4B90-B497-B127A86216ED}">
      <formula1>16</formula1>
    </dataValidation>
    <dataValidation type="decimal" operator="greaterThanOrEqual" allowBlank="1" showInputMessage="1" showErrorMessage="1" errorTitle="CleanCooking-plans" error="Value must be greater than or equal to zero (≥0)." sqref="D24:F1048576 I24:K1048576 N24:P1048576 S24:U1048576" xr:uid="{4638E0C5-3DE2-4B14-87DD-FE1700E990E1}">
      <formula1>0</formula1>
    </dataValidation>
    <dataValidation type="decimal" allowBlank="1" showInputMessage="1" showErrorMessage="1" errorTitle="CleanCooking-plans" error="Value must be between zero and one [0,1]." sqref="G24:H1048576 L24:M1048576 Q24:R1048576 V24:W1048576" xr:uid="{0D43C166-EF3C-466A-99F0-57AF598B39C7}">
      <formula1>0</formula1>
      <formula2>1</formula2>
    </dataValidation>
  </dataValidations>
  <pageMargins left="0.7" right="0.7" top="0.75" bottom="0.75" header="0.3" footer="0.3"/>
  <pageSetup orientation="portrait" r:id="rId1"/>
  <ignoredErrors>
    <ignoredError sqref="B24:B610" numberStoredAsText="1"/>
  </ignoredError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38918-2192-4457-9C0D-555FABD8F8F4}">
  <sheetPr codeName="Sheet43">
    <tabColor rgb="FFFF9999"/>
  </sheetPr>
  <dimension ref="A1:AB91"/>
  <sheetViews>
    <sheetView showRowColHeaders="0" workbookViewId="0">
      <selection activeCell="T5" sqref="T5"/>
    </sheetView>
  </sheetViews>
  <sheetFormatPr defaultColWidth="16.77734375" defaultRowHeight="14.4" x14ac:dyDescent="0.3"/>
  <cols>
    <col min="1" max="1" width="3.77734375" style="9" customWidth="1"/>
    <col min="2" max="2" width="32.77734375" style="9" customWidth="1"/>
    <col min="3" max="3" width="12.33203125" style="9" customWidth="1"/>
    <col min="4" max="4" width="14.77734375" style="9" customWidth="1"/>
    <col min="5" max="5" width="3.77734375" style="9" customWidth="1"/>
    <col min="6" max="6" width="16.77734375" style="393" customWidth="1"/>
    <col min="7" max="7" width="12.77734375" style="779" customWidth="1"/>
    <col min="8" max="8" width="12.77734375" style="780" customWidth="1"/>
    <col min="9" max="10" width="12.77734375" style="438" customWidth="1"/>
    <col min="11" max="11" width="12.77734375" style="419" customWidth="1"/>
    <col min="12" max="12" width="12.77734375" style="420" customWidth="1"/>
    <col min="13" max="13" width="12.77734375" style="421" customWidth="1"/>
    <col min="14" max="14" width="3.77734375" style="9" customWidth="1"/>
    <col min="15" max="15" width="19.77734375" style="393" customWidth="1"/>
    <col min="16" max="16" width="16.77734375" style="396" customWidth="1"/>
    <col min="17" max="17" width="3.77734375" style="9" customWidth="1"/>
    <col min="18" max="18" width="16.77734375" style="411"/>
    <col min="19" max="19" width="16.77734375" style="791"/>
    <col min="20" max="20" width="16.77734375" style="792"/>
    <col min="21" max="21" width="16.77734375" style="427"/>
    <col min="22" max="16384" width="16.77734375" style="403"/>
  </cols>
  <sheetData>
    <row r="1" spans="1:28" s="154" customFormat="1" ht="70.2" customHeight="1" thickBot="1" x14ac:dyDescent="0.35">
      <c r="A1" s="154" t="s">
        <v>494</v>
      </c>
      <c r="G1" s="413"/>
      <c r="H1" s="413"/>
      <c r="I1" s="413"/>
      <c r="J1" s="413"/>
      <c r="K1" s="413"/>
      <c r="L1" s="413"/>
      <c r="M1" s="413"/>
      <c r="R1" s="401"/>
      <c r="U1" s="401"/>
    </row>
    <row r="2" spans="1:28" s="9" customFormat="1" ht="15.6" thickTop="1" thickBot="1" x14ac:dyDescent="0.35">
      <c r="G2" s="126"/>
      <c r="H2" s="126"/>
      <c r="I2" s="126"/>
      <c r="J2" s="126"/>
      <c r="K2" s="126"/>
      <c r="L2" s="126"/>
      <c r="M2" s="126"/>
      <c r="R2" s="8"/>
      <c r="S2" s="429"/>
      <c r="T2" s="429"/>
      <c r="U2" s="430"/>
    </row>
    <row r="3" spans="1:28" s="400" customFormat="1" ht="15.6" thickTop="1" thickBot="1" x14ac:dyDescent="0.35">
      <c r="A3" s="9"/>
      <c r="B3" s="271" t="s">
        <v>285</v>
      </c>
      <c r="C3" s="9"/>
      <c r="D3" s="9"/>
      <c r="E3" s="9"/>
      <c r="F3" s="412" t="s">
        <v>1105</v>
      </c>
      <c r="G3" s="781">
        <f>COUNTIF(F:F,"*")-2</f>
        <v>30</v>
      </c>
      <c r="J3" s="440"/>
      <c r="K3" s="394" t="s">
        <v>1134</v>
      </c>
      <c r="L3" s="415"/>
      <c r="M3" s="389"/>
      <c r="N3" s="9"/>
      <c r="O3" s="431" t="s">
        <v>1109</v>
      </c>
      <c r="P3" s="434">
        <f>COUNTIF(O:O,"*")-2</f>
        <v>7</v>
      </c>
      <c r="Q3" s="9"/>
      <c r="R3" s="392" t="s">
        <v>1087</v>
      </c>
      <c r="S3" s="787" t="s">
        <v>2200</v>
      </c>
      <c r="T3" s="786"/>
      <c r="U3" s="425" t="s">
        <v>1089</v>
      </c>
      <c r="V3" s="371"/>
    </row>
    <row r="4" spans="1:28" s="398" customFormat="1" ht="15" thickTop="1" x14ac:dyDescent="0.3">
      <c r="A4" s="9"/>
      <c r="B4" s="157" t="s">
        <v>468</v>
      </c>
      <c r="C4" s="451">
        <v>0.1</v>
      </c>
      <c r="D4" s="377"/>
      <c r="E4" s="9"/>
      <c r="F4" s="392" t="s">
        <v>461</v>
      </c>
      <c r="G4" s="414" t="s">
        <v>2197</v>
      </c>
      <c r="H4" s="184" t="s">
        <v>2198</v>
      </c>
      <c r="I4" s="437" t="s">
        <v>281</v>
      </c>
      <c r="J4" s="439" t="s">
        <v>1112</v>
      </c>
      <c r="K4" s="397" t="str">
        <f>_xlfn.CONCAT("U:",100*LPGmodel!$C$10,"%")</f>
        <v>U:100%</v>
      </c>
      <c r="L4" s="399" t="str">
        <f>_xlfn.CONCAT("R:",100*LPGmodel!$C$10,"%")</f>
        <v>R:100%</v>
      </c>
      <c r="M4" s="395" t="str">
        <f>_xlfn.CONCAT("U+R:",100*LPGmodel!$C$10,"%")</f>
        <v>U+R:100%</v>
      </c>
      <c r="N4" s="9"/>
      <c r="O4" s="432" t="s">
        <v>1082</v>
      </c>
      <c r="P4" s="433" t="s">
        <v>1110</v>
      </c>
      <c r="Q4" s="9"/>
      <c r="R4" s="410" t="s">
        <v>1088</v>
      </c>
      <c r="S4" s="788" t="s">
        <v>114</v>
      </c>
      <c r="T4" s="793" t="s">
        <v>326</v>
      </c>
      <c r="U4" s="426" t="s">
        <v>1107</v>
      </c>
      <c r="V4" s="398" t="str" cm="1">
        <f t="array" aca="1" ref="V4:AB4" ca="1">TRANSPOSE(OFFSET($O$4,1,0,COUNTIF($O:$O,"*")-2))</f>
        <v>Kabuga</v>
      </c>
      <c r="W4" s="398" t="str">
        <f ca="1"/>
        <v>Jabana</v>
      </c>
      <c r="X4" s="398" t="str">
        <f ca="1"/>
        <v>Gahanga</v>
      </c>
      <c r="Y4" s="398" t="str">
        <f ca="1"/>
        <v>Musanze</v>
      </c>
      <c r="Z4" s="398" t="str">
        <f ca="1"/>
        <v>Muhanga</v>
      </c>
      <c r="AA4" s="398" t="str">
        <f ca="1"/>
        <v>Kayonza</v>
      </c>
      <c r="AB4" s="398" t="str">
        <f ca="1"/>
        <v>Kamembe</v>
      </c>
    </row>
    <row r="5" spans="1:28" ht="15" thickBot="1" x14ac:dyDescent="0.35">
      <c r="B5" s="158" t="s">
        <v>446</v>
      </c>
      <c r="C5" s="370">
        <v>246</v>
      </c>
      <c r="D5" s="378" t="s">
        <v>447</v>
      </c>
      <c r="F5" s="393" t="s">
        <v>258</v>
      </c>
      <c r="G5" s="779">
        <v>551103</v>
      </c>
      <c r="H5" s="782">
        <v>34.444128955930204</v>
      </c>
      <c r="I5" s="438">
        <v>0.41934485281702033</v>
      </c>
      <c r="J5" s="438">
        <v>0.72</v>
      </c>
      <c r="K5" s="419" cm="1">
        <f t="array" aca="1" ref="K5:K34" ca="1">_xlfn._xlws.FILTER(LPGmodel!$C$10*OFFSET($G$4,1,0,$G$3)*OFFSET($H$4,1,0,$G$3)*OFFSET($I$4,1,0,$G$3)/1000,OFFSET($G$4,1,0,$G$3)&lt;&gt;"","")</f>
        <v>7960.1142000000018</v>
      </c>
      <c r="L5" s="420" cm="1">
        <f t="array" aca="1" ref="L5:L34" ca="1">_xlfn._xlws.FILTER(LPGmodel!$C$10*OFFSET($G$4,1,0,$G$3)*OFFSET($H$4,1,0,$G$3)*(1-OFFSET($I$4,1,0,$G$3))/1000,OFFSET($G$4,1,0,$G$3)&lt;&gt;"","")</f>
        <v>11022.148600000004</v>
      </c>
      <c r="M5" s="421" cm="1">
        <f t="array" aca="1" ref="M5:M34" ca="1">_xlfn._xlws.FILTER(LPGmodel!$C$10*OFFSET($G$4,1,0,$G$3)*OFFSET($H$4,1,0,$G$3)/1000,OFFSET($G$4,1,0,$G$3)&lt;&gt;"","")</f>
        <v>18982.262800000004</v>
      </c>
      <c r="O5" s="393" t="s">
        <v>1083</v>
      </c>
      <c r="P5" s="402">
        <v>31.4</v>
      </c>
      <c r="R5" s="411" t="str" cm="1">
        <f t="array" aca="1" ref="R5:R34" ca="1">OFFSET($F$4,1,0,$G$3)</f>
        <v>Bugesera</v>
      </c>
      <c r="S5" s="789">
        <v>45</v>
      </c>
      <c r="T5" s="790">
        <v>198.08209561996796</v>
      </c>
      <c r="U5" s="427" t="str" cm="1">
        <f t="array" aca="1" ref="U5:U34" ca="1">INDEX(OFFSET($V$4,0,0,1,$P$3),0,_xlfn.MAP(_xlfn.SEQUENCE($G$3),_xlfn.LAMBDA(_xlpm.i,_xlfn.XMATCH(MIN(INDEX(OFFSET($V$5,0,0,$G$3,$P$3),_xlpm.i,0)),INDEX(OFFSET($V$5,0,0,$G$3,$P$3),_xlpm.i,0)))))</f>
        <v>Gahanga</v>
      </c>
      <c r="V5" s="79">
        <v>59.7</v>
      </c>
      <c r="W5" s="79">
        <v>58.1</v>
      </c>
      <c r="X5" s="79">
        <v>30.6</v>
      </c>
      <c r="Y5" s="79">
        <v>145</v>
      </c>
      <c r="Z5" s="79">
        <v>95.1</v>
      </c>
      <c r="AA5" s="79">
        <v>108</v>
      </c>
      <c r="AB5" s="403">
        <v>260</v>
      </c>
    </row>
    <row r="6" spans="1:28" ht="15.6" thickTop="1" thickBot="1" x14ac:dyDescent="0.35">
      <c r="F6" s="393" t="s">
        <v>254</v>
      </c>
      <c r="G6" s="779">
        <v>551164</v>
      </c>
      <c r="H6" s="782">
        <v>33.329104404496668</v>
      </c>
      <c r="I6" s="438">
        <v>0.12080697928026173</v>
      </c>
      <c r="J6" s="438">
        <v>0.72</v>
      </c>
      <c r="K6" s="419">
        <f ca="1"/>
        <v>2219.2003500000001</v>
      </c>
      <c r="L6" s="420">
        <f ca="1"/>
        <v>16150.602150000001</v>
      </c>
      <c r="M6" s="421">
        <f ca="1"/>
        <v>18369.802500000002</v>
      </c>
      <c r="O6" s="393" t="s">
        <v>1084</v>
      </c>
      <c r="P6" s="402">
        <v>0</v>
      </c>
      <c r="R6" s="411" t="str">
        <f ca="1"/>
        <v>Gatsibo</v>
      </c>
      <c r="S6" s="789">
        <v>45</v>
      </c>
      <c r="T6" s="790">
        <v>275.44023659184018</v>
      </c>
      <c r="U6" s="427" t="str">
        <f ca="1"/>
        <v>Kayonza</v>
      </c>
      <c r="V6" s="79">
        <v>102</v>
      </c>
      <c r="W6" s="79">
        <v>98.2</v>
      </c>
      <c r="X6" s="79">
        <v>133</v>
      </c>
      <c r="Y6" s="79">
        <v>158</v>
      </c>
      <c r="Z6" s="79">
        <v>174</v>
      </c>
      <c r="AA6" s="79">
        <v>51.7</v>
      </c>
      <c r="AB6" s="403">
        <v>366</v>
      </c>
    </row>
    <row r="7" spans="1:28" ht="15.6" thickTop="1" thickBot="1" x14ac:dyDescent="0.35">
      <c r="B7" s="234" t="s">
        <v>471</v>
      </c>
      <c r="C7" s="755"/>
      <c r="F7" s="393" t="s">
        <v>255</v>
      </c>
      <c r="G7" s="779">
        <v>457156</v>
      </c>
      <c r="H7" s="782">
        <v>33.744193448188369</v>
      </c>
      <c r="I7" s="438">
        <v>0.15145874816033245</v>
      </c>
      <c r="J7" s="438">
        <v>0.72</v>
      </c>
      <c r="K7" s="419">
        <f ca="1"/>
        <v>2336.4572500000004</v>
      </c>
      <c r="L7" s="420">
        <f ca="1"/>
        <v>13089.903250000001</v>
      </c>
      <c r="M7" s="421">
        <f ca="1"/>
        <v>15426.360500000003</v>
      </c>
      <c r="O7" s="393" t="s">
        <v>1085</v>
      </c>
      <c r="P7" s="402">
        <v>31.7</v>
      </c>
      <c r="R7" s="411" t="str">
        <f ca="1"/>
        <v>Kayonza</v>
      </c>
      <c r="S7" s="789">
        <v>45</v>
      </c>
      <c r="T7" s="790">
        <v>267.49764682937302</v>
      </c>
      <c r="U7" s="427" t="str">
        <f ca="1"/>
        <v>Kayonza</v>
      </c>
      <c r="V7" s="79">
        <v>52.6</v>
      </c>
      <c r="W7" s="79">
        <v>81.900000000000006</v>
      </c>
      <c r="X7" s="79">
        <v>83.7</v>
      </c>
      <c r="Y7" s="79">
        <v>175</v>
      </c>
      <c r="Z7" s="79">
        <v>125</v>
      </c>
      <c r="AA7" s="79">
        <v>2.5</v>
      </c>
      <c r="AB7" s="403">
        <v>317</v>
      </c>
    </row>
    <row r="8" spans="1:28" ht="15" thickTop="1" x14ac:dyDescent="0.3">
      <c r="B8" s="157" t="s">
        <v>1240</v>
      </c>
      <c r="C8" s="424">
        <v>786</v>
      </c>
      <c r="D8" s="371" t="s">
        <v>466</v>
      </c>
      <c r="F8" s="393" t="s">
        <v>256</v>
      </c>
      <c r="G8" s="779">
        <v>460860</v>
      </c>
      <c r="H8" s="782">
        <v>33.656999414138788</v>
      </c>
      <c r="I8" s="438">
        <v>9.3133583021223473E-2</v>
      </c>
      <c r="J8" s="438">
        <v>0.72</v>
      </c>
      <c r="K8" s="419">
        <f ca="1"/>
        <v>1444.6103500000004</v>
      </c>
      <c r="L8" s="420">
        <f ca="1"/>
        <v>14066.554400000003</v>
      </c>
      <c r="M8" s="421">
        <f ca="1"/>
        <v>15511.164750000002</v>
      </c>
      <c r="O8" s="393" t="s">
        <v>249</v>
      </c>
      <c r="P8" s="402">
        <v>107</v>
      </c>
      <c r="R8" s="411" t="str">
        <f ca="1"/>
        <v>Kirehe</v>
      </c>
      <c r="S8" s="789">
        <v>45</v>
      </c>
      <c r="T8" s="790">
        <v>282.61106039257163</v>
      </c>
      <c r="U8" s="427" t="str">
        <f ca="1"/>
        <v>Kayonza</v>
      </c>
      <c r="V8" s="79">
        <v>103</v>
      </c>
      <c r="W8" s="79">
        <v>132</v>
      </c>
      <c r="X8" s="79">
        <v>134</v>
      </c>
      <c r="Y8" s="79">
        <v>225</v>
      </c>
      <c r="Z8" s="79">
        <v>175</v>
      </c>
      <c r="AA8" s="79">
        <v>64.400000000000006</v>
      </c>
      <c r="AB8" s="403">
        <v>335</v>
      </c>
    </row>
    <row r="9" spans="1:28" x14ac:dyDescent="0.3">
      <c r="B9" s="367" t="s">
        <v>458</v>
      </c>
      <c r="C9" s="450">
        <v>0.02</v>
      </c>
      <c r="D9" s="372"/>
      <c r="F9" s="393" t="s">
        <v>257</v>
      </c>
      <c r="G9" s="779">
        <v>404048</v>
      </c>
      <c r="H9" s="782">
        <v>34.153668623529882</v>
      </c>
      <c r="I9" s="438">
        <v>8.9770637762508473E-2</v>
      </c>
      <c r="J9" s="438">
        <v>0.72</v>
      </c>
      <c r="K9" s="419">
        <f ca="1"/>
        <v>1238.8098000000002</v>
      </c>
      <c r="L9" s="420">
        <f ca="1"/>
        <v>12560.911700000001</v>
      </c>
      <c r="M9" s="421">
        <f ca="1"/>
        <v>13799.721500000001</v>
      </c>
      <c r="O9" s="393" t="s">
        <v>238</v>
      </c>
      <c r="P9" s="402">
        <v>56.2</v>
      </c>
      <c r="R9" s="411" t="str">
        <f ca="1"/>
        <v>Ngoma</v>
      </c>
      <c r="S9" s="789">
        <v>45</v>
      </c>
      <c r="T9" s="790">
        <v>283.48247811362114</v>
      </c>
      <c r="U9" s="427" t="str">
        <f ca="1"/>
        <v>Kayonza</v>
      </c>
      <c r="V9" s="79">
        <v>75.8</v>
      </c>
      <c r="W9" s="79">
        <v>105</v>
      </c>
      <c r="X9" s="79">
        <v>86.5</v>
      </c>
      <c r="Y9" s="79">
        <v>198</v>
      </c>
      <c r="Z9" s="79">
        <v>148</v>
      </c>
      <c r="AA9" s="79">
        <v>37.4</v>
      </c>
      <c r="AB9" s="403">
        <v>301</v>
      </c>
    </row>
    <row r="10" spans="1:28" x14ac:dyDescent="0.3">
      <c r="B10" s="367" t="s">
        <v>469</v>
      </c>
      <c r="C10" s="423">
        <v>2158</v>
      </c>
      <c r="D10" s="372" t="s">
        <v>448</v>
      </c>
      <c r="F10" s="393" t="s">
        <v>253</v>
      </c>
      <c r="G10" s="779">
        <v>653861</v>
      </c>
      <c r="H10" s="782">
        <v>32.32882998068397</v>
      </c>
      <c r="I10" s="438">
        <v>0.23564271363768463</v>
      </c>
      <c r="J10" s="438">
        <v>0.72</v>
      </c>
      <c r="K10" s="419">
        <f ca="1"/>
        <v>4981.1478999999999</v>
      </c>
      <c r="L10" s="420">
        <f ca="1"/>
        <v>16157.413200000001</v>
      </c>
      <c r="M10" s="421">
        <f ca="1"/>
        <v>21138.561100000003</v>
      </c>
      <c r="O10" s="393" t="s">
        <v>255</v>
      </c>
      <c r="P10" s="402">
        <v>79.5</v>
      </c>
      <c r="R10" s="411" t="str">
        <f ca="1"/>
        <v>Nyagatare</v>
      </c>
      <c r="S10" s="789">
        <v>45</v>
      </c>
      <c r="T10" s="790">
        <v>245.68361368236472</v>
      </c>
      <c r="U10" s="427" t="str">
        <f ca="1"/>
        <v>Kayonza</v>
      </c>
      <c r="V10" s="79">
        <v>139</v>
      </c>
      <c r="W10" s="79">
        <v>119</v>
      </c>
      <c r="X10" s="79">
        <v>170</v>
      </c>
      <c r="Y10" s="79">
        <v>179</v>
      </c>
      <c r="Z10" s="79">
        <v>175</v>
      </c>
      <c r="AA10" s="79">
        <v>88.5</v>
      </c>
      <c r="AB10" s="403">
        <v>367</v>
      </c>
    </row>
    <row r="11" spans="1:28" ht="15" thickBot="1" x14ac:dyDescent="0.35">
      <c r="B11" s="158" t="s">
        <v>470</v>
      </c>
      <c r="C11" s="370">
        <v>5</v>
      </c>
      <c r="D11" s="373" t="s">
        <v>457</v>
      </c>
      <c r="F11" s="393" t="s">
        <v>252</v>
      </c>
      <c r="G11" s="779">
        <v>484953</v>
      </c>
      <c r="H11" s="782">
        <v>34.849738840671158</v>
      </c>
      <c r="I11" s="438">
        <v>0.36600341372443657</v>
      </c>
      <c r="J11" s="438">
        <v>0.72</v>
      </c>
      <c r="K11" s="419">
        <f ca="1"/>
        <v>6185.6353499999996</v>
      </c>
      <c r="L11" s="420">
        <f ca="1"/>
        <v>10714.850049999999</v>
      </c>
      <c r="M11" s="421">
        <f ca="1"/>
        <v>16900.485399999998</v>
      </c>
      <c r="O11" s="393" t="s">
        <v>1086</v>
      </c>
      <c r="P11" s="402">
        <v>248</v>
      </c>
      <c r="R11" s="411" t="str">
        <f ca="1"/>
        <v>Rwamagana</v>
      </c>
      <c r="S11" s="789">
        <v>45</v>
      </c>
      <c r="T11" s="790">
        <v>211.9041092763309</v>
      </c>
      <c r="U11" s="427" t="str">
        <f ca="1"/>
        <v>Kayonza</v>
      </c>
      <c r="V11" s="79">
        <v>36.1</v>
      </c>
      <c r="W11" s="79">
        <v>65.400000000000006</v>
      </c>
      <c r="X11" s="79">
        <v>67.3</v>
      </c>
      <c r="Y11" s="79">
        <v>159</v>
      </c>
      <c r="Z11" s="79">
        <v>108</v>
      </c>
      <c r="AA11" s="79">
        <v>14</v>
      </c>
      <c r="AB11" s="403">
        <v>300</v>
      </c>
    </row>
    <row r="12" spans="1:28" ht="15.6" thickTop="1" thickBot="1" x14ac:dyDescent="0.35">
      <c r="F12" s="393" t="s">
        <v>230</v>
      </c>
      <c r="G12" s="779">
        <v>879505</v>
      </c>
      <c r="H12" s="782">
        <v>38.039743605778256</v>
      </c>
      <c r="I12" s="438">
        <v>0.8307120560128376</v>
      </c>
      <c r="J12" s="438">
        <v>0.86</v>
      </c>
      <c r="K12" s="419">
        <f ca="1"/>
        <v>27792.422750000005</v>
      </c>
      <c r="L12" s="420">
        <f ca="1"/>
        <v>5663.721950000001</v>
      </c>
      <c r="M12" s="421">
        <f ca="1"/>
        <v>33456.144700000004</v>
      </c>
      <c r="R12" s="411" t="str">
        <f ca="1"/>
        <v>Gasabo</v>
      </c>
      <c r="S12" s="789">
        <v>45</v>
      </c>
      <c r="T12" s="790">
        <v>91.487238093093538</v>
      </c>
      <c r="U12" s="427" t="str">
        <f ca="1"/>
        <v>Kabuga</v>
      </c>
      <c r="V12" s="79">
        <v>13.4</v>
      </c>
      <c r="W12" s="79">
        <v>22.5</v>
      </c>
      <c r="X12" s="79">
        <v>24.4</v>
      </c>
      <c r="Y12" s="79">
        <v>116</v>
      </c>
      <c r="Z12" s="79">
        <v>65.599999999999994</v>
      </c>
      <c r="AA12" s="79">
        <v>61.4</v>
      </c>
      <c r="AB12" s="403">
        <v>258</v>
      </c>
    </row>
    <row r="13" spans="1:28" ht="15.6" thickTop="1" thickBot="1" x14ac:dyDescent="0.35">
      <c r="B13" s="234" t="s">
        <v>472</v>
      </c>
      <c r="F13" s="393" t="s">
        <v>231</v>
      </c>
      <c r="G13" s="779">
        <v>491731</v>
      </c>
      <c r="H13" s="782">
        <v>37.15155562695864</v>
      </c>
      <c r="I13" s="438">
        <v>0.9908181765015498</v>
      </c>
      <c r="J13" s="438">
        <v>0.86</v>
      </c>
      <c r="K13" s="419">
        <f ca="1"/>
        <v>18100.832799999996</v>
      </c>
      <c r="L13" s="420">
        <f ca="1"/>
        <v>167.73880000000003</v>
      </c>
      <c r="M13" s="421">
        <f ca="1"/>
        <v>18268.571599999999</v>
      </c>
      <c r="R13" s="411" t="str">
        <f ca="1"/>
        <v>Kicukiro</v>
      </c>
      <c r="S13" s="789">
        <v>45</v>
      </c>
      <c r="T13" s="790">
        <v>50</v>
      </c>
      <c r="U13" s="427" t="str">
        <f ca="1"/>
        <v>Gahanga</v>
      </c>
      <c r="V13" s="79">
        <v>21.7</v>
      </c>
      <c r="W13" s="79">
        <v>20.100000000000001</v>
      </c>
      <c r="X13" s="79">
        <v>12.8</v>
      </c>
      <c r="Y13" s="79">
        <v>107</v>
      </c>
      <c r="Z13" s="79">
        <v>57.1</v>
      </c>
      <c r="AA13" s="79">
        <v>69.8</v>
      </c>
      <c r="AB13" s="403">
        <v>249</v>
      </c>
    </row>
    <row r="14" spans="1:28" ht="15" thickTop="1" x14ac:dyDescent="0.3">
      <c r="B14" s="157" t="s">
        <v>458</v>
      </c>
      <c r="C14" s="451">
        <v>0.02</v>
      </c>
      <c r="D14" s="371"/>
      <c r="F14" s="393" t="s">
        <v>229</v>
      </c>
      <c r="G14" s="779">
        <v>374319</v>
      </c>
      <c r="H14" s="782">
        <v>39.179932757888331</v>
      </c>
      <c r="I14" s="438">
        <v>0.85610344670582339</v>
      </c>
      <c r="J14" s="438">
        <v>0.86</v>
      </c>
      <c r="K14" s="419">
        <f ca="1"/>
        <v>12555.43615</v>
      </c>
      <c r="L14" s="420">
        <f ca="1"/>
        <v>2110.3571000000011</v>
      </c>
      <c r="M14" s="421">
        <f ca="1"/>
        <v>14665.793250000002</v>
      </c>
      <c r="R14" s="411" t="str">
        <f ca="1"/>
        <v>Nyarugenge</v>
      </c>
      <c r="S14" s="789">
        <v>45</v>
      </c>
      <c r="T14" s="790">
        <v>84.907735273468802</v>
      </c>
      <c r="U14" s="427" t="str">
        <f ca="1"/>
        <v>Jabana</v>
      </c>
      <c r="V14" s="79">
        <v>26.6</v>
      </c>
      <c r="W14" s="79">
        <v>13</v>
      </c>
      <c r="X14" s="79">
        <v>20.9</v>
      </c>
      <c r="Y14" s="79">
        <v>101</v>
      </c>
      <c r="Z14" s="79">
        <v>50.2</v>
      </c>
      <c r="AA14" s="79">
        <v>74.599999999999994</v>
      </c>
      <c r="AB14" s="403">
        <v>242</v>
      </c>
    </row>
    <row r="15" spans="1:28" x14ac:dyDescent="0.3">
      <c r="B15" s="367" t="s">
        <v>456</v>
      </c>
      <c r="C15" s="369">
        <v>15</v>
      </c>
      <c r="D15" s="372" t="s">
        <v>457</v>
      </c>
      <c r="F15" s="393" t="s">
        <v>250</v>
      </c>
      <c r="G15" s="779">
        <v>387729</v>
      </c>
      <c r="H15" s="782">
        <v>31.973481091174506</v>
      </c>
      <c r="I15" s="438">
        <v>0.10420459564566344</v>
      </c>
      <c r="J15" s="438">
        <v>0.83</v>
      </c>
      <c r="K15" s="419">
        <f ca="1"/>
        <v>1291.8291499999998</v>
      </c>
      <c r="L15" s="420">
        <f ca="1"/>
        <v>11105.216699999999</v>
      </c>
      <c r="M15" s="421">
        <f ca="1"/>
        <v>12397.04585</v>
      </c>
      <c r="R15" s="411" t="str">
        <f ca="1"/>
        <v>Burera</v>
      </c>
      <c r="S15" s="789">
        <v>45</v>
      </c>
      <c r="T15" s="790">
        <v>279.74230225091048</v>
      </c>
      <c r="U15" s="427" t="str">
        <f ca="1"/>
        <v>Musanze</v>
      </c>
      <c r="V15" s="79">
        <v>106</v>
      </c>
      <c r="W15" s="79">
        <v>87.7</v>
      </c>
      <c r="X15" s="79">
        <v>101</v>
      </c>
      <c r="Y15" s="79">
        <v>48.9</v>
      </c>
      <c r="Z15" s="79">
        <v>120</v>
      </c>
      <c r="AA15" s="79">
        <v>155</v>
      </c>
      <c r="AB15" s="403">
        <v>297</v>
      </c>
    </row>
    <row r="16" spans="1:28" x14ac:dyDescent="0.3">
      <c r="B16" s="367" t="s">
        <v>473</v>
      </c>
      <c r="C16" s="423">
        <v>830</v>
      </c>
      <c r="D16" s="372" t="s">
        <v>448</v>
      </c>
      <c r="F16" s="393" t="s">
        <v>248</v>
      </c>
      <c r="G16" s="779">
        <v>365292</v>
      </c>
      <c r="H16" s="782">
        <v>34.147578101902042</v>
      </c>
      <c r="I16" s="438">
        <v>3.7761504036316139E-2</v>
      </c>
      <c r="J16" s="438">
        <v>0.83</v>
      </c>
      <c r="K16" s="419">
        <f ca="1"/>
        <v>471.03085000000004</v>
      </c>
      <c r="L16" s="420">
        <f ca="1"/>
        <v>12002.806250000001</v>
      </c>
      <c r="M16" s="421">
        <f ca="1"/>
        <v>12473.837100000001</v>
      </c>
      <c r="R16" s="411" t="str">
        <f ca="1"/>
        <v>Gakenke</v>
      </c>
      <c r="S16" s="789">
        <v>45</v>
      </c>
      <c r="T16" s="790">
        <v>296.95926030862915</v>
      </c>
      <c r="U16" s="427" t="str">
        <f ca="1"/>
        <v>Musanze</v>
      </c>
      <c r="V16" s="79">
        <v>94.1</v>
      </c>
      <c r="W16" s="79">
        <v>75.400000000000006</v>
      </c>
      <c r="X16" s="79">
        <v>88.5</v>
      </c>
      <c r="Y16" s="79">
        <v>44.1</v>
      </c>
      <c r="Z16" s="79">
        <v>107</v>
      </c>
      <c r="AA16" s="79">
        <v>142</v>
      </c>
      <c r="AB16" s="403">
        <v>293</v>
      </c>
    </row>
    <row r="17" spans="2:28" x14ac:dyDescent="0.3">
      <c r="B17" s="367" t="s">
        <v>474</v>
      </c>
      <c r="C17" s="423">
        <v>4316</v>
      </c>
      <c r="D17" s="372" t="s">
        <v>448</v>
      </c>
      <c r="F17" s="393" t="s">
        <v>251</v>
      </c>
      <c r="G17" s="779">
        <v>448824</v>
      </c>
      <c r="H17" s="782">
        <v>31.348352917847535</v>
      </c>
      <c r="I17" s="438">
        <v>2.602678613803119E-2</v>
      </c>
      <c r="J17" s="438">
        <v>0.83</v>
      </c>
      <c r="K17" s="419">
        <f ca="1"/>
        <v>366.19410000000005</v>
      </c>
      <c r="L17" s="420">
        <f ca="1"/>
        <v>13703.699050000003</v>
      </c>
      <c r="M17" s="421">
        <f ca="1"/>
        <v>14069.893150000002</v>
      </c>
      <c r="R17" s="411" t="str">
        <f ca="1"/>
        <v>Gicumbi</v>
      </c>
      <c r="S17" s="789">
        <v>45</v>
      </c>
      <c r="T17" s="790">
        <v>300</v>
      </c>
      <c r="U17" s="427" t="str">
        <f ca="1"/>
        <v>Jabana</v>
      </c>
      <c r="V17" s="79">
        <v>77.5</v>
      </c>
      <c r="W17" s="79">
        <v>48.9</v>
      </c>
      <c r="X17" s="79">
        <v>76.7</v>
      </c>
      <c r="Y17" s="79">
        <v>92.7</v>
      </c>
      <c r="Z17" s="79">
        <v>105</v>
      </c>
      <c r="AA17" s="79">
        <v>88.3</v>
      </c>
      <c r="AB17" s="403">
        <v>297</v>
      </c>
    </row>
    <row r="18" spans="2:28" ht="15" thickBot="1" x14ac:dyDescent="0.35">
      <c r="B18" s="158" t="s">
        <v>475</v>
      </c>
      <c r="C18" s="370">
        <v>3</v>
      </c>
      <c r="D18" s="373" t="s">
        <v>457</v>
      </c>
      <c r="F18" s="393" t="s">
        <v>249</v>
      </c>
      <c r="G18" s="779">
        <v>476522</v>
      </c>
      <c r="H18" s="782">
        <v>34.39601518922526</v>
      </c>
      <c r="I18" s="438">
        <v>0.50670175753081992</v>
      </c>
      <c r="J18" s="438">
        <v>0.83</v>
      </c>
      <c r="K18" s="419">
        <f ca="1"/>
        <v>8305.0738499999989</v>
      </c>
      <c r="L18" s="420">
        <f ca="1"/>
        <v>8085.3840999999993</v>
      </c>
      <c r="M18" s="421">
        <f ca="1"/>
        <v>16390.45795</v>
      </c>
      <c r="R18" s="411" t="str">
        <f ca="1"/>
        <v>Musanze</v>
      </c>
      <c r="S18" s="789">
        <v>45</v>
      </c>
      <c r="T18" s="790">
        <v>175.44587975342586</v>
      </c>
      <c r="U18" s="427" t="str">
        <f ca="1"/>
        <v>Musanze</v>
      </c>
      <c r="V18" s="79">
        <v>129</v>
      </c>
      <c r="W18" s="79">
        <v>110</v>
      </c>
      <c r="X18" s="79">
        <v>123</v>
      </c>
      <c r="Y18" s="79">
        <v>10.199999999999999</v>
      </c>
      <c r="Z18" s="79">
        <v>130</v>
      </c>
      <c r="AA18" s="79">
        <v>177</v>
      </c>
      <c r="AB18" s="403">
        <v>259</v>
      </c>
    </row>
    <row r="19" spans="2:28" ht="15.6" thickTop="1" thickBot="1" x14ac:dyDescent="0.35">
      <c r="F19" s="393" t="s">
        <v>247</v>
      </c>
      <c r="G19" s="779">
        <v>360144</v>
      </c>
      <c r="H19" s="782">
        <v>34.617522851970328</v>
      </c>
      <c r="I19" s="438">
        <v>0.11552922776986278</v>
      </c>
      <c r="J19" s="438">
        <v>0.83</v>
      </c>
      <c r="K19" s="419">
        <f ca="1"/>
        <v>1440.3367500000002</v>
      </c>
      <c r="L19" s="420">
        <f ca="1"/>
        <v>11026.956400000003</v>
      </c>
      <c r="M19" s="421">
        <f ca="1"/>
        <v>12467.293150000001</v>
      </c>
      <c r="R19" s="411" t="str">
        <f ca="1"/>
        <v>Rulindo</v>
      </c>
      <c r="S19" s="789">
        <v>45</v>
      </c>
      <c r="T19" s="790">
        <v>276.80782536883225</v>
      </c>
      <c r="U19" s="427" t="str">
        <f ca="1"/>
        <v>Jabana</v>
      </c>
      <c r="V19" s="79">
        <v>53.2</v>
      </c>
      <c r="W19" s="79">
        <v>30.4</v>
      </c>
      <c r="X19" s="79">
        <v>51.7</v>
      </c>
      <c r="Y19" s="79">
        <v>73.2</v>
      </c>
      <c r="Z19" s="79">
        <v>77.8</v>
      </c>
      <c r="AA19" s="79">
        <v>85.9</v>
      </c>
      <c r="AB19" s="403">
        <v>270</v>
      </c>
    </row>
    <row r="20" spans="2:28" ht="15.6" thickTop="1" thickBot="1" x14ac:dyDescent="0.35">
      <c r="B20" s="234" t="s">
        <v>476</v>
      </c>
      <c r="F20" s="393" t="s">
        <v>240</v>
      </c>
      <c r="G20" s="779">
        <v>373869</v>
      </c>
      <c r="H20" s="782">
        <v>32.57404197727012</v>
      </c>
      <c r="I20" s="438">
        <v>8.9637021603245964E-2</v>
      </c>
      <c r="J20" s="438">
        <v>0.79</v>
      </c>
      <c r="K20" s="419">
        <f ca="1"/>
        <v>1091.6377000000002</v>
      </c>
      <c r="L20" s="420">
        <f ca="1"/>
        <v>11086.786800000003</v>
      </c>
      <c r="M20" s="421">
        <f ca="1"/>
        <v>12178.424500000001</v>
      </c>
      <c r="R20" s="411" t="str">
        <f ca="1"/>
        <v>Karongi</v>
      </c>
      <c r="S20" s="789">
        <v>45</v>
      </c>
      <c r="T20" s="790">
        <v>283.51710118359176</v>
      </c>
      <c r="U20" s="427" t="str">
        <f ca="1"/>
        <v>Muhanga</v>
      </c>
      <c r="V20" s="79">
        <v>156</v>
      </c>
      <c r="W20" s="79">
        <v>138</v>
      </c>
      <c r="X20" s="79">
        <v>151</v>
      </c>
      <c r="Y20" s="79">
        <v>135</v>
      </c>
      <c r="Z20" s="79">
        <v>83.5</v>
      </c>
      <c r="AA20" s="79">
        <v>204</v>
      </c>
      <c r="AB20" s="403">
        <v>139</v>
      </c>
    </row>
    <row r="21" spans="2:28" ht="15" thickTop="1" x14ac:dyDescent="0.3">
      <c r="B21" s="157" t="s">
        <v>449</v>
      </c>
      <c r="C21" s="368">
        <v>24</v>
      </c>
      <c r="D21" s="371" t="s">
        <v>467</v>
      </c>
      <c r="F21" s="393" t="s">
        <v>244</v>
      </c>
      <c r="G21" s="779">
        <v>367955</v>
      </c>
      <c r="H21" s="782">
        <v>33.255476213123892</v>
      </c>
      <c r="I21" s="438">
        <v>4.548976807639836E-2</v>
      </c>
      <c r="J21" s="438">
        <v>0.79</v>
      </c>
      <c r="K21" s="419">
        <f ca="1"/>
        <v>556.63639999999998</v>
      </c>
      <c r="L21" s="420">
        <f ca="1"/>
        <v>11679.882350000002</v>
      </c>
      <c r="M21" s="421">
        <f ca="1"/>
        <v>12236.518750000001</v>
      </c>
      <c r="R21" s="411" t="str">
        <f ca="1"/>
        <v>Ngororero</v>
      </c>
      <c r="S21" s="789">
        <v>45</v>
      </c>
      <c r="T21" s="790">
        <v>294.95668645762021</v>
      </c>
      <c r="U21" s="427" t="str">
        <f ca="1"/>
        <v>Muhanga</v>
      </c>
      <c r="V21" s="79">
        <v>122</v>
      </c>
      <c r="W21" s="79">
        <v>103</v>
      </c>
      <c r="X21" s="79">
        <v>116</v>
      </c>
      <c r="Y21" s="79">
        <v>70.599999999999994</v>
      </c>
      <c r="Z21" s="79">
        <v>49.4</v>
      </c>
      <c r="AA21" s="79">
        <v>170</v>
      </c>
      <c r="AB21" s="403">
        <v>199</v>
      </c>
    </row>
    <row r="22" spans="2:28" x14ac:dyDescent="0.3">
      <c r="B22" s="367" t="s">
        <v>450</v>
      </c>
      <c r="C22" s="423">
        <v>200380</v>
      </c>
      <c r="D22" s="372" t="s">
        <v>448</v>
      </c>
      <c r="F22" s="393" t="s">
        <v>243</v>
      </c>
      <c r="G22" s="779">
        <v>319047</v>
      </c>
      <c r="H22" s="782">
        <v>32.233551012860183</v>
      </c>
      <c r="I22" s="438">
        <v>0.25464580222063504</v>
      </c>
      <c r="J22" s="438">
        <v>0.79</v>
      </c>
      <c r="K22" s="419">
        <f ca="1"/>
        <v>2618.7819500000005</v>
      </c>
      <c r="L22" s="420">
        <f ca="1"/>
        <v>7665.2358000000004</v>
      </c>
      <c r="M22" s="421">
        <f ca="1"/>
        <v>10284.017750000003</v>
      </c>
      <c r="R22" s="411" t="str">
        <f ca="1"/>
        <v>Nyabihu</v>
      </c>
      <c r="S22" s="789">
        <v>45</v>
      </c>
      <c r="T22" s="790">
        <v>240.75946925778857</v>
      </c>
      <c r="U22" s="427" t="str">
        <f ca="1"/>
        <v>Musanze</v>
      </c>
      <c r="V22" s="79">
        <v>149</v>
      </c>
      <c r="W22" s="79">
        <v>130</v>
      </c>
      <c r="X22" s="79">
        <v>143</v>
      </c>
      <c r="Y22" s="79">
        <v>23.6</v>
      </c>
      <c r="Z22" s="79">
        <v>99.1</v>
      </c>
      <c r="AA22" s="79">
        <v>197</v>
      </c>
      <c r="AB22" s="403">
        <v>238</v>
      </c>
    </row>
    <row r="23" spans="2:28" x14ac:dyDescent="0.3">
      <c r="B23" s="367" t="s">
        <v>451</v>
      </c>
      <c r="C23" s="369">
        <v>34.5</v>
      </c>
      <c r="D23" s="372" t="s">
        <v>452</v>
      </c>
      <c r="F23" s="393" t="s">
        <v>246</v>
      </c>
      <c r="G23" s="779">
        <v>434221</v>
      </c>
      <c r="H23" s="782">
        <v>29.442629329304669</v>
      </c>
      <c r="I23" s="438">
        <v>8.9638458565325027E-2</v>
      </c>
      <c r="J23" s="438">
        <v>0.79</v>
      </c>
      <c r="K23" s="419">
        <f ca="1"/>
        <v>1145.9925500000004</v>
      </c>
      <c r="L23" s="420">
        <f ca="1"/>
        <v>11638.615400000002</v>
      </c>
      <c r="M23" s="421">
        <f ca="1"/>
        <v>12784.607950000003</v>
      </c>
      <c r="R23" s="411" t="str">
        <f ca="1"/>
        <v>Nyamasheke</v>
      </c>
      <c r="S23" s="789">
        <v>45</v>
      </c>
      <c r="T23" s="790">
        <v>283.51672883312995</v>
      </c>
      <c r="U23" s="427" t="str">
        <f ca="1"/>
        <v>Kamembe</v>
      </c>
      <c r="V23" s="79">
        <v>223</v>
      </c>
      <c r="W23" s="79">
        <v>204</v>
      </c>
      <c r="X23" s="79">
        <v>217</v>
      </c>
      <c r="Y23" s="79">
        <v>202</v>
      </c>
      <c r="Z23" s="79">
        <v>150</v>
      </c>
      <c r="AA23" s="79">
        <v>271</v>
      </c>
      <c r="AB23" s="403">
        <v>54.2</v>
      </c>
    </row>
    <row r="24" spans="2:28" x14ac:dyDescent="0.3">
      <c r="B24" s="367" t="s">
        <v>453</v>
      </c>
      <c r="C24" s="423">
        <v>2575</v>
      </c>
      <c r="D24" s="372" t="s">
        <v>465</v>
      </c>
      <c r="F24" s="393" t="s">
        <v>242</v>
      </c>
      <c r="G24" s="779">
        <v>546683</v>
      </c>
      <c r="H24" s="782">
        <v>30.513471792611078</v>
      </c>
      <c r="I24" s="438">
        <v>0.54105487326469504</v>
      </c>
      <c r="J24" s="438">
        <v>0.79</v>
      </c>
      <c r="K24" s="419">
        <f ca="1"/>
        <v>9025.4425500000016</v>
      </c>
      <c r="L24" s="420">
        <f ca="1"/>
        <v>7655.7537500000017</v>
      </c>
      <c r="M24" s="421">
        <f ca="1"/>
        <v>16681.196300000003</v>
      </c>
      <c r="R24" s="411" t="str">
        <f ca="1"/>
        <v>Rubavu</v>
      </c>
      <c r="S24" s="789">
        <v>45</v>
      </c>
      <c r="T24" s="790">
        <v>166.54418450691992</v>
      </c>
      <c r="U24" s="427" t="str">
        <f ca="1"/>
        <v>Musanze</v>
      </c>
      <c r="V24" s="79">
        <v>180</v>
      </c>
      <c r="W24" s="79">
        <v>161</v>
      </c>
      <c r="X24" s="79">
        <v>174</v>
      </c>
      <c r="Y24" s="79">
        <v>54.7</v>
      </c>
      <c r="Z24" s="79">
        <v>141</v>
      </c>
      <c r="AA24" s="79">
        <v>228</v>
      </c>
      <c r="AB24" s="403">
        <v>207</v>
      </c>
    </row>
    <row r="25" spans="2:28" x14ac:dyDescent="0.3">
      <c r="B25" s="367" t="s">
        <v>454</v>
      </c>
      <c r="C25" s="756">
        <v>0.20274</v>
      </c>
      <c r="D25" s="372" t="s">
        <v>455</v>
      </c>
      <c r="F25" s="393" t="s">
        <v>245</v>
      </c>
      <c r="G25" s="779">
        <v>485529</v>
      </c>
      <c r="H25" s="782">
        <v>28.401128871807867</v>
      </c>
      <c r="I25" s="438">
        <v>0.31921281499990317</v>
      </c>
      <c r="J25" s="438">
        <v>0.79</v>
      </c>
      <c r="K25" s="419">
        <f ca="1"/>
        <v>4401.8080000000009</v>
      </c>
      <c r="L25" s="420">
        <f ca="1"/>
        <v>9387.7637000000013</v>
      </c>
      <c r="M25" s="421">
        <f ca="1"/>
        <v>13789.5717</v>
      </c>
      <c r="R25" s="411" t="str">
        <f ca="1"/>
        <v>Rusizi</v>
      </c>
      <c r="S25" s="789">
        <v>45</v>
      </c>
      <c r="T25" s="790">
        <v>224.02864707587102</v>
      </c>
      <c r="U25" s="427" t="str">
        <f ca="1"/>
        <v>Kamembe</v>
      </c>
      <c r="V25" s="79">
        <v>266</v>
      </c>
      <c r="W25" s="79">
        <v>247</v>
      </c>
      <c r="X25" s="79">
        <v>260</v>
      </c>
      <c r="Y25" s="79">
        <v>245</v>
      </c>
      <c r="Z25" s="79">
        <v>193</v>
      </c>
      <c r="AA25" s="79">
        <v>314</v>
      </c>
      <c r="AB25" s="403">
        <v>1.4</v>
      </c>
    </row>
    <row r="26" spans="2:28" x14ac:dyDescent="0.3">
      <c r="B26" s="367" t="s">
        <v>456</v>
      </c>
      <c r="C26" s="369">
        <v>15</v>
      </c>
      <c r="D26" s="372" t="s">
        <v>457</v>
      </c>
      <c r="F26" s="393" t="s">
        <v>241</v>
      </c>
      <c r="G26" s="779">
        <v>369180</v>
      </c>
      <c r="H26" s="782">
        <v>31.720928544341518</v>
      </c>
      <c r="I26" s="438">
        <v>5.3724568926192866E-2</v>
      </c>
      <c r="J26" s="438">
        <v>0.79</v>
      </c>
      <c r="K26" s="419">
        <f ca="1"/>
        <v>629.15405000000021</v>
      </c>
      <c r="L26" s="420">
        <f ca="1"/>
        <v>11081.578350000003</v>
      </c>
      <c r="M26" s="421">
        <f ca="1"/>
        <v>11710.732400000003</v>
      </c>
      <c r="R26" s="411" t="str">
        <f ca="1"/>
        <v>Rutsiro</v>
      </c>
      <c r="S26" s="789">
        <v>45</v>
      </c>
      <c r="T26" s="790">
        <v>292.82285707956896</v>
      </c>
      <c r="U26" s="427" t="str">
        <f ca="1"/>
        <v>Musanze</v>
      </c>
      <c r="V26" s="79">
        <v>177</v>
      </c>
      <c r="W26" s="79">
        <v>158</v>
      </c>
      <c r="X26" s="79">
        <v>171</v>
      </c>
      <c r="Y26" s="79">
        <v>88.4</v>
      </c>
      <c r="Z26" s="79">
        <v>104</v>
      </c>
      <c r="AA26" s="79">
        <v>225</v>
      </c>
      <c r="AB26" s="403">
        <v>174</v>
      </c>
    </row>
    <row r="27" spans="2:28" x14ac:dyDescent="0.3">
      <c r="B27" s="367" t="s">
        <v>458</v>
      </c>
      <c r="C27" s="450">
        <v>0.02</v>
      </c>
      <c r="D27" s="372"/>
      <c r="F27" s="393" t="s">
        <v>233</v>
      </c>
      <c r="G27" s="779">
        <v>397051</v>
      </c>
      <c r="H27" s="782">
        <v>34.472328239949029</v>
      </c>
      <c r="I27" s="438">
        <v>4.0365701350401996E-2</v>
      </c>
      <c r="J27" s="438">
        <v>0.76</v>
      </c>
      <c r="K27" s="419">
        <f ca="1"/>
        <v>552.49635000000012</v>
      </c>
      <c r="L27" s="420">
        <f ca="1"/>
        <v>13134.776050000002</v>
      </c>
      <c r="M27" s="421">
        <f ca="1"/>
        <v>13687.272400000002</v>
      </c>
      <c r="R27" s="411" t="str">
        <f ca="1"/>
        <v>Gisagara</v>
      </c>
      <c r="S27" s="789">
        <v>45</v>
      </c>
      <c r="T27" s="790">
        <v>296.2844519147896</v>
      </c>
      <c r="U27" s="427" t="str">
        <f ca="1"/>
        <v>Muhanga</v>
      </c>
      <c r="V27" s="79">
        <v>159</v>
      </c>
      <c r="W27" s="79">
        <v>140</v>
      </c>
      <c r="X27" s="79">
        <v>153</v>
      </c>
      <c r="Y27" s="79">
        <v>204</v>
      </c>
      <c r="Z27" s="79">
        <v>84.7</v>
      </c>
      <c r="AA27" s="79">
        <v>207</v>
      </c>
      <c r="AB27" s="403">
        <v>168</v>
      </c>
    </row>
    <row r="28" spans="2:28" x14ac:dyDescent="0.3">
      <c r="B28" s="367" t="s">
        <v>469</v>
      </c>
      <c r="C28" s="423">
        <v>456.5</v>
      </c>
      <c r="D28" s="372" t="s">
        <v>448</v>
      </c>
      <c r="F28" s="393" t="s">
        <v>235</v>
      </c>
      <c r="G28" s="779">
        <v>381900</v>
      </c>
      <c r="H28" s="782">
        <v>35.162221785807802</v>
      </c>
      <c r="I28" s="438">
        <v>0.20913973147687717</v>
      </c>
      <c r="J28" s="438">
        <v>0.76</v>
      </c>
      <c r="K28" s="419">
        <f ca="1"/>
        <v>2808.4229499999997</v>
      </c>
      <c r="L28" s="420">
        <f ca="1"/>
        <v>10620.029550000001</v>
      </c>
      <c r="M28" s="421">
        <f ca="1"/>
        <v>13428.452499999999</v>
      </c>
      <c r="R28" s="411" t="str">
        <f ca="1"/>
        <v>Huye</v>
      </c>
      <c r="S28" s="789">
        <v>45</v>
      </c>
      <c r="T28" s="790">
        <v>252.55115583332173</v>
      </c>
      <c r="U28" s="427" t="str">
        <f ca="1"/>
        <v>Muhanga</v>
      </c>
      <c r="V28" s="79">
        <v>151</v>
      </c>
      <c r="W28" s="79">
        <v>133</v>
      </c>
      <c r="X28" s="79">
        <v>146</v>
      </c>
      <c r="Y28" s="79">
        <v>196</v>
      </c>
      <c r="Z28" s="79">
        <v>77</v>
      </c>
      <c r="AA28" s="79">
        <v>199</v>
      </c>
      <c r="AB28" s="403">
        <v>147</v>
      </c>
    </row>
    <row r="29" spans="2:28" x14ac:dyDescent="0.3">
      <c r="B29" s="367" t="s">
        <v>470</v>
      </c>
      <c r="C29" s="369">
        <v>5</v>
      </c>
      <c r="D29" s="372" t="s">
        <v>457</v>
      </c>
      <c r="F29" s="393" t="s">
        <v>239</v>
      </c>
      <c r="G29" s="779">
        <v>450849</v>
      </c>
      <c r="H29" s="782">
        <v>34.450259399488523</v>
      </c>
      <c r="I29" s="438">
        <v>0.31979363714531384</v>
      </c>
      <c r="J29" s="438">
        <v>0.76</v>
      </c>
      <c r="K29" s="419">
        <f ca="1"/>
        <v>4966.9916000000003</v>
      </c>
      <c r="L29" s="420">
        <f ca="1"/>
        <v>10564.873400000002</v>
      </c>
      <c r="M29" s="421">
        <f ca="1"/>
        <v>15531.865000000002</v>
      </c>
      <c r="R29" s="411" t="str">
        <f ca="1"/>
        <v>Kamonyi</v>
      </c>
      <c r="S29" s="789">
        <v>45</v>
      </c>
      <c r="T29" s="790">
        <v>223.87814248202511</v>
      </c>
      <c r="U29" s="427" t="str">
        <f ca="1"/>
        <v>Muhanga</v>
      </c>
      <c r="V29" s="79">
        <v>53.3</v>
      </c>
      <c r="W29" s="79">
        <v>34.5</v>
      </c>
      <c r="X29" s="79">
        <v>47.7</v>
      </c>
      <c r="Y29" s="79">
        <v>117</v>
      </c>
      <c r="Z29" s="79">
        <v>25</v>
      </c>
      <c r="AA29" s="79">
        <v>101</v>
      </c>
      <c r="AB29" s="403">
        <v>217</v>
      </c>
    </row>
    <row r="30" spans="2:28" ht="15" thickBot="1" x14ac:dyDescent="0.35">
      <c r="B30" s="158" t="s">
        <v>459</v>
      </c>
      <c r="C30" s="370">
        <v>20</v>
      </c>
      <c r="D30" s="373" t="s">
        <v>460</v>
      </c>
      <c r="F30" s="393" t="s">
        <v>238</v>
      </c>
      <c r="G30" s="779">
        <v>358433</v>
      </c>
      <c r="H30" s="782">
        <v>34.793204169258971</v>
      </c>
      <c r="I30" s="438">
        <v>0.23566892622696267</v>
      </c>
      <c r="J30" s="438">
        <v>0.76</v>
      </c>
      <c r="K30" s="419">
        <f ca="1"/>
        <v>2939.0348500000005</v>
      </c>
      <c r="L30" s="420">
        <f ca="1"/>
        <v>9531.9977000000017</v>
      </c>
      <c r="M30" s="421">
        <f ca="1"/>
        <v>12471.03255</v>
      </c>
      <c r="R30" s="411" t="str">
        <f ca="1"/>
        <v>Muhanga</v>
      </c>
      <c r="S30" s="789">
        <v>45</v>
      </c>
      <c r="T30" s="790">
        <v>245.67682138779725</v>
      </c>
      <c r="U30" s="427" t="str">
        <f ca="1"/>
        <v>Muhanga</v>
      </c>
      <c r="V30" s="79">
        <v>80.400000000000006</v>
      </c>
      <c r="W30" s="79">
        <v>61.7</v>
      </c>
      <c r="X30" s="79">
        <v>74.8</v>
      </c>
      <c r="Y30" s="79">
        <v>117</v>
      </c>
      <c r="Z30" s="79">
        <v>7.7</v>
      </c>
      <c r="AA30" s="79">
        <v>128</v>
      </c>
      <c r="AB30" s="403">
        <v>193</v>
      </c>
    </row>
    <row r="31" spans="2:28" ht="15.6" thickTop="1" thickBot="1" x14ac:dyDescent="0.35">
      <c r="F31" s="393" t="s">
        <v>236</v>
      </c>
      <c r="G31" s="779">
        <v>371501</v>
      </c>
      <c r="H31" s="782">
        <v>33.678954565398207</v>
      </c>
      <c r="I31" s="438">
        <v>0.11709326900497406</v>
      </c>
      <c r="J31" s="438">
        <v>0.76</v>
      </c>
      <c r="K31" s="419">
        <f ca="1"/>
        <v>1465.0434999999998</v>
      </c>
      <c r="L31" s="420">
        <f ca="1"/>
        <v>11046.721799999999</v>
      </c>
      <c r="M31" s="421">
        <f ca="1"/>
        <v>12511.765299999999</v>
      </c>
      <c r="R31" s="411" t="str">
        <f ca="1"/>
        <v>Nyamagabe</v>
      </c>
      <c r="S31" s="789">
        <v>45</v>
      </c>
      <c r="T31" s="790">
        <v>276.40254572736433</v>
      </c>
      <c r="U31" s="427" t="str">
        <f ca="1"/>
        <v>Muhanga</v>
      </c>
      <c r="V31" s="79">
        <v>202</v>
      </c>
      <c r="W31" s="79">
        <v>184</v>
      </c>
      <c r="X31" s="79">
        <v>197</v>
      </c>
      <c r="Y31" s="79">
        <v>187</v>
      </c>
      <c r="Z31" s="79">
        <v>128</v>
      </c>
      <c r="AA31" s="79">
        <v>251</v>
      </c>
      <c r="AB31" s="403">
        <v>129</v>
      </c>
    </row>
    <row r="32" spans="2:28" ht="15.6" thickTop="1" thickBot="1" x14ac:dyDescent="0.35">
      <c r="B32" s="234" t="s">
        <v>477</v>
      </c>
      <c r="F32" s="393" t="s">
        <v>232</v>
      </c>
      <c r="G32" s="779">
        <v>365718</v>
      </c>
      <c r="H32" s="782">
        <v>33.188663806539466</v>
      </c>
      <c r="I32" s="438">
        <v>6.3508829839907577E-2</v>
      </c>
      <c r="J32" s="438">
        <v>0.76</v>
      </c>
      <c r="K32" s="419">
        <f ca="1"/>
        <v>770.85059999999999</v>
      </c>
      <c r="L32" s="420">
        <f ca="1"/>
        <v>11366.84115</v>
      </c>
      <c r="M32" s="421">
        <f ca="1"/>
        <v>12137.69175</v>
      </c>
      <c r="R32" s="411" t="str">
        <f ca="1"/>
        <v>Nyanza</v>
      </c>
      <c r="S32" s="789">
        <v>45</v>
      </c>
      <c r="T32" s="790">
        <v>290.28752638232146</v>
      </c>
      <c r="U32" s="427" t="str">
        <f ca="1"/>
        <v>Muhanga</v>
      </c>
      <c r="V32" s="79">
        <v>114</v>
      </c>
      <c r="W32" s="79">
        <v>95.4</v>
      </c>
      <c r="X32" s="79">
        <v>109</v>
      </c>
      <c r="Y32" s="79">
        <v>159</v>
      </c>
      <c r="Z32" s="79">
        <v>39.9</v>
      </c>
      <c r="AA32" s="79">
        <v>162</v>
      </c>
      <c r="AB32" s="403">
        <v>182</v>
      </c>
    </row>
    <row r="33" spans="2:28" ht="15" thickTop="1" x14ac:dyDescent="0.3">
      <c r="B33" s="157" t="s">
        <v>1138</v>
      </c>
      <c r="C33" s="424">
        <v>7000000</v>
      </c>
      <c r="D33" s="371" t="s">
        <v>448</v>
      </c>
      <c r="F33" s="393" t="s">
        <v>234</v>
      </c>
      <c r="G33" s="779">
        <v>318126</v>
      </c>
      <c r="H33" s="782">
        <v>31.42345532902058</v>
      </c>
      <c r="I33" s="438">
        <v>3.52156894179258E-2</v>
      </c>
      <c r="J33" s="438">
        <v>0.76</v>
      </c>
      <c r="K33" s="419">
        <f ca="1"/>
        <v>352.0378</v>
      </c>
      <c r="L33" s="420">
        <f ca="1"/>
        <v>9644.5803500000002</v>
      </c>
      <c r="M33" s="421">
        <f ca="1"/>
        <v>9996.6181500000002</v>
      </c>
      <c r="R33" s="411" t="str">
        <f ca="1"/>
        <v>Nyaruguru</v>
      </c>
      <c r="S33" s="789">
        <v>45</v>
      </c>
      <c r="T33" s="790">
        <v>297.61894038139366</v>
      </c>
      <c r="U33" s="427" t="str">
        <f ca="1"/>
        <v>Muhanga</v>
      </c>
      <c r="V33" s="79">
        <v>207</v>
      </c>
      <c r="W33" s="79">
        <v>188</v>
      </c>
      <c r="X33" s="79">
        <v>201</v>
      </c>
      <c r="Y33" s="79">
        <v>252</v>
      </c>
      <c r="Z33" s="79">
        <v>133</v>
      </c>
      <c r="AA33" s="79">
        <v>255</v>
      </c>
      <c r="AB33" s="403">
        <v>145</v>
      </c>
    </row>
    <row r="34" spans="2:28" x14ac:dyDescent="0.3">
      <c r="B34" s="367" t="s">
        <v>453</v>
      </c>
      <c r="C34" s="423">
        <v>348400</v>
      </c>
      <c r="D34" s="372" t="s">
        <v>465</v>
      </c>
      <c r="F34" s="393" t="s">
        <v>237</v>
      </c>
      <c r="G34" s="779">
        <v>359121</v>
      </c>
      <c r="H34" s="782">
        <v>34.853730775978015</v>
      </c>
      <c r="I34" s="438">
        <v>0.10114913094971352</v>
      </c>
      <c r="J34" s="438">
        <v>0.76</v>
      </c>
      <c r="K34" s="419">
        <f ca="1"/>
        <v>1266.0540000000001</v>
      </c>
      <c r="L34" s="420">
        <f ca="1"/>
        <v>11250.65265</v>
      </c>
      <c r="M34" s="421">
        <f ca="1"/>
        <v>12516.70665</v>
      </c>
      <c r="R34" s="411" t="str">
        <f ca="1"/>
        <v>Ruhango</v>
      </c>
      <c r="S34" s="789">
        <v>45</v>
      </c>
      <c r="T34" s="790">
        <v>280.53404457118518</v>
      </c>
      <c r="U34" s="427" t="str">
        <f ca="1"/>
        <v>Musanze</v>
      </c>
      <c r="V34" s="79">
        <v>214</v>
      </c>
      <c r="W34" s="79">
        <v>195</v>
      </c>
      <c r="X34" s="79">
        <v>208</v>
      </c>
      <c r="Y34" s="79">
        <v>88.4</v>
      </c>
      <c r="Z34" s="79">
        <v>117</v>
      </c>
      <c r="AA34" s="79">
        <v>262</v>
      </c>
      <c r="AB34" s="403">
        <v>187</v>
      </c>
    </row>
    <row r="35" spans="2:28" x14ac:dyDescent="0.3">
      <c r="B35" s="367" t="s">
        <v>454</v>
      </c>
      <c r="C35" s="423">
        <v>35</v>
      </c>
      <c r="D35" s="372" t="s">
        <v>466</v>
      </c>
    </row>
    <row r="36" spans="2:28" x14ac:dyDescent="0.3">
      <c r="B36" s="367" t="s">
        <v>456</v>
      </c>
      <c r="C36" s="369">
        <v>15</v>
      </c>
      <c r="D36" s="372" t="s">
        <v>457</v>
      </c>
    </row>
    <row r="37" spans="2:28" x14ac:dyDescent="0.3">
      <c r="B37" s="367" t="s">
        <v>458</v>
      </c>
      <c r="C37" s="450">
        <v>0.02</v>
      </c>
      <c r="D37" s="372"/>
    </row>
    <row r="38" spans="2:28" x14ac:dyDescent="0.3">
      <c r="B38" s="367" t="s">
        <v>473</v>
      </c>
      <c r="C38" s="423">
        <v>830</v>
      </c>
      <c r="D38" s="372" t="s">
        <v>448</v>
      </c>
    </row>
    <row r="39" spans="2:28" x14ac:dyDescent="0.3">
      <c r="B39" s="367" t="s">
        <v>474</v>
      </c>
      <c r="C39" s="423">
        <v>4316</v>
      </c>
      <c r="D39" s="372" t="s">
        <v>448</v>
      </c>
    </row>
    <row r="40" spans="2:28" ht="15" thickBot="1" x14ac:dyDescent="0.35">
      <c r="B40" s="158" t="s">
        <v>475</v>
      </c>
      <c r="C40" s="370">
        <v>3</v>
      </c>
      <c r="D40" s="373" t="s">
        <v>457</v>
      </c>
    </row>
    <row r="41" spans="2:28" ht="15.6" thickTop="1" thickBot="1" x14ac:dyDescent="0.35"/>
    <row r="42" spans="2:28" ht="15.6" thickTop="1" thickBot="1" x14ac:dyDescent="0.35">
      <c r="B42" s="234" t="s">
        <v>491</v>
      </c>
      <c r="C42" s="8"/>
    </row>
    <row r="43" spans="2:28" ht="15" thickTop="1" x14ac:dyDescent="0.3">
      <c r="B43" s="367" t="s">
        <v>449</v>
      </c>
      <c r="C43" s="368">
        <v>10</v>
      </c>
      <c r="D43" s="377" t="s">
        <v>1091</v>
      </c>
    </row>
    <row r="44" spans="2:28" x14ac:dyDescent="0.3">
      <c r="B44" s="367" t="s">
        <v>450</v>
      </c>
      <c r="C44" s="423">
        <v>170200</v>
      </c>
      <c r="D44" s="372" t="s">
        <v>448</v>
      </c>
    </row>
    <row r="45" spans="2:28" x14ac:dyDescent="0.3">
      <c r="B45" s="367" t="s">
        <v>451</v>
      </c>
      <c r="C45" s="369">
        <v>27</v>
      </c>
      <c r="D45" s="372" t="s">
        <v>452</v>
      </c>
    </row>
    <row r="46" spans="2:28" x14ac:dyDescent="0.3">
      <c r="B46" s="367" t="s">
        <v>453</v>
      </c>
      <c r="C46" s="423">
        <v>2575</v>
      </c>
      <c r="D46" s="372" t="s">
        <v>465</v>
      </c>
    </row>
    <row r="47" spans="2:28" x14ac:dyDescent="0.3">
      <c r="B47" s="367" t="s">
        <v>454</v>
      </c>
      <c r="C47" s="756">
        <v>0.20274</v>
      </c>
      <c r="D47" s="372" t="s">
        <v>455</v>
      </c>
    </row>
    <row r="48" spans="2:28" x14ac:dyDescent="0.3">
      <c r="B48" s="367" t="s">
        <v>456</v>
      </c>
      <c r="C48" s="369">
        <v>15</v>
      </c>
      <c r="D48" s="372" t="s">
        <v>457</v>
      </c>
    </row>
    <row r="49" spans="2:4" x14ac:dyDescent="0.3">
      <c r="B49" s="367" t="s">
        <v>458</v>
      </c>
      <c r="C49" s="450">
        <v>0.02</v>
      </c>
      <c r="D49" s="372"/>
    </row>
    <row r="50" spans="2:4" x14ac:dyDescent="0.3">
      <c r="B50" s="367" t="s">
        <v>469</v>
      </c>
      <c r="C50" s="756">
        <v>456.5</v>
      </c>
      <c r="D50" s="372" t="s">
        <v>448</v>
      </c>
    </row>
    <row r="51" spans="2:4" x14ac:dyDescent="0.3">
      <c r="B51" s="367" t="s">
        <v>470</v>
      </c>
      <c r="C51" s="369">
        <v>5</v>
      </c>
      <c r="D51" s="372" t="s">
        <v>457</v>
      </c>
    </row>
    <row r="52" spans="2:4" ht="15" thickBot="1" x14ac:dyDescent="0.35">
      <c r="B52" s="158" t="s">
        <v>459</v>
      </c>
      <c r="C52" s="370">
        <v>30</v>
      </c>
      <c r="D52" s="378" t="s">
        <v>460</v>
      </c>
    </row>
    <row r="53" spans="2:4" ht="15.6" thickTop="1" thickBot="1" x14ac:dyDescent="0.35"/>
    <row r="54" spans="2:4" ht="15.6" thickTop="1" thickBot="1" x14ac:dyDescent="0.35">
      <c r="B54" s="234" t="s">
        <v>492</v>
      </c>
      <c r="C54" s="8"/>
    </row>
    <row r="55" spans="2:4" ht="15" thickTop="1" x14ac:dyDescent="0.3">
      <c r="B55" s="367" t="s">
        <v>462</v>
      </c>
      <c r="C55" s="424">
        <v>59000</v>
      </c>
      <c r="D55" s="377" t="s">
        <v>448</v>
      </c>
    </row>
    <row r="56" spans="2:4" x14ac:dyDescent="0.3">
      <c r="B56" s="367" t="s">
        <v>463</v>
      </c>
      <c r="C56" s="369">
        <v>7800</v>
      </c>
      <c r="D56" s="372" t="s">
        <v>464</v>
      </c>
    </row>
    <row r="57" spans="2:4" x14ac:dyDescent="0.3">
      <c r="B57" s="367" t="s">
        <v>453</v>
      </c>
      <c r="C57" s="422">
        <v>1548</v>
      </c>
      <c r="D57" s="372" t="s">
        <v>465</v>
      </c>
    </row>
    <row r="58" spans="2:4" x14ac:dyDescent="0.3">
      <c r="B58" s="367" t="s">
        <v>456</v>
      </c>
      <c r="C58" s="369">
        <v>15</v>
      </c>
      <c r="D58" s="372" t="s">
        <v>457</v>
      </c>
    </row>
    <row r="59" spans="2:4" x14ac:dyDescent="0.3">
      <c r="B59" s="367" t="s">
        <v>458</v>
      </c>
      <c r="C59" s="450">
        <v>0.02</v>
      </c>
      <c r="D59" s="372"/>
    </row>
    <row r="60" spans="2:4" x14ac:dyDescent="0.3">
      <c r="B60" s="367" t="s">
        <v>469</v>
      </c>
      <c r="C60" s="423">
        <v>913</v>
      </c>
      <c r="D60" s="372" t="s">
        <v>448</v>
      </c>
    </row>
    <row r="61" spans="2:4" ht="15" thickBot="1" x14ac:dyDescent="0.35">
      <c r="B61" s="158" t="s">
        <v>470</v>
      </c>
      <c r="C61" s="370">
        <v>5</v>
      </c>
      <c r="D61" s="378" t="s">
        <v>457</v>
      </c>
    </row>
    <row r="62" spans="2:4" ht="15.6" thickTop="1" thickBot="1" x14ac:dyDescent="0.35"/>
    <row r="63" spans="2:4" ht="15.6" thickTop="1" thickBot="1" x14ac:dyDescent="0.35">
      <c r="B63" s="234" t="s">
        <v>493</v>
      </c>
      <c r="C63" s="8"/>
    </row>
    <row r="64" spans="2:4" ht="15" thickTop="1" x14ac:dyDescent="0.3">
      <c r="B64" s="367" t="s">
        <v>449</v>
      </c>
      <c r="C64" s="368">
        <v>3.24</v>
      </c>
      <c r="D64" s="377" t="s">
        <v>1091</v>
      </c>
    </row>
    <row r="65" spans="2:4" x14ac:dyDescent="0.3">
      <c r="B65" s="367" t="s">
        <v>450</v>
      </c>
      <c r="C65" s="423">
        <v>58600</v>
      </c>
      <c r="D65" s="372" t="s">
        <v>448</v>
      </c>
    </row>
    <row r="66" spans="2:4" x14ac:dyDescent="0.3">
      <c r="B66" s="367" t="s">
        <v>451</v>
      </c>
      <c r="C66" s="369">
        <v>19</v>
      </c>
      <c r="D66" s="372" t="s">
        <v>452</v>
      </c>
    </row>
    <row r="67" spans="2:4" x14ac:dyDescent="0.3">
      <c r="B67" s="367" t="s">
        <v>453</v>
      </c>
      <c r="C67" s="423">
        <v>1030</v>
      </c>
      <c r="D67" s="372" t="s">
        <v>465</v>
      </c>
    </row>
    <row r="68" spans="2:4" x14ac:dyDescent="0.3">
      <c r="B68" s="367" t="s">
        <v>454</v>
      </c>
      <c r="C68" s="756">
        <v>0.20056000000000002</v>
      </c>
      <c r="D68" s="372" t="s">
        <v>455</v>
      </c>
    </row>
    <row r="69" spans="2:4" x14ac:dyDescent="0.3">
      <c r="B69" s="367" t="s">
        <v>456</v>
      </c>
      <c r="C69" s="369">
        <v>10</v>
      </c>
      <c r="D69" s="372" t="s">
        <v>457</v>
      </c>
    </row>
    <row r="70" spans="2:4" x14ac:dyDescent="0.3">
      <c r="B70" s="367" t="s">
        <v>458</v>
      </c>
      <c r="C70" s="450">
        <v>0.02</v>
      </c>
      <c r="D70" s="372"/>
    </row>
    <row r="71" spans="2:4" x14ac:dyDescent="0.3">
      <c r="B71" s="367" t="s">
        <v>469</v>
      </c>
      <c r="C71" s="756">
        <v>456.5</v>
      </c>
      <c r="D71" s="372" t="s">
        <v>448</v>
      </c>
    </row>
    <row r="72" spans="2:4" x14ac:dyDescent="0.3">
      <c r="B72" s="367" t="s">
        <v>470</v>
      </c>
      <c r="C72" s="369">
        <v>5</v>
      </c>
      <c r="D72" s="372" t="s">
        <v>457</v>
      </c>
    </row>
    <row r="73" spans="2:4" ht="15" thickBot="1" x14ac:dyDescent="0.35">
      <c r="B73" s="158" t="s">
        <v>459</v>
      </c>
      <c r="C73" s="370">
        <v>15</v>
      </c>
      <c r="D73" s="378" t="s">
        <v>460</v>
      </c>
    </row>
    <row r="74" spans="2:4" ht="15.6" thickTop="1" thickBot="1" x14ac:dyDescent="0.35"/>
    <row r="75" spans="2:4" ht="15.6" thickTop="1" thickBot="1" x14ac:dyDescent="0.35">
      <c r="B75" s="271" t="s">
        <v>478</v>
      </c>
      <c r="C75" s="8" t="s">
        <v>481</v>
      </c>
    </row>
    <row r="76" spans="2:4" ht="15" thickTop="1" x14ac:dyDescent="0.3">
      <c r="B76" s="157" t="s">
        <v>1187</v>
      </c>
      <c r="C76" s="451">
        <v>0.05</v>
      </c>
      <c r="D76" s="377"/>
    </row>
    <row r="77" spans="2:4" x14ac:dyDescent="0.3">
      <c r="B77" s="367" t="s">
        <v>2180</v>
      </c>
      <c r="C77" s="756">
        <v>7.17</v>
      </c>
      <c r="D77" s="372" t="s">
        <v>448</v>
      </c>
    </row>
    <row r="78" spans="2:4" x14ac:dyDescent="0.3">
      <c r="B78" s="452" t="s">
        <v>480</v>
      </c>
      <c r="C78" s="768">
        <v>10</v>
      </c>
      <c r="D78" s="769" t="s">
        <v>457</v>
      </c>
    </row>
    <row r="79" spans="2:4" x14ac:dyDescent="0.3">
      <c r="B79" s="418" t="s">
        <v>482</v>
      </c>
      <c r="C79" s="770">
        <v>6</v>
      </c>
      <c r="D79" s="771" t="s">
        <v>479</v>
      </c>
    </row>
    <row r="80" spans="2:4" x14ac:dyDescent="0.3">
      <c r="B80" s="367" t="s">
        <v>483</v>
      </c>
      <c r="C80" s="369">
        <v>12</v>
      </c>
      <c r="D80" s="372" t="s">
        <v>479</v>
      </c>
    </row>
    <row r="81" spans="2:4" x14ac:dyDescent="0.3">
      <c r="B81" s="757" t="s">
        <v>484</v>
      </c>
      <c r="C81" s="762">
        <v>35</v>
      </c>
      <c r="D81" s="758" t="s">
        <v>479</v>
      </c>
    </row>
    <row r="82" spans="2:4" x14ac:dyDescent="0.3">
      <c r="B82" s="759" t="s">
        <v>1123</v>
      </c>
      <c r="C82" s="764">
        <v>0.184</v>
      </c>
      <c r="D82" s="761"/>
    </row>
    <row r="83" spans="2:4" x14ac:dyDescent="0.3">
      <c r="B83" s="367" t="s">
        <v>1124</v>
      </c>
      <c r="C83" s="765">
        <v>0.77200000000000002</v>
      </c>
      <c r="D83" s="372"/>
    </row>
    <row r="84" spans="2:4" x14ac:dyDescent="0.3">
      <c r="B84" s="757" t="s">
        <v>1125</v>
      </c>
      <c r="C84" s="766">
        <v>4.3999999999999997E-2</v>
      </c>
      <c r="D84" s="758"/>
    </row>
    <row r="85" spans="2:4" x14ac:dyDescent="0.3">
      <c r="B85" s="759" t="s">
        <v>485</v>
      </c>
      <c r="C85" s="760">
        <v>20</v>
      </c>
      <c r="D85" s="761" t="s">
        <v>457</v>
      </c>
    </row>
    <row r="86" spans="2:4" x14ac:dyDescent="0.3">
      <c r="B86" s="367" t="s">
        <v>486</v>
      </c>
      <c r="C86" s="369">
        <v>20</v>
      </c>
      <c r="D86" s="372" t="s">
        <v>457</v>
      </c>
    </row>
    <row r="87" spans="2:4" x14ac:dyDescent="0.3">
      <c r="B87" s="757" t="s">
        <v>487</v>
      </c>
      <c r="C87" s="762">
        <v>20</v>
      </c>
      <c r="D87" s="758" t="s">
        <v>457</v>
      </c>
    </row>
    <row r="88" spans="2:4" x14ac:dyDescent="0.3">
      <c r="B88" s="759" t="s">
        <v>488</v>
      </c>
      <c r="C88" s="763">
        <v>8.6999999999999993</v>
      </c>
      <c r="D88" s="761" t="s">
        <v>448</v>
      </c>
    </row>
    <row r="89" spans="2:4" x14ac:dyDescent="0.3">
      <c r="B89" s="367" t="s">
        <v>489</v>
      </c>
      <c r="C89" s="756">
        <v>12.1</v>
      </c>
      <c r="D89" s="372" t="s">
        <v>448</v>
      </c>
    </row>
    <row r="90" spans="2:4" ht="15" thickBot="1" x14ac:dyDescent="0.35">
      <c r="B90" s="158" t="s">
        <v>490</v>
      </c>
      <c r="C90" s="767">
        <v>43.9</v>
      </c>
      <c r="D90" s="378" t="s">
        <v>448</v>
      </c>
    </row>
    <row r="91" spans="2:4" ht="15" thickTop="1" x14ac:dyDescent="0.3"/>
  </sheetData>
  <sheetProtection algorithmName="SHA-512" hashValue="YM2rFxvVvEzRczojAdS8IHPmG3jTP37xkl/YuqRjFxGck/WZqMI7VplRicmgaJgGSDNpLWkJY+Edjhxgs3eMQg==" saltValue="310JoSlJvJdHJa0qYF5WSg==" spinCount="100000" sheet="1" objects="1" scenarios="1" selectLockedCells="1"/>
  <dataValidations count="6">
    <dataValidation type="decimal" operator="greaterThanOrEqual" allowBlank="1" showInputMessage="1" showErrorMessage="1" errorTitle="CleanCooking-inputs" error="Distances must be greater than zero or equal to (≥0)." sqref="P5:P1048576 S5:T1048576 V5:XFD1048576" xr:uid="{63407662-D8CE-4424-B9A2-362C2E981CE8}">
      <formula1>0</formula1>
    </dataValidation>
    <dataValidation type="decimal" allowBlank="1" showInputMessage="1" showErrorMessage="1" errorTitle="CleanCooking-inputs" error="Values must be between 0% and 100%." sqref="C4 C9 C14 C27 C37 C82:C84 C76 C49 C59 C70" xr:uid="{557F6C2B-3B0A-48B8-AF9C-A1E419B67A0D}">
      <formula1>0</formula1>
      <formula2>1</formula2>
    </dataValidation>
    <dataValidation type="whole" operator="greaterThanOrEqual" allowBlank="1" showInputMessage="1" showErrorMessage="1" errorTitle="CleanCooking-inputs" error="Values must be integer and greater than zero (&gt;0)." sqref="C5 C11 C18 C15 C26 C29 C36 C40 C85:C87 C78 C48 C51 C58 C61 C69 C72" xr:uid="{3BE8C700-9974-4776-9CBE-D5D90DEC8629}">
      <formula1>1</formula1>
    </dataValidation>
    <dataValidation type="decimal" operator="greaterThanOrEqual" allowBlank="1" showInputMessage="1" showErrorMessage="1" errorTitle="CleanCooking-inputs" error="Numerical values must be greater than or equal to zero." sqref="C8 C10 C16:C17 C21:C25 C28 C30 C33:C35 C38:C39 C79:C81 C88:C90 C77 C43:C47 C50 C52 C55:C57 C60 C64:C68 C71 C73" xr:uid="{652C1766-9CDD-4E64-964C-718452EE992F}">
      <formula1>0</formula1>
    </dataValidation>
    <dataValidation type="whole" operator="greaterThanOrEqual" allowBlank="1" showInputMessage="1" showErrorMessage="1" errorTitle="CleanCooking-inputs" error="Values must be integer and greater than zero (&gt;0)." sqref="G5:H1048576" xr:uid="{D59A8356-84DC-43CF-9664-0CA1031C33DB}">
      <formula1>0</formula1>
    </dataValidation>
    <dataValidation type="decimal" allowBlank="1" showInputMessage="1" showErrorMessage="1" errorTitle="CleanCooking-inputs" error="Values must be between 0% and 100%." sqref="I5:J1048576" xr:uid="{AF0A8A22-1EA5-4A71-B41F-B7B1698EB2AF}">
      <formula1>0</formula1>
      <formula2>100</formula2>
    </dataValidation>
  </dataValidation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3CE4B-A1D9-4E40-A964-565327766F51}">
  <sheetPr codeName="Sheet44">
    <tabColor rgb="FFFF9999"/>
  </sheetPr>
  <dimension ref="A1:K46"/>
  <sheetViews>
    <sheetView showRowColHeaders="0" workbookViewId="0">
      <selection activeCell="C10" sqref="C10"/>
    </sheetView>
  </sheetViews>
  <sheetFormatPr defaultColWidth="8.88671875" defaultRowHeight="14.4" x14ac:dyDescent="0.3"/>
  <cols>
    <col min="1" max="1" width="3.77734375" style="9" customWidth="1"/>
    <col min="2" max="2" width="23.88671875" style="9" customWidth="1"/>
    <col min="3" max="4" width="12.77734375" style="9" customWidth="1"/>
    <col min="5" max="5" width="3.77734375" style="9" customWidth="1"/>
    <col min="6" max="6" width="26.77734375" style="9" customWidth="1"/>
    <col min="7" max="7" width="12.77734375" style="9" customWidth="1"/>
    <col min="8" max="8" width="3.77734375" style="9" customWidth="1"/>
    <col min="9" max="9" width="36.77734375" style="9" customWidth="1"/>
    <col min="10" max="10" width="12.77734375" style="9" customWidth="1"/>
    <col min="11" max="11" width="11.77734375" style="9" customWidth="1"/>
    <col min="12" max="16384" width="8.88671875" style="9"/>
  </cols>
  <sheetData>
    <row r="1" spans="1:11" s="154" customFormat="1" ht="70.2" customHeight="1" thickBot="1" x14ac:dyDescent="0.35">
      <c r="A1" s="154" t="s">
        <v>1090</v>
      </c>
      <c r="I1" s="401"/>
    </row>
    <row r="2" spans="1:11" ht="15.6" thickTop="1" thickBot="1" x14ac:dyDescent="0.35"/>
    <row r="3" spans="1:11" ht="15.6" thickTop="1" thickBot="1" x14ac:dyDescent="0.35">
      <c r="B3" s="234" t="s">
        <v>1099</v>
      </c>
      <c r="C3" s="8" t="s">
        <v>2199</v>
      </c>
      <c r="F3" s="234" t="s">
        <v>1126</v>
      </c>
      <c r="G3" s="7" t="s">
        <v>1147</v>
      </c>
      <c r="I3" s="234" t="s">
        <v>1175</v>
      </c>
    </row>
    <row r="4" spans="1:11" ht="15" thickTop="1" x14ac:dyDescent="0.3">
      <c r="B4" s="407">
        <f ca="1">$B$7*$B$5*$B$6</f>
        <v>1.3909542426733317</v>
      </c>
      <c r="C4" s="404" t="s">
        <v>1100</v>
      </c>
      <c r="F4" s="157" t="s">
        <v>1136</v>
      </c>
      <c r="G4" s="462">
        <f ca="1">$C$19*LPGin!$C$8</f>
        <v>16317861.009232204</v>
      </c>
      <c r="I4" s="157" t="s">
        <v>1182</v>
      </c>
      <c r="J4" s="441">
        <f ca="1">$G$6</f>
        <v>16317884.985966431</v>
      </c>
      <c r="K4" s="404" t="s">
        <v>1147</v>
      </c>
    </row>
    <row r="5" spans="1:11" x14ac:dyDescent="0.3">
      <c r="B5" s="405">
        <v>13.14</v>
      </c>
      <c r="C5" s="406" t="s">
        <v>1101</v>
      </c>
      <c r="F5" s="367" t="s">
        <v>469</v>
      </c>
      <c r="G5" s="459">
        <f ca="1">-PMT(LPGin!$C$4,LPGin!C11,LPGin!$C$10)*$C$16</f>
        <v>23.976734226101968</v>
      </c>
      <c r="I5" s="367" t="s">
        <v>1183</v>
      </c>
      <c r="J5" s="456">
        <f ca="1">$G$9+$G$22+$G$38</f>
        <v>1230072.1688061098</v>
      </c>
      <c r="K5" s="406" t="s">
        <v>1147</v>
      </c>
    </row>
    <row r="6" spans="1:11" ht="15" thickBot="1" x14ac:dyDescent="0.35">
      <c r="B6" s="405">
        <v>1.04</v>
      </c>
      <c r="C6" s="406" t="s">
        <v>81</v>
      </c>
      <c r="F6" s="461" t="s">
        <v>1137</v>
      </c>
      <c r="G6" s="463">
        <f ca="1">G4+G5</f>
        <v>16317884.985966431</v>
      </c>
      <c r="I6" s="367" t="s">
        <v>1184</v>
      </c>
      <c r="J6" s="456">
        <f ca="1">$G$16+$G$34+$G$45</f>
        <v>600278.29647337925</v>
      </c>
      <c r="K6" s="406" t="s">
        <v>1147</v>
      </c>
    </row>
    <row r="7" spans="1:11" ht="15.6" thickTop="1" thickBot="1" x14ac:dyDescent="0.35">
      <c r="B7" s="407">
        <f ca="1">B8/365</f>
        <v>0.10178508390947573</v>
      </c>
      <c r="C7" s="406" t="s">
        <v>1143</v>
      </c>
      <c r="F7" s="157" t="s">
        <v>1144</v>
      </c>
      <c r="G7" s="462">
        <f ca="1">-PMT(LPGin!$C$4,LPGin!$C$18,LPGin!$C16)*$C$16</f>
        <v>14.057111809728667</v>
      </c>
      <c r="I7" s="367" t="s">
        <v>1185</v>
      </c>
      <c r="J7" s="456">
        <f ca="1">$G$27</f>
        <v>104753.89647456203</v>
      </c>
      <c r="K7" s="409" t="s">
        <v>1147</v>
      </c>
    </row>
    <row r="8" spans="1:11" ht="15.6" thickTop="1" thickBot="1" x14ac:dyDescent="0.35">
      <c r="B8" s="408">
        <f ca="1">1000*$C$15/OFFSET(LPGin!$G$4,$C$12,0)</f>
        <v>37.15155562695864</v>
      </c>
      <c r="C8" s="409" t="s">
        <v>1102</v>
      </c>
      <c r="F8" s="367" t="s">
        <v>1145</v>
      </c>
      <c r="G8" s="459">
        <f ca="1">-PMT(LPGin!$C$4,LPGin!$C$18,LPGin!$C17)*$C$16</f>
        <v>73.096981410589066</v>
      </c>
      <c r="I8" s="461" t="s">
        <v>1186</v>
      </c>
      <c r="J8" s="463">
        <f ca="1">SUM(J4:J7)</f>
        <v>18252989.347720485</v>
      </c>
      <c r="K8" s="464" t="s">
        <v>1147</v>
      </c>
    </row>
    <row r="9" spans="1:11" ht="15.6" thickTop="1" thickBot="1" x14ac:dyDescent="0.35">
      <c r="F9" s="461" t="s">
        <v>1146</v>
      </c>
      <c r="G9" s="463">
        <f ca="1">G7+G8</f>
        <v>87.154093220317733</v>
      </c>
      <c r="I9" s="367" t="s">
        <v>1092</v>
      </c>
      <c r="J9" s="467">
        <f ca="1">$G$39+$G$41+$G$43+$G$38+$G$27-$G$26</f>
        <v>287354.80204388953</v>
      </c>
      <c r="K9" s="404" t="s">
        <v>1147</v>
      </c>
    </row>
    <row r="10" spans="1:11" ht="15" thickTop="1" x14ac:dyDescent="0.3">
      <c r="B10" s="416" t="s">
        <v>1104</v>
      </c>
      <c r="C10" s="417">
        <v>1</v>
      </c>
      <c r="F10" s="157" t="s">
        <v>1148</v>
      </c>
      <c r="G10" s="462">
        <f>-PMT(LPGin!$C$4,LPGin!$C$26,$C$35*LPGin!$C$22)</f>
        <v>92206.503944420765</v>
      </c>
      <c r="I10" s="367" t="s">
        <v>1093</v>
      </c>
      <c r="J10" s="467">
        <f ca="1">$G$40+$G$42+$G$44+$G$4+$G$26</f>
        <v>16424570.833033368</v>
      </c>
      <c r="K10" s="406" t="s">
        <v>1147</v>
      </c>
    </row>
    <row r="11" spans="1:11" x14ac:dyDescent="0.3">
      <c r="B11" s="418" t="s">
        <v>1106</v>
      </c>
      <c r="C11" s="480">
        <v>3</v>
      </c>
      <c r="D11" s="8"/>
      <c r="F11" s="367" t="s">
        <v>1149</v>
      </c>
      <c r="G11" s="459">
        <f ca="1">2*$C$29*$C$38*LPGin!$C$23/100*Co!$C$8</f>
        <v>5970.6242729889536</v>
      </c>
      <c r="I11" s="367" t="s">
        <v>1094</v>
      </c>
      <c r="J11" s="467">
        <f ca="1">$G$5+$G$9+$G$10+$G$12+$G$14+$G$17+$G$18+$G$20+$G$21+$G$28+$G$30+$G$32</f>
        <v>900507.63046508387</v>
      </c>
      <c r="K11" s="406" t="s">
        <v>1147</v>
      </c>
    </row>
    <row r="12" spans="1:11" ht="15" thickBot="1" x14ac:dyDescent="0.35">
      <c r="B12" s="158" t="s">
        <v>461</v>
      </c>
      <c r="C12" s="481">
        <v>9</v>
      </c>
      <c r="F12" s="367" t="s">
        <v>1150</v>
      </c>
      <c r="G12" s="459">
        <f>$C$35*LPGin!$C$24</f>
        <v>9012.5</v>
      </c>
      <c r="I12" s="367" t="s">
        <v>1095</v>
      </c>
      <c r="J12" s="467">
        <f ca="1">$G$11+$G$13+$G$15+$G$19+$G$29+$G$31+$G$33</f>
        <v>640556.08217813901</v>
      </c>
      <c r="K12" s="409" t="s">
        <v>1147</v>
      </c>
    </row>
    <row r="13" spans="1:11" ht="15.6" thickTop="1" thickBot="1" x14ac:dyDescent="0.35">
      <c r="F13" s="367" t="s">
        <v>1151</v>
      </c>
      <c r="G13" s="459">
        <f ca="1">2*$C$29*$C$38*LPGin!$C$25</f>
        <v>3051.0002901216894</v>
      </c>
      <c r="I13" s="461" t="s">
        <v>1181</v>
      </c>
      <c r="J13" s="468">
        <f ca="1">$J$8/$C$19/1000</f>
        <v>0.87921141252467105</v>
      </c>
      <c r="K13" s="464" t="s">
        <v>1177</v>
      </c>
    </row>
    <row r="14" spans="1:11" ht="15.6" thickTop="1" thickBot="1" x14ac:dyDescent="0.35">
      <c r="B14" s="234" t="s">
        <v>1128</v>
      </c>
      <c r="F14" s="367" t="s">
        <v>1152</v>
      </c>
      <c r="G14" s="459">
        <f>-PMT(LPGin!$C$4,LPGin!$C$29,LPGin!$C$28)</f>
        <v>120.42354998280128</v>
      </c>
      <c r="I14" s="367" t="s">
        <v>1096</v>
      </c>
      <c r="J14" s="465">
        <f ca="1">$J$4/$J$8</f>
        <v>0.89398424965411383</v>
      </c>
    </row>
    <row r="15" spans="1:11" ht="15.6" thickTop="1" thickBot="1" x14ac:dyDescent="0.35">
      <c r="B15" s="157" t="s">
        <v>1135</v>
      </c>
      <c r="C15" s="445">
        <f ca="1">OFFSET(LPGin!$K$4,$C$12,$C$11-1)</f>
        <v>18268.571599999999</v>
      </c>
      <c r="D15" s="446" t="s">
        <v>1176</v>
      </c>
      <c r="F15" s="367" t="s">
        <v>1098</v>
      </c>
      <c r="G15" s="459">
        <f>$C$35*8*LPGin!$C$5*Co!$C$7</f>
        <v>10745.28</v>
      </c>
      <c r="I15" s="585" t="s">
        <v>1097</v>
      </c>
      <c r="J15" s="586">
        <f ca="1">1-$J$14</f>
        <v>0.10601575034588617</v>
      </c>
    </row>
    <row r="16" spans="1:11" ht="15.6" thickTop="1" thickBot="1" x14ac:dyDescent="0.35">
      <c r="B16" s="435" t="s">
        <v>1111</v>
      </c>
      <c r="C16" s="436">
        <f ca="1">OFFSET(LPGin!$K$4,LPGmodel!$C$12,LPGmodel!$C$11-1)/SUM(OFFSET(LPGin!$K$4,0,LPGmodel!$C$11-1,LPGin!$G$3))</f>
        <v>4.2118019869291028E-2</v>
      </c>
      <c r="D16" s="442"/>
      <c r="F16" s="461" t="s">
        <v>1153</v>
      </c>
      <c r="G16" s="463">
        <f ca="1">SUM(G10:G15)</f>
        <v>121106.33205751421</v>
      </c>
      <c r="I16" s="589" t="s">
        <v>1936</v>
      </c>
      <c r="J16" s="590">
        <f ca="1">$J$4/$J$10</f>
        <v>0.99350449712498001</v>
      </c>
    </row>
    <row r="17" spans="2:10" ht="15" thickTop="1" x14ac:dyDescent="0.3">
      <c r="B17" s="367" t="s">
        <v>1114</v>
      </c>
      <c r="C17" s="436">
        <f ca="1">OFFSET(LPGin!$J$4,$C$12,0)</f>
        <v>0.86</v>
      </c>
      <c r="D17" s="443"/>
      <c r="F17" s="157" t="s">
        <v>1154</v>
      </c>
      <c r="G17" s="462">
        <f ca="1">-PMT(LPGin!$C$4,LPGin!$C$36,LPGin!$C$33)*$C$18</f>
        <v>451342.01735158148</v>
      </c>
      <c r="I17" s="587" t="s">
        <v>1946</v>
      </c>
      <c r="J17" s="588">
        <f ca="1">($G$10+$G$12+$G$14+$G$28+$G$30+$G$32)/$J$11</f>
        <v>0.30663006007555199</v>
      </c>
    </row>
    <row r="18" spans="2:10" ht="15" thickBot="1" x14ac:dyDescent="0.35">
      <c r="B18" s="158" t="s">
        <v>1113</v>
      </c>
      <c r="C18" s="444">
        <f ca="1">C15/SUMIF(OFFSET(LPGin!$U$5,0,0,LPGin!$G$3),OFFSET(LPGin!$U$4,$C$12,0),OFFSET(LPGin!$K$5,0,$C$11-1,LPGin!$G$3))</f>
        <v>0.49042046693053393</v>
      </c>
      <c r="D18" s="443"/>
      <c r="F18" s="367" t="s">
        <v>1155</v>
      </c>
      <c r="G18" s="459">
        <f ca="1">LPGin!$C$34*$C$18</f>
        <v>170862.49067859803</v>
      </c>
      <c r="I18" s="367" t="s">
        <v>1937</v>
      </c>
      <c r="J18" s="466">
        <f ca="1">($G$11+$G$13+$G$15+$G$29+$G$31+$G$33)/$J$12</f>
        <v>6.9300190016556115E-2</v>
      </c>
    </row>
    <row r="19" spans="2:10" ht="15" thickTop="1" x14ac:dyDescent="0.3">
      <c r="B19" s="157" t="s">
        <v>1127</v>
      </c>
      <c r="C19" s="441">
        <f ca="1">$C$20/(1-LPGin!$C$14)</f>
        <v>20760.637416325961</v>
      </c>
      <c r="D19" s="404" t="s">
        <v>1176</v>
      </c>
      <c r="F19" s="367" t="s">
        <v>1156</v>
      </c>
      <c r="G19" s="459">
        <f ca="1">LPGin!$C$35*$C$22</f>
        <v>596165.42396693316</v>
      </c>
      <c r="I19" s="367" t="s">
        <v>1941</v>
      </c>
      <c r="J19" s="466">
        <f ca="1">($G$39+$G$41+$G$43)/$J$9</f>
        <v>0.73587782368080656</v>
      </c>
    </row>
    <row r="20" spans="2:10" x14ac:dyDescent="0.3">
      <c r="B20" s="367" t="s">
        <v>1129</v>
      </c>
      <c r="C20" s="456">
        <f ca="1">$C$21/(1-LPGin!$C$14)</f>
        <v>20345.424667999439</v>
      </c>
      <c r="D20" s="406" t="s">
        <v>1176</v>
      </c>
      <c r="F20" s="367" t="s">
        <v>473</v>
      </c>
      <c r="G20" s="459">
        <f>-PMT(LPGin!$C$4,LPGin!$C$40,LPGin!$C38)</f>
        <v>333.75528700906352</v>
      </c>
      <c r="I20" s="585" t="s">
        <v>1942</v>
      </c>
      <c r="J20" s="586">
        <f ca="1">($G$40+$G$42+$G$44)/($J$10-$J$4)</f>
        <v>0.640262086863576</v>
      </c>
    </row>
    <row r="21" spans="2:10" x14ac:dyDescent="0.3">
      <c r="B21" s="367" t="s">
        <v>1131</v>
      </c>
      <c r="C21" s="456">
        <f ca="1">$C$22/(1-LPGin!$C$27)+$C$15*(1-$C$17)</f>
        <v>19938.516174639451</v>
      </c>
      <c r="D21" s="406" t="s">
        <v>1176</v>
      </c>
      <c r="F21" s="367" t="s">
        <v>1157</v>
      </c>
      <c r="G21" s="459">
        <f>-PMT(LPGin!$C$4,LPGin!$C$40,LPGin!$C39)</f>
        <v>1735.5274924471303</v>
      </c>
      <c r="I21" s="587" t="s">
        <v>1938</v>
      </c>
      <c r="J21" s="588">
        <f ca="1">($G$5+$G$9+$G$17+$G$18+$G$20+$G$21)/$J$11</f>
        <v>0.69336993992444784</v>
      </c>
    </row>
    <row r="22" spans="2:10" ht="15" thickBot="1" x14ac:dyDescent="0.35">
      <c r="B22" s="367" t="s">
        <v>1082</v>
      </c>
      <c r="C22" s="456">
        <f ca="1">$C$23/(1-LPGin!$C$37)</f>
        <v>17033.297827626662</v>
      </c>
      <c r="D22" s="406" t="s">
        <v>1176</v>
      </c>
      <c r="F22" s="461" t="s">
        <v>1158</v>
      </c>
      <c r="G22" s="463">
        <f ca="1">SUM(G17:G21)</f>
        <v>1220439.2147765688</v>
      </c>
      <c r="I22" s="367" t="s">
        <v>1939</v>
      </c>
      <c r="J22" s="466">
        <f ca="1">$G$19/$J$12</f>
        <v>0.9306998099834437</v>
      </c>
    </row>
    <row r="23" spans="2:10" ht="15" thickTop="1" x14ac:dyDescent="0.3">
      <c r="B23" s="367" t="s">
        <v>1130</v>
      </c>
      <c r="C23" s="456">
        <f ca="1">$C$24/(1-LPGin!$C$49)</f>
        <v>16692.631871074129</v>
      </c>
      <c r="D23" s="406" t="s">
        <v>1176</v>
      </c>
      <c r="F23" s="157" t="s">
        <v>1163</v>
      </c>
      <c r="G23" s="462">
        <f ca="1">-PMT(LPGin!$C$4,LPGin!$C$85,$C41*LPGin!$C88)</f>
        <v>26739.964307973256</v>
      </c>
      <c r="I23" s="367" t="s">
        <v>1943</v>
      </c>
      <c r="J23" s="466">
        <f ca="1">($G$38+$G$27-$G$26)/$J$9</f>
        <v>0.26412217631919338</v>
      </c>
    </row>
    <row r="24" spans="2:10" x14ac:dyDescent="0.3">
      <c r="B24" s="367" t="s">
        <v>461</v>
      </c>
      <c r="C24" s="456">
        <f ca="1">$C$25/(1-LPGin!$C$59)</f>
        <v>16358.779233652645</v>
      </c>
      <c r="D24" s="406" t="s">
        <v>1176</v>
      </c>
      <c r="F24" s="367" t="s">
        <v>1164</v>
      </c>
      <c r="G24" s="459">
        <f ca="1">-PMT(LPGin!$C$4,LPGin!$C$85,$C42*LPGin!$C89)</f>
        <v>38675.694826071034</v>
      </c>
      <c r="I24" s="585" t="s">
        <v>1944</v>
      </c>
      <c r="J24" s="586">
        <f ca="1">$G$26/($J$10-$J$4)</f>
        <v>0.35996265460764132</v>
      </c>
    </row>
    <row r="25" spans="2:10" x14ac:dyDescent="0.3">
      <c r="B25" s="367" t="s">
        <v>1132</v>
      </c>
      <c r="C25" s="456">
        <f ca="1">$C$26/(1-LPGin!$C$70)</f>
        <v>16031.603648979592</v>
      </c>
      <c r="D25" s="406" t="s">
        <v>1176</v>
      </c>
      <c r="F25" s="367" t="s">
        <v>1165</v>
      </c>
      <c r="G25" s="459">
        <f ca="1">-PMT(LPGin!$C$4,LPGin!$C$85,$C43*LPGin!$C90)</f>
        <v>935.31662123826163</v>
      </c>
      <c r="I25" s="587" t="s">
        <v>1940</v>
      </c>
      <c r="J25" s="588">
        <f ca="1">($G$12+$G$18)/$J$11</f>
        <v>0.19974843587466132</v>
      </c>
    </row>
    <row r="26" spans="2:10" ht="15" thickBot="1" x14ac:dyDescent="0.35">
      <c r="B26" s="158" t="s">
        <v>1133</v>
      </c>
      <c r="C26" s="457">
        <f ca="1">$C$15*$C$17</f>
        <v>15710.971576</v>
      </c>
      <c r="D26" s="409" t="s">
        <v>1176</v>
      </c>
      <c r="F26" s="367" t="s">
        <v>1166</v>
      </c>
      <c r="G26" s="459">
        <f ca="1">LPGin!$C$77*$C$44/10</f>
        <v>38402.920719279493</v>
      </c>
      <c r="I26" s="158" t="s">
        <v>1945</v>
      </c>
      <c r="J26" s="444">
        <f ca="1">($G$30+$G$36+$G$41)/$J$9</f>
        <v>0.1398027794011395</v>
      </c>
    </row>
    <row r="27" spans="2:10" ht="15.6" thickTop="1" thickBot="1" x14ac:dyDescent="0.35">
      <c r="F27" s="461" t="s">
        <v>1178</v>
      </c>
      <c r="G27" s="463">
        <f ca="1">SUM(G23:G26)</f>
        <v>104753.89647456203</v>
      </c>
    </row>
    <row r="28" spans="2:10" ht="15.6" thickTop="1" thickBot="1" x14ac:dyDescent="0.35">
      <c r="B28" s="234" t="s">
        <v>1115</v>
      </c>
      <c r="F28" s="157" t="s">
        <v>1159</v>
      </c>
      <c r="G28" s="462">
        <f>-PMT(LPGin!$C$4,LPGin!$C$48,$C$36*LPGin!$C$44)</f>
        <v>156637.85778361527</v>
      </c>
    </row>
    <row r="29" spans="2:10" ht="15" thickTop="1" x14ac:dyDescent="0.3">
      <c r="B29" s="157" t="s">
        <v>1116</v>
      </c>
      <c r="C29" s="448">
        <f ca="1">OFFSET(LPGin!$P$4,MATCH(OFFSET(LPGin!$U$4,$C$12,0),OFFSET(LPGin!$O$5,0,0,LPGin!$P$3),0),0)</f>
        <v>31.7</v>
      </c>
      <c r="D29" s="404" t="s">
        <v>66</v>
      </c>
      <c r="F29" s="367" t="s">
        <v>1160</v>
      </c>
      <c r="G29" s="459">
        <f ca="1">2*$C$30*$C$39*LPGin!$C$45/100*Co!$C$8</f>
        <v>1895.5198888113434</v>
      </c>
    </row>
    <row r="30" spans="2:10" x14ac:dyDescent="0.3">
      <c r="B30" s="367" t="s">
        <v>1117</v>
      </c>
      <c r="C30" s="447">
        <f ca="1">OFFSET(LPGin!$U$4,$C$12,MATCH(OFFSET(LPGin!$U$4,$C$12,0),OFFSET(LPGin!$V$4,0,0,1,LPGin!$P$3),0))</f>
        <v>12.8</v>
      </c>
      <c r="D30" s="406" t="s">
        <v>66</v>
      </c>
      <c r="F30" s="367" t="s">
        <v>1161</v>
      </c>
      <c r="G30" s="459">
        <f>$C$36*LPGin!$C$46</f>
        <v>18025</v>
      </c>
    </row>
    <row r="31" spans="2:10" x14ac:dyDescent="0.3">
      <c r="B31" s="367" t="s">
        <v>1118</v>
      </c>
      <c r="C31" s="447">
        <f ca="1">IF($C$11=3,OFFSET(LPGin!$I$4,$C$12,0)*OFFSET(LPGin!$S$4,$C$12,0)+(1-OFFSET(LPGin!$I$4,$C$12,0))*OFFSET(LPGin!$S$4,$C$12,1),OFFSET(LPGin!$S$4,$C$12,$C$11-1))</f>
        <v>45.045909117492251</v>
      </c>
      <c r="D31" s="406" t="s">
        <v>66</v>
      </c>
      <c r="F31" s="367" t="s">
        <v>1162</v>
      </c>
      <c r="G31" s="459">
        <f ca="1">2*$C$30*$C$39*LPGin!$C$47</f>
        <v>1237.673759283774</v>
      </c>
    </row>
    <row r="32" spans="2:10" x14ac:dyDescent="0.3">
      <c r="B32" s="367" t="s">
        <v>1116</v>
      </c>
      <c r="C32" s="447">
        <f ca="1">C29/LPGin!C30</f>
        <v>1.585</v>
      </c>
      <c r="D32" s="406" t="s">
        <v>1119</v>
      </c>
      <c r="F32" s="367" t="s">
        <v>1152</v>
      </c>
      <c r="G32" s="459">
        <f>-PMT(LPGin!$C$4,LPGin!$C$51,LPGin!$C$50)</f>
        <v>120.42354998280128</v>
      </c>
    </row>
    <row r="33" spans="2:7" x14ac:dyDescent="0.3">
      <c r="B33" s="367" t="s">
        <v>1117</v>
      </c>
      <c r="C33" s="447">
        <f ca="1">C30/LPGin!C52</f>
        <v>0.42666666666666669</v>
      </c>
      <c r="D33" s="406" t="s">
        <v>1119</v>
      </c>
      <c r="F33" s="367" t="s">
        <v>1098</v>
      </c>
      <c r="G33" s="459">
        <f>$C$36*8*LPGin!$C$5*Co!$C$7</f>
        <v>21490.560000000001</v>
      </c>
    </row>
    <row r="34" spans="2:7" ht="15" thickBot="1" x14ac:dyDescent="0.35">
      <c r="B34" s="158" t="s">
        <v>1118</v>
      </c>
      <c r="C34" s="449">
        <f ca="1">C31/LPGin!C73</f>
        <v>3.0030606078328166</v>
      </c>
      <c r="D34" s="409" t="s">
        <v>1119</v>
      </c>
      <c r="F34" s="461" t="s">
        <v>1179</v>
      </c>
      <c r="G34" s="463">
        <f ca="1">SUM(G28:G33)</f>
        <v>199407.03498169317</v>
      </c>
    </row>
    <row r="35" spans="2:7" ht="15" thickTop="1" x14ac:dyDescent="0.3">
      <c r="B35" s="367" t="s">
        <v>1120</v>
      </c>
      <c r="C35" s="783">
        <v>3.5</v>
      </c>
      <c r="F35" s="157" t="s">
        <v>1167</v>
      </c>
      <c r="G35" s="462">
        <f ca="1">-PMT(LPGin!$C$4,LPGin!$C$58,ROUNDUP($C$24*1000/365/12/LPGin!$C$56,0)*LPGin!$C$55)</f>
        <v>7756.9528363549616</v>
      </c>
    </row>
    <row r="36" spans="2:7" x14ac:dyDescent="0.3">
      <c r="B36" s="367" t="s">
        <v>1121</v>
      </c>
      <c r="C36" s="784">
        <v>7</v>
      </c>
      <c r="F36" s="367" t="s">
        <v>1168</v>
      </c>
      <c r="G36" s="459">
        <f ca="1">ROUNDUP($C$24*1000/365/12/LPGin!$C$56,0)*LPGin!$C$57</f>
        <v>1548</v>
      </c>
    </row>
    <row r="37" spans="2:7" ht="15" thickBot="1" x14ac:dyDescent="0.35">
      <c r="B37" s="158" t="s">
        <v>1122</v>
      </c>
      <c r="C37" s="785">
        <v>20</v>
      </c>
      <c r="F37" s="367" t="s">
        <v>1169</v>
      </c>
      <c r="G37" s="459">
        <f>-PMT(LPGin!$C$4,LPGin!$C$61,LPGin!$C60)</f>
        <v>240.84709996560255</v>
      </c>
    </row>
    <row r="38" spans="2:7" ht="15.6" thickTop="1" thickBot="1" x14ac:dyDescent="0.35">
      <c r="B38" s="157" t="s">
        <v>2204</v>
      </c>
      <c r="C38" s="454">
        <f ca="1">$C$21/$C35/LPGin!$C$21*IF($C32&gt;8,2,1)</f>
        <v>237.3632877933268</v>
      </c>
      <c r="D38" s="455" t="s">
        <v>2203</v>
      </c>
      <c r="F38" s="461" t="s">
        <v>1170</v>
      </c>
      <c r="G38" s="463">
        <f ca="1">SUM(G35:G37)</f>
        <v>9545.7999363205636</v>
      </c>
    </row>
    <row r="39" spans="2:7" ht="15" thickTop="1" x14ac:dyDescent="0.3">
      <c r="B39" s="367" t="s">
        <v>2205</v>
      </c>
      <c r="C39" s="447">
        <f ca="1">$C$23/$C36/LPGin!$C$43*IF($C33&gt;8,$C33/8,1)</f>
        <v>238.46616958677328</v>
      </c>
      <c r="D39" s="406" t="s">
        <v>2203</v>
      </c>
      <c r="F39" s="157" t="s">
        <v>1171</v>
      </c>
      <c r="G39" s="462">
        <f>-PMT(LPGin!$C$4,LPGin!$C$69,$C$37*LPGin!$C$65)</f>
        <v>190737.60280230362</v>
      </c>
    </row>
    <row r="40" spans="2:7" ht="15" thickBot="1" x14ac:dyDescent="0.35">
      <c r="B40" s="452" t="s">
        <v>2206</v>
      </c>
      <c r="C40" s="453">
        <f ca="1">$C$25/$C37/LPGin!$C$64*IF($C34&gt;8,$C34/8,1)</f>
        <v>247.40129087931467</v>
      </c>
      <c r="D40" s="409" t="s">
        <v>2203</v>
      </c>
      <c r="F40" s="367" t="s">
        <v>1172</v>
      </c>
      <c r="G40" s="459">
        <f ca="1">$C$31*$C$40*LPGin!$C$66/100*Co!$C$8</f>
        <v>2435.0549100932221</v>
      </c>
    </row>
    <row r="41" spans="2:7" ht="15" thickTop="1" x14ac:dyDescent="0.3">
      <c r="B41" s="367" t="s">
        <v>1139</v>
      </c>
      <c r="C41" s="458">
        <f ca="1">3*(1+LPGin!$C$76)*ROUNDUP($C$26*1000*LPGin!$C82/LPGin!$C79,0)/ROUNDDOWN(LPGin!$C79/$B$7,0)</f>
        <v>26166.941379310345</v>
      </c>
      <c r="F41" s="367" t="s">
        <v>1173</v>
      </c>
      <c r="G41" s="459">
        <f>$C$37*LPGin!$C$67</f>
        <v>20600</v>
      </c>
    </row>
    <row r="42" spans="2:7" x14ac:dyDescent="0.3">
      <c r="B42" s="367" t="s">
        <v>1140</v>
      </c>
      <c r="C42" s="459">
        <f ca="1">3*(1+LPGin!$C$76)*ROUNDUP($C$26*LPGin!$C83/LPGin!$C80*1000,0)/ROUNDDOWN(LPGin!$C80/$B$7,0)</f>
        <v>27212.230769230773</v>
      </c>
      <c r="F42" s="367" t="s">
        <v>1174</v>
      </c>
      <c r="G42" s="459">
        <f ca="1">2*$C$31*$C$40*LPGin!$C$68</f>
        <v>4470.2481717921901</v>
      </c>
    </row>
    <row r="43" spans="2:7" x14ac:dyDescent="0.3">
      <c r="B43" s="367" t="s">
        <v>1141</v>
      </c>
      <c r="C43" s="459">
        <f ca="1">3*(1+LPGin!$C$76)*ROUNDUP($C$26*LPGin!$C84/LPGin!$C81*1000,0)/ROUNDDOWN(LPGin!$C81/$B$7,0)</f>
        <v>181.38673469387757</v>
      </c>
      <c r="F43" s="367" t="s">
        <v>1152</v>
      </c>
      <c r="G43" s="459">
        <f>-PMT(LPGin!$C$4,LPGin!$C$51,LPGin!$C$50)</f>
        <v>120.42354998280128</v>
      </c>
    </row>
    <row r="44" spans="2:7" ht="15" thickBot="1" x14ac:dyDescent="0.35">
      <c r="B44" s="158" t="s">
        <v>1142</v>
      </c>
      <c r="C44" s="460">
        <f ca="1">SUM(C41:C43)</f>
        <v>53560.558883234997</v>
      </c>
      <c r="F44" s="367" t="s">
        <v>1098</v>
      </c>
      <c r="G44" s="459">
        <f>$C$37*8*LPGin!$C$5*Co!$C$7</f>
        <v>61401.599999999999</v>
      </c>
    </row>
    <row r="45" spans="2:7" ht="15.6" thickTop="1" thickBot="1" x14ac:dyDescent="0.35">
      <c r="F45" s="461" t="s">
        <v>1180</v>
      </c>
      <c r="G45" s="463">
        <f ca="1">SUM(G39:G44)</f>
        <v>279764.92943417182</v>
      </c>
    </row>
    <row r="46" spans="2:7" ht="15" thickTop="1" x14ac:dyDescent="0.3"/>
  </sheetData>
  <sheetProtection algorithmName="SHA-512" hashValue="pydL2AQnabi5a6GY0Ai8MplnunkyH+xYxkxgQ/DXGoF5td7QYtpVrf1eATExmEQ0T/2OxTU869y39wzLAwZPbA==" saltValue="frMUg+VMJg76XnpWqmZrqw==" spinCount="100000" sheet="1" objects="1" scenarios="1" selectLockedCells="1"/>
  <dataValidations count="3">
    <dataValidation type="list" allowBlank="1" showInputMessage="1" showErrorMessage="1" prompt="@reference capacity_x000a_1- urban_x000a_2- rural_x000a_3- urban &amp; rural" sqref="C11" xr:uid="{0946E88B-C9C6-4368-8399-67A0EF0BC7C1}">
      <formula1>"1,2,3"</formula1>
    </dataValidation>
    <dataValidation type="decimal" allowBlank="1" showInputMessage="1" showErrorMessage="1" errorTitle="CleanCooking-inputs" error="Value must be between 0% and 100%." sqref="C10" xr:uid="{E5142AA4-FD6C-405B-9F4F-F4A07EADCDB0}">
      <formula1>0</formula1>
      <formula2>1</formula2>
    </dataValidation>
    <dataValidation type="decimal" operator="greaterThan" allowBlank="1" showInputMessage="1" showErrorMessage="1" errorTitle="CleanCooking-inputs" error="Value must be greater than zero (&gt;0)." sqref="B4:B6" xr:uid="{5DDB27A4-4047-4A5D-82B7-6FD9E7E77662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whole" allowBlank="1" showInputMessage="1" showErrorMessage="1" errorTitle="CleanCooking-inputs" error="Value must be greater than zero (&gt;0), with a maximum equal to the number of warehouses." xr:uid="{72DC88EC-C3AC-4D42-803E-E3FA1814C6A4}">
          <x14:formula1>
            <xm:f>1</xm:f>
          </x14:formula1>
          <x14:formula2>
            <xm:f>LPGin!G3</xm:f>
          </x14:formula2>
          <xm:sqref>C12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0A779-47B2-4B29-86B5-4187A1732021}">
  <sheetPr codeName="Sheet42">
    <tabColor rgb="FFFF9999"/>
  </sheetPr>
  <dimension ref="A1:AB48"/>
  <sheetViews>
    <sheetView showGridLines="0" showRowColHeaders="0" zoomScaleNormal="100" workbookViewId="0">
      <pane xSplit="3" ySplit="18" topLeftCell="D19" activePane="bottomRight" state="frozen"/>
      <selection activeCell="H42" sqref="H42"/>
      <selection pane="topRight" activeCell="H42" sqref="H42"/>
      <selection pane="bottomLeft" activeCell="H42" sqref="H42"/>
      <selection pane="bottomRight" activeCell="B42" sqref="B42"/>
    </sheetView>
  </sheetViews>
  <sheetFormatPr defaultColWidth="16.77734375" defaultRowHeight="14.4" x14ac:dyDescent="0.3"/>
  <cols>
    <col min="1" max="1" width="6.77734375" style="7" customWidth="1"/>
    <col min="2" max="2" width="16.77734375" style="483" customWidth="1"/>
    <col min="3" max="3" width="16.77734375" style="475" customWidth="1"/>
    <col min="4" max="4" width="16.77734375" style="476"/>
    <col min="5" max="5" width="16.77734375" style="473"/>
    <col min="6" max="6" width="16.77734375" style="484"/>
    <col min="7" max="7" width="16.77734375" style="479"/>
    <col min="8" max="8" width="16.77734375" style="473"/>
    <col min="9" max="9" width="16.77734375" style="485"/>
    <col min="10" max="10" width="16.77734375" style="477"/>
    <col min="11" max="11" width="16.77734375" style="473"/>
    <col min="12" max="12" width="16.77734375" style="495"/>
    <col min="13" max="13" width="16.77734375" style="478"/>
    <col min="14" max="14" width="16.77734375" style="473"/>
    <col min="15" max="15" width="17.77734375" style="490" customWidth="1"/>
    <col min="16" max="16" width="16.77734375" style="491"/>
    <col min="17" max="17" width="16.77734375" style="492"/>
    <col min="18" max="18" width="16.77734375" style="493"/>
    <col min="19" max="19" width="11.77734375" style="601" customWidth="1"/>
    <col min="20" max="20" width="11.77734375" style="602" customWidth="1"/>
    <col min="21" max="21" width="11.77734375" style="603" customWidth="1"/>
    <col min="22" max="22" width="11.77734375" style="604" customWidth="1"/>
    <col min="23" max="23" width="11.77734375" style="605" customWidth="1"/>
    <col min="24" max="24" width="11.77734375" style="602" customWidth="1"/>
    <col min="25" max="25" width="11.77734375" style="603" customWidth="1"/>
    <col min="26" max="26" width="11.77734375" style="604" customWidth="1"/>
    <col min="27" max="27" width="11.77734375" style="605" customWidth="1"/>
    <col min="28" max="28" width="11.77734375" style="606" customWidth="1"/>
    <col min="29" max="16384" width="16.77734375" style="9"/>
  </cols>
  <sheetData>
    <row r="1" spans="1:28" s="156" customFormat="1" ht="70.2" customHeight="1" thickBot="1" x14ac:dyDescent="0.35">
      <c r="A1" s="154" t="s">
        <v>262</v>
      </c>
      <c r="B1" s="155"/>
      <c r="C1" s="386"/>
    </row>
    <row r="2" spans="1:28" s="2" customFormat="1" ht="15" thickTop="1" x14ac:dyDescent="0.3">
      <c r="A2" s="5"/>
      <c r="B2" s="6"/>
      <c r="C2" s="6"/>
    </row>
    <row r="3" spans="1:28" s="2" customFormat="1" x14ac:dyDescent="0.3">
      <c r="A3" s="5"/>
      <c r="B3" s="91" t="s">
        <v>263</v>
      </c>
      <c r="C3" s="50"/>
      <c r="D3" s="50"/>
      <c r="E3" s="50"/>
      <c r="F3" s="50"/>
      <c r="G3" s="51"/>
    </row>
    <row r="4" spans="1:28" s="2" customFormat="1" x14ac:dyDescent="0.3">
      <c r="A4" s="5"/>
      <c r="B4" s="90" t="s">
        <v>267</v>
      </c>
      <c r="C4" s="9"/>
      <c r="D4" s="9"/>
      <c r="E4" s="9"/>
      <c r="F4" s="9"/>
      <c r="G4" s="52"/>
    </row>
    <row r="5" spans="1:28" s="2" customFormat="1" x14ac:dyDescent="0.3">
      <c r="A5" s="5"/>
      <c r="B5" s="176" t="s">
        <v>268</v>
      </c>
      <c r="C5" s="9"/>
      <c r="D5" s="9"/>
      <c r="E5" s="9"/>
      <c r="F5" s="9"/>
      <c r="G5" s="52"/>
    </row>
    <row r="6" spans="1:28" s="2" customFormat="1" x14ac:dyDescent="0.3">
      <c r="A6" s="5"/>
      <c r="B6" s="90" t="s">
        <v>225</v>
      </c>
      <c r="C6" s="9"/>
      <c r="D6" s="9"/>
      <c r="E6" s="9"/>
      <c r="F6" s="9"/>
      <c r="G6" s="52"/>
    </row>
    <row r="7" spans="1:28" s="2" customFormat="1" x14ac:dyDescent="0.3">
      <c r="A7" s="5"/>
      <c r="B7" s="90" t="s">
        <v>269</v>
      </c>
      <c r="C7" s="9"/>
      <c r="D7" s="9"/>
      <c r="E7" s="9"/>
      <c r="F7" s="9"/>
      <c r="G7" s="52"/>
    </row>
    <row r="8" spans="1:28" s="2" customFormat="1" x14ac:dyDescent="0.3">
      <c r="A8" s="5"/>
      <c r="B8" s="90" t="s">
        <v>270</v>
      </c>
      <c r="C8" s="9"/>
      <c r="D8" s="9"/>
      <c r="E8" s="9"/>
      <c r="F8" s="9"/>
      <c r="G8" s="52"/>
    </row>
    <row r="9" spans="1:28" s="2" customFormat="1" x14ac:dyDescent="0.3">
      <c r="A9" s="5"/>
      <c r="B9" s="187" t="s">
        <v>274</v>
      </c>
      <c r="C9" s="9"/>
      <c r="D9" s="9"/>
      <c r="E9" s="9"/>
      <c r="F9" s="9"/>
      <c r="G9" s="52"/>
    </row>
    <row r="10" spans="1:28" s="2" customFormat="1" x14ac:dyDescent="0.3">
      <c r="A10" s="5"/>
      <c r="B10" s="177" t="s">
        <v>279</v>
      </c>
      <c r="C10" s="54"/>
      <c r="D10" s="54"/>
      <c r="E10" s="54"/>
      <c r="F10" s="54"/>
      <c r="G10" s="55"/>
    </row>
    <row r="11" spans="1:28" s="2" customFormat="1" x14ac:dyDescent="0.3">
      <c r="A11" s="5"/>
      <c r="B11" s="6"/>
      <c r="C11" s="6"/>
    </row>
    <row r="12" spans="1:28" ht="15" thickBot="1" x14ac:dyDescent="0.35">
      <c r="B12" s="8"/>
      <c r="C12" s="8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</row>
    <row r="13" spans="1:28" ht="15" thickTop="1" x14ac:dyDescent="0.3">
      <c r="B13" s="157" t="s">
        <v>210</v>
      </c>
      <c r="C13" s="607">
        <v>1</v>
      </c>
      <c r="D13" s="443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</row>
    <row r="14" spans="1:28" ht="15" thickBot="1" x14ac:dyDescent="0.35">
      <c r="B14" s="158" t="s">
        <v>209</v>
      </c>
      <c r="C14" s="608">
        <v>30</v>
      </c>
      <c r="D14" s="443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</row>
    <row r="15" spans="1:28" ht="15.6" thickTop="1" thickBot="1" x14ac:dyDescent="0.35">
      <c r="B15" s="8"/>
      <c r="C15" s="8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</row>
    <row r="16" spans="1:28" ht="15.6" thickTop="1" thickBot="1" x14ac:dyDescent="0.35">
      <c r="B16" s="8"/>
      <c r="C16" s="8"/>
      <c r="D16" s="160" t="str">
        <f>_xlfn.CONCAT("State 2: ",100*$C$13,"% urban(e-cooking + e-heating)")</f>
        <v>State 2: 100% urban(e-cooking + e-heating)</v>
      </c>
      <c r="E16" s="161"/>
      <c r="F16" s="161"/>
      <c r="G16" s="160" t="str">
        <f>_xlfn.CONCAT("State 3: ",100*$C$13,"% rural(e-cooking + e-heating)")</f>
        <v>State 3: 100% rural(e-cooking + e-heating)</v>
      </c>
      <c r="H16" s="161"/>
      <c r="I16" s="161"/>
      <c r="J16" s="160" t="str">
        <f>_xlfn.CONCAT("State 3: ",100*$C$13,"% [urban+rural](e-cooking + e-heating)")</f>
        <v>State 3: 100% [urban+rural](e-cooking + e-heating)</v>
      </c>
      <c r="K16" s="161"/>
      <c r="L16" s="772"/>
      <c r="M16" s="773"/>
      <c r="N16" s="161"/>
      <c r="O16" s="162"/>
      <c r="P16" s="160" t="s">
        <v>278</v>
      </c>
      <c r="Q16" s="161"/>
      <c r="R16" s="174"/>
      <c r="S16" s="160" t="s">
        <v>265</v>
      </c>
      <c r="T16" s="592"/>
      <c r="U16" s="593" t="s">
        <v>1950</v>
      </c>
      <c r="V16" s="161"/>
      <c r="W16" s="161"/>
      <c r="X16" s="592"/>
      <c r="Y16" s="593" t="s">
        <v>1952</v>
      </c>
      <c r="Z16" s="161"/>
      <c r="AA16" s="161"/>
      <c r="AB16" s="377"/>
    </row>
    <row r="17" spans="2:28" ht="15" thickTop="1" x14ac:dyDescent="0.3">
      <c r="B17" s="160" t="s">
        <v>221</v>
      </c>
      <c r="C17" s="391"/>
      <c r="D17" s="171" t="s">
        <v>213</v>
      </c>
      <c r="E17" s="165" t="s">
        <v>265</v>
      </c>
      <c r="F17" s="165" t="s">
        <v>266</v>
      </c>
      <c r="G17" s="171" t="s">
        <v>213</v>
      </c>
      <c r="H17" s="165" t="s">
        <v>265</v>
      </c>
      <c r="I17" s="165" t="s">
        <v>266</v>
      </c>
      <c r="J17" s="171" t="s">
        <v>213</v>
      </c>
      <c r="K17" s="165" t="s">
        <v>265</v>
      </c>
      <c r="L17" s="183" t="s">
        <v>266</v>
      </c>
      <c r="M17" s="184" t="s">
        <v>271</v>
      </c>
      <c r="N17" s="165" t="s">
        <v>272</v>
      </c>
      <c r="O17" s="166" t="s">
        <v>273</v>
      </c>
      <c r="P17" s="188" t="s">
        <v>275</v>
      </c>
      <c r="Q17" s="189" t="s">
        <v>276</v>
      </c>
      <c r="R17" s="190" t="s">
        <v>277</v>
      </c>
      <c r="S17" s="591" t="s">
        <v>1949</v>
      </c>
      <c r="T17" s="594"/>
      <c r="U17" s="595" t="s">
        <v>1949</v>
      </c>
      <c r="V17" s="598"/>
      <c r="W17" s="591" t="s">
        <v>1951</v>
      </c>
      <c r="X17" s="594"/>
      <c r="Y17" s="595" t="s">
        <v>1949</v>
      </c>
      <c r="Z17" s="598"/>
      <c r="AA17" s="591" t="s">
        <v>1951</v>
      </c>
      <c r="AB17" s="599"/>
    </row>
    <row r="18" spans="2:28" ht="15" thickBot="1" x14ac:dyDescent="0.35">
      <c r="B18" s="169" t="s">
        <v>211</v>
      </c>
      <c r="C18" s="390" t="s">
        <v>212</v>
      </c>
      <c r="D18" s="173" t="s">
        <v>216</v>
      </c>
      <c r="E18" s="167" t="s">
        <v>216</v>
      </c>
      <c r="F18" s="167" t="s">
        <v>66</v>
      </c>
      <c r="G18" s="173" t="s">
        <v>216</v>
      </c>
      <c r="H18" s="167" t="s">
        <v>216</v>
      </c>
      <c r="I18" s="167" t="s">
        <v>66</v>
      </c>
      <c r="J18" s="173" t="s">
        <v>216</v>
      </c>
      <c r="K18" s="167" t="s">
        <v>216</v>
      </c>
      <c r="L18" s="185" t="s">
        <v>66</v>
      </c>
      <c r="M18" s="186" t="s">
        <v>216</v>
      </c>
      <c r="N18" s="167" t="s">
        <v>216</v>
      </c>
      <c r="O18" s="168" t="s">
        <v>66</v>
      </c>
      <c r="P18" s="186" t="s">
        <v>66</v>
      </c>
      <c r="Q18" s="167" t="s">
        <v>66</v>
      </c>
      <c r="R18" s="175" t="s">
        <v>66</v>
      </c>
      <c r="S18" s="167" t="s">
        <v>1947</v>
      </c>
      <c r="T18" s="596" t="s">
        <v>1948</v>
      </c>
      <c r="U18" s="597" t="s">
        <v>1947</v>
      </c>
      <c r="V18" s="185" t="s">
        <v>1948</v>
      </c>
      <c r="W18" s="186" t="s">
        <v>1947</v>
      </c>
      <c r="X18" s="596" t="s">
        <v>1948</v>
      </c>
      <c r="Y18" s="597" t="s">
        <v>1947</v>
      </c>
      <c r="Z18" s="185" t="s">
        <v>1948</v>
      </c>
      <c r="AA18" s="186" t="s">
        <v>1947</v>
      </c>
      <c r="AB18" s="600" t="s">
        <v>1948</v>
      </c>
    </row>
    <row r="19" spans="2:28" x14ac:dyDescent="0.3">
      <c r="B19" s="482">
        <v>30</v>
      </c>
      <c r="C19" s="469" t="s">
        <v>258</v>
      </c>
      <c r="D19" s="470">
        <v>9.8244953963570442E-2</v>
      </c>
      <c r="E19" s="471">
        <v>7.0483252167283448</v>
      </c>
      <c r="F19" s="496">
        <v>2</v>
      </c>
      <c r="G19" s="472">
        <v>0.20722924533380815</v>
      </c>
      <c r="H19" s="473">
        <v>9.8033186891571749</v>
      </c>
      <c r="I19" s="496">
        <v>2</v>
      </c>
      <c r="J19" s="472">
        <v>0.27416890918369696</v>
      </c>
      <c r="K19" s="473">
        <v>16.836256779607545</v>
      </c>
      <c r="L19" s="494">
        <v>2</v>
      </c>
      <c r="M19" s="474">
        <v>0.89986755729502577</v>
      </c>
      <c r="N19" s="471">
        <v>0.56462791175420568</v>
      </c>
      <c r="O19" s="486" cm="1">
        <f t="array" aca="1" ref="O19:O48" ca="1">_xlfn._xlws.FILTER(OFFSET($P$19,0,0,$C$14)+OFFSET($Q$19,0,0,$C$14)+OFFSET($R$19,0,0,$C$14),OFFSET($P$19,0,0,$C$14)&lt;&gt;"","")</f>
        <v>196.18790676329149</v>
      </c>
      <c r="P19" s="487">
        <v>31.7</v>
      </c>
      <c r="Q19" s="488">
        <v>30.6</v>
      </c>
      <c r="R19" s="489">
        <v>133.88790676329148</v>
      </c>
      <c r="S19" s="601">
        <v>0.20730829532533163</v>
      </c>
      <c r="T19" s="602">
        <v>0.13713444063348854</v>
      </c>
      <c r="U19" s="603">
        <v>0.27911982153994175</v>
      </c>
      <c r="V19" s="604">
        <v>0.771269167543015</v>
      </c>
      <c r="W19" s="605">
        <v>8.1494256151159072E-2</v>
      </c>
      <c r="X19" s="602">
        <v>0.72567320159373694</v>
      </c>
      <c r="Y19" s="603">
        <v>0.72088017846005825</v>
      </c>
      <c r="Z19" s="604">
        <v>0.22873083245698494</v>
      </c>
      <c r="AA19" s="605">
        <v>0.91850574384884098</v>
      </c>
      <c r="AB19" s="606">
        <v>0.274549111190868</v>
      </c>
    </row>
    <row r="20" spans="2:28" x14ac:dyDescent="0.3">
      <c r="B20" s="483">
        <v>26</v>
      </c>
      <c r="C20" s="475" t="s">
        <v>254</v>
      </c>
      <c r="D20" s="476">
        <v>3.6807562907823888E-2</v>
      </c>
      <c r="E20" s="473">
        <v>1.9689148054494232</v>
      </c>
      <c r="F20" s="497">
        <v>2</v>
      </c>
      <c r="G20" s="477">
        <v>0.41275962433432106</v>
      </c>
      <c r="H20" s="473">
        <v>14.399157361404844</v>
      </c>
      <c r="I20" s="497">
        <v>2</v>
      </c>
      <c r="J20" s="477">
        <v>0.4293784365033686</v>
      </c>
      <c r="K20" s="473">
        <v>16.35855304987891</v>
      </c>
      <c r="L20" s="495">
        <v>2</v>
      </c>
      <c r="M20" s="478">
        <v>0.48377177304206703</v>
      </c>
      <c r="N20" s="473">
        <v>0.56591646888778868</v>
      </c>
      <c r="O20" s="490">
        <f ca="1"/>
        <v>378.80144770455115</v>
      </c>
      <c r="P20" s="491">
        <v>79.5</v>
      </c>
      <c r="Q20" s="492">
        <v>51.7</v>
      </c>
      <c r="R20" s="493">
        <v>247.60144770455113</v>
      </c>
      <c r="S20" s="601">
        <v>0.14942520748037796</v>
      </c>
      <c r="T20" s="602">
        <v>0.12354602721085604</v>
      </c>
      <c r="U20" s="603">
        <v>0.51919290458463774</v>
      </c>
      <c r="V20" s="604">
        <v>0.86162041919660226</v>
      </c>
      <c r="W20" s="605">
        <v>0.11315363056066506</v>
      </c>
      <c r="X20" s="602">
        <v>0.83423347307811724</v>
      </c>
      <c r="Y20" s="603">
        <v>0.48080709541536232</v>
      </c>
      <c r="Z20" s="604">
        <v>0.13837958080339771</v>
      </c>
      <c r="AA20" s="605">
        <v>0.88684636943933493</v>
      </c>
      <c r="AB20" s="606">
        <v>0.1659051157389986</v>
      </c>
    </row>
    <row r="21" spans="2:28" x14ac:dyDescent="0.3">
      <c r="B21" s="483">
        <v>27</v>
      </c>
      <c r="C21" s="475" t="s">
        <v>255</v>
      </c>
      <c r="D21" s="476">
        <v>3.7051199443365136E-2</v>
      </c>
      <c r="E21" s="473">
        <v>2.0726604589817508</v>
      </c>
      <c r="F21" s="497">
        <v>2</v>
      </c>
      <c r="G21" s="477">
        <v>0.32550377622218785</v>
      </c>
      <c r="H21" s="473">
        <v>11.673920668913953</v>
      </c>
      <c r="I21" s="497">
        <v>2</v>
      </c>
      <c r="J21" s="477">
        <v>0.34806929471876563</v>
      </c>
      <c r="K21" s="473">
        <v>13.737105871886943</v>
      </c>
      <c r="L21" s="495">
        <v>2</v>
      </c>
      <c r="M21" s="478">
        <v>0.40742138809532163</v>
      </c>
      <c r="N21" s="473">
        <v>0.46861505644449153</v>
      </c>
      <c r="O21" s="490">
        <f ca="1"/>
        <v>315.79843177197642</v>
      </c>
      <c r="P21" s="491">
        <v>79.5</v>
      </c>
      <c r="Q21" s="492">
        <v>2.5</v>
      </c>
      <c r="R21" s="493">
        <v>233.79843177197642</v>
      </c>
      <c r="S21" s="601">
        <v>0.14938205803000656</v>
      </c>
      <c r="T21" s="602">
        <v>0.12429421571056937</v>
      </c>
      <c r="U21" s="603">
        <v>0.51975469049172851</v>
      </c>
      <c r="V21" s="604">
        <v>0.85038546049390951</v>
      </c>
      <c r="W21" s="605">
        <v>0.10061948164459714</v>
      </c>
      <c r="X21" s="602">
        <v>0.83133746422039834</v>
      </c>
      <c r="Y21" s="603">
        <v>0.48024530950827155</v>
      </c>
      <c r="Z21" s="604">
        <v>0.14961453950609047</v>
      </c>
      <c r="AA21" s="605">
        <v>0.89938051835540267</v>
      </c>
      <c r="AB21" s="606">
        <v>0.16880138405673753</v>
      </c>
    </row>
    <row r="22" spans="2:28" x14ac:dyDescent="0.3">
      <c r="B22" s="483">
        <v>28</v>
      </c>
      <c r="C22" s="475" t="s">
        <v>256</v>
      </c>
      <c r="D22" s="476">
        <v>2.5883300292734713E-2</v>
      </c>
      <c r="E22" s="473">
        <v>1.2836685319042969</v>
      </c>
      <c r="F22" s="497">
        <v>2</v>
      </c>
      <c r="G22" s="477">
        <v>0.37221456342398956</v>
      </c>
      <c r="H22" s="473">
        <v>12.551068264509276</v>
      </c>
      <c r="I22" s="497">
        <v>2</v>
      </c>
      <c r="J22" s="477">
        <v>0.38482870500588684</v>
      </c>
      <c r="K22" s="473">
        <v>13.82627812521012</v>
      </c>
      <c r="L22" s="495">
        <v>2</v>
      </c>
      <c r="M22" s="478">
        <v>0.40848563802331611</v>
      </c>
      <c r="N22" s="473">
        <v>0.48613508862808424</v>
      </c>
      <c r="O22" s="490">
        <f ca="1"/>
        <v>404.38149097273913</v>
      </c>
      <c r="P22" s="491">
        <v>79.5</v>
      </c>
      <c r="Q22" s="492">
        <v>64.400000000000006</v>
      </c>
      <c r="R22" s="493">
        <v>260.4814909727391</v>
      </c>
      <c r="S22" s="601">
        <v>0.14970796985688126</v>
      </c>
      <c r="T22" s="602">
        <v>0.1217892516601199</v>
      </c>
      <c r="U22" s="603">
        <v>0.5184005452282443</v>
      </c>
      <c r="V22" s="604">
        <v>0.86526068256399247</v>
      </c>
      <c r="W22" s="605">
        <v>0.12826661288812025</v>
      </c>
      <c r="X22" s="602">
        <v>0.84747207595152818</v>
      </c>
      <c r="Y22" s="603">
        <v>0.48159945477175575</v>
      </c>
      <c r="Z22" s="604">
        <v>0.13473931743600742</v>
      </c>
      <c r="AA22" s="605">
        <v>0.87173338711187964</v>
      </c>
      <c r="AB22" s="606">
        <v>0.15265494316981967</v>
      </c>
    </row>
    <row r="23" spans="2:28" x14ac:dyDescent="0.3">
      <c r="B23" s="483">
        <v>29</v>
      </c>
      <c r="C23" s="475" t="s">
        <v>257</v>
      </c>
      <c r="D23" s="476">
        <v>2.5824136265013883E-2</v>
      </c>
      <c r="E23" s="473">
        <v>1.1014479437112839</v>
      </c>
      <c r="F23" s="497">
        <v>2</v>
      </c>
      <c r="G23" s="477">
        <v>0.33206543018443946</v>
      </c>
      <c r="H23" s="473">
        <v>11.212490991182618</v>
      </c>
      <c r="I23" s="497">
        <v>2</v>
      </c>
      <c r="J23" s="477">
        <v>0.34376364800547787</v>
      </c>
      <c r="K23" s="473">
        <v>12.305834424479134</v>
      </c>
      <c r="L23" s="495">
        <v>2</v>
      </c>
      <c r="M23" s="478">
        <v>0.37453198287437617</v>
      </c>
      <c r="N23" s="473">
        <v>0.42872075241101609</v>
      </c>
      <c r="O23" s="490">
        <f ca="1"/>
        <v>378.97375395817789</v>
      </c>
      <c r="P23" s="491">
        <v>79.5</v>
      </c>
      <c r="Q23" s="492">
        <v>37.4</v>
      </c>
      <c r="R23" s="493">
        <v>262.07375395817792</v>
      </c>
      <c r="S23" s="601">
        <v>0.14754000558761335</v>
      </c>
      <c r="T23" s="602">
        <v>0.12210569745679195</v>
      </c>
      <c r="U23" s="603">
        <v>0.53208609189170808</v>
      </c>
      <c r="V23" s="604">
        <v>0.86103655575731852</v>
      </c>
      <c r="W23" s="605">
        <v>0.12058867622691538</v>
      </c>
      <c r="X23" s="602">
        <v>0.85043295647701767</v>
      </c>
      <c r="Y23" s="603">
        <v>0.46791390810829214</v>
      </c>
      <c r="Z23" s="604">
        <v>0.13896344424268153</v>
      </c>
      <c r="AA23" s="605">
        <v>0.87941132377308462</v>
      </c>
      <c r="AB23" s="606">
        <v>0.14968968013340125</v>
      </c>
    </row>
    <row r="24" spans="2:28" x14ac:dyDescent="0.3">
      <c r="B24" s="483">
        <v>25</v>
      </c>
      <c r="C24" s="475" t="s">
        <v>253</v>
      </c>
      <c r="D24" s="476">
        <v>6.5577478956252239E-2</v>
      </c>
      <c r="E24" s="473">
        <v>4.4120282144620271</v>
      </c>
      <c r="F24" s="497">
        <v>2</v>
      </c>
      <c r="G24" s="477">
        <v>0.36439639694826481</v>
      </c>
      <c r="H24" s="473">
        <v>14.385203606603374</v>
      </c>
      <c r="I24" s="497">
        <v>2</v>
      </c>
      <c r="J24" s="477">
        <v>0.40877188801235936</v>
      </c>
      <c r="K24" s="473">
        <v>18.785932432643186</v>
      </c>
      <c r="L24" s="495">
        <v>2</v>
      </c>
      <c r="M24" s="478">
        <v>0.55792997073555772</v>
      </c>
      <c r="N24" s="473">
        <v>0.65487767803746444</v>
      </c>
      <c r="O24" s="490">
        <f ca="1"/>
        <v>366.3939823716355</v>
      </c>
      <c r="P24" s="491">
        <v>79.5</v>
      </c>
      <c r="Q24" s="492">
        <v>88.5</v>
      </c>
      <c r="R24" s="493">
        <v>198.3939823716355</v>
      </c>
      <c r="S24" s="601">
        <v>0.1489653776333954</v>
      </c>
      <c r="T24" s="602">
        <v>0.12977409052746816</v>
      </c>
      <c r="U24" s="603">
        <v>0.52082265118551041</v>
      </c>
      <c r="V24" s="604">
        <v>0.84042968261393491</v>
      </c>
      <c r="W24" s="605">
        <v>0.11811598198681883</v>
      </c>
      <c r="X24" s="602">
        <v>0.80119419676578763</v>
      </c>
      <c r="Y24" s="603">
        <v>0.47917734881448948</v>
      </c>
      <c r="Z24" s="604">
        <v>0.15957031738606509</v>
      </c>
      <c r="AA24" s="605">
        <v>0.88188401801318117</v>
      </c>
      <c r="AB24" s="606">
        <v>0.19897711359745998</v>
      </c>
    </row>
    <row r="25" spans="2:28" ht="14.4" customHeight="1" x14ac:dyDescent="0.3">
      <c r="B25" s="483">
        <v>24</v>
      </c>
      <c r="C25" s="475" t="s">
        <v>252</v>
      </c>
      <c r="D25" s="476">
        <v>7.9469143032718945E-2</v>
      </c>
      <c r="E25" s="473">
        <v>5.478445294375069</v>
      </c>
      <c r="F25" s="497">
        <v>2</v>
      </c>
      <c r="G25" s="477">
        <v>0.21377380520706013</v>
      </c>
      <c r="H25" s="473">
        <v>9.5372446830454116</v>
      </c>
      <c r="I25" s="497">
        <v>2</v>
      </c>
      <c r="J25" s="477">
        <v>0.26909472188683486</v>
      </c>
      <c r="K25" s="473">
        <v>15.00177307899594</v>
      </c>
      <c r="L25" s="495">
        <v>2</v>
      </c>
      <c r="M25" s="478">
        <v>0.45285667713636152</v>
      </c>
      <c r="N25" s="473">
        <v>0.51339206562926332</v>
      </c>
      <c r="O25" s="490">
        <f ca="1"/>
        <v>244.31663551655737</v>
      </c>
      <c r="P25" s="491">
        <v>79.5</v>
      </c>
      <c r="Q25" s="492">
        <v>14</v>
      </c>
      <c r="R25" s="493">
        <v>150.81663551655737</v>
      </c>
      <c r="S25" s="601">
        <v>0.14845006197595334</v>
      </c>
      <c r="T25" s="602">
        <v>0.13493575699069274</v>
      </c>
      <c r="U25" s="603">
        <v>0.52708719036239604</v>
      </c>
      <c r="V25" s="604">
        <v>0.78581261226377008</v>
      </c>
      <c r="W25" s="605">
        <v>0.1006137084741434</v>
      </c>
      <c r="X25" s="602">
        <v>0.75106324618154208</v>
      </c>
      <c r="Y25" s="603">
        <v>0.47291280963760407</v>
      </c>
      <c r="Z25" s="604">
        <v>0.21418738773622972</v>
      </c>
      <c r="AA25" s="605">
        <v>0.89938629152585658</v>
      </c>
      <c r="AB25" s="606">
        <v>0.24913530228802119</v>
      </c>
    </row>
    <row r="26" spans="2:28" ht="14.4" customHeight="1" x14ac:dyDescent="0.3">
      <c r="B26" s="483">
        <v>2</v>
      </c>
      <c r="C26" s="475" t="s">
        <v>230</v>
      </c>
      <c r="D26" s="476">
        <v>0.42252706949480096</v>
      </c>
      <c r="E26" s="473">
        <v>24.976028517898197</v>
      </c>
      <c r="F26" s="497">
        <v>2</v>
      </c>
      <c r="G26" s="477">
        <v>8.1878361440349129E-2</v>
      </c>
      <c r="H26" s="473">
        <v>5.0943258885717597</v>
      </c>
      <c r="I26" s="497">
        <v>2</v>
      </c>
      <c r="J26" s="477">
        <v>0.52428437547221352</v>
      </c>
      <c r="K26" s="473">
        <v>30.076886214477387</v>
      </c>
      <c r="L26" s="495">
        <v>2</v>
      </c>
      <c r="M26" s="478">
        <v>1.771106198018529</v>
      </c>
      <c r="N26" s="473">
        <v>1.1622949635689324</v>
      </c>
      <c r="O26" s="490">
        <f ca="1"/>
        <v>97.669728958421501</v>
      </c>
      <c r="P26" s="491">
        <v>31.4</v>
      </c>
      <c r="Q26" s="492">
        <v>13.4</v>
      </c>
      <c r="R26" s="493">
        <v>52.869728958421504</v>
      </c>
      <c r="S26" s="601">
        <v>0.20616352673177196</v>
      </c>
      <c r="T26" s="602">
        <v>0.13703536355682933</v>
      </c>
      <c r="U26" s="603">
        <v>0.28237547707182359</v>
      </c>
      <c r="V26" s="604">
        <v>0.74595964905876166</v>
      </c>
      <c r="W26" s="605">
        <v>6.0662348075324557E-2</v>
      </c>
      <c r="X26" s="602">
        <v>0.62970673382828246</v>
      </c>
      <c r="Y26" s="603">
        <v>0.71762452292817647</v>
      </c>
      <c r="Z26" s="604">
        <v>0.25404035094123839</v>
      </c>
      <c r="AA26" s="605">
        <v>0.93933765192467533</v>
      </c>
      <c r="AB26" s="606">
        <v>0.370520623667837</v>
      </c>
    </row>
    <row r="27" spans="2:28" ht="14.4" customHeight="1" x14ac:dyDescent="0.3">
      <c r="B27" s="483">
        <v>3</v>
      </c>
      <c r="C27" s="475" t="s">
        <v>231</v>
      </c>
      <c r="D27" s="476">
        <v>0.28596107353999201</v>
      </c>
      <c r="E27" s="473">
        <v>16.273839722387592</v>
      </c>
      <c r="F27" s="497">
        <v>2</v>
      </c>
      <c r="G27" s="477">
        <v>2.0238636795672848E-2</v>
      </c>
      <c r="H27" s="473">
        <v>0.15430852520308563</v>
      </c>
      <c r="I27" s="497">
        <v>2</v>
      </c>
      <c r="J27" s="477">
        <v>0.29263824211394712</v>
      </c>
      <c r="K27" s="473">
        <v>16.42593745100698</v>
      </c>
      <c r="L27" s="495">
        <v>2</v>
      </c>
      <c r="M27" s="478">
        <v>0.90050763046508386</v>
      </c>
      <c r="N27" s="473">
        <v>0.64055608217813897</v>
      </c>
      <c r="O27" s="490">
        <f ca="1"/>
        <v>89.545909117492243</v>
      </c>
      <c r="P27" s="491">
        <v>31.7</v>
      </c>
      <c r="Q27" s="492">
        <v>12.8</v>
      </c>
      <c r="R27" s="493">
        <v>45.045909117492251</v>
      </c>
      <c r="S27" s="601">
        <v>0.19974843587466132</v>
      </c>
      <c r="T27" s="602">
        <v>0.13903856073655937</v>
      </c>
      <c r="U27" s="603">
        <v>0.30663006007555199</v>
      </c>
      <c r="V27" s="604">
        <v>0.74064642015567295</v>
      </c>
      <c r="W27" s="605">
        <v>6.9300190016556115E-2</v>
      </c>
      <c r="X27" s="602">
        <v>0.64481195342791175</v>
      </c>
      <c r="Y27" s="603">
        <v>0.69336993992444784</v>
      </c>
      <c r="Z27" s="604">
        <v>0.25935357984432711</v>
      </c>
      <c r="AA27" s="605">
        <v>0.9306998099834437</v>
      </c>
      <c r="AB27" s="606">
        <v>0.35540994557475158</v>
      </c>
    </row>
    <row r="28" spans="2:28" ht="14.4" customHeight="1" x14ac:dyDescent="0.3">
      <c r="B28" s="483">
        <v>1</v>
      </c>
      <c r="C28" s="475" t="s">
        <v>229</v>
      </c>
      <c r="D28" s="476">
        <v>0.19850380273057178</v>
      </c>
      <c r="E28" s="473">
        <v>11.288180644789575</v>
      </c>
      <c r="F28" s="497">
        <v>2</v>
      </c>
      <c r="G28" s="477">
        <v>3.723516948753821E-2</v>
      </c>
      <c r="H28" s="473">
        <v>1.905383949917433</v>
      </c>
      <c r="I28" s="497">
        <v>2</v>
      </c>
      <c r="J28" s="477">
        <v>0.24017384198493125</v>
      </c>
      <c r="K28" s="473">
        <v>13.190514366634757</v>
      </c>
      <c r="L28" s="495">
        <v>2</v>
      </c>
      <c r="M28" s="478">
        <v>0.67798066719097294</v>
      </c>
      <c r="N28" s="473">
        <v>0.5079415317539977</v>
      </c>
      <c r="O28" s="490">
        <f ca="1"/>
        <v>63.742585555628594</v>
      </c>
      <c r="P28" s="491">
        <v>0</v>
      </c>
      <c r="Q28" s="492">
        <v>13</v>
      </c>
      <c r="R28" s="493">
        <v>50.742585555628594</v>
      </c>
      <c r="S28" s="601">
        <v>0.19430426587746971</v>
      </c>
      <c r="T28" s="602">
        <v>0.13617427997030576</v>
      </c>
      <c r="U28" s="603">
        <v>0.33073966078024958</v>
      </c>
      <c r="V28" s="604">
        <v>0.7264485774967534</v>
      </c>
      <c r="W28" s="605">
        <v>5.7776293855979627E-2</v>
      </c>
      <c r="X28" s="602">
        <v>0.64189109362552166</v>
      </c>
      <c r="Y28" s="603">
        <v>0.66926033921975026</v>
      </c>
      <c r="Z28" s="604">
        <v>0.27355142250324649</v>
      </c>
      <c r="AA28" s="605">
        <v>0.94222370614402051</v>
      </c>
      <c r="AB28" s="606">
        <v>0.35832110343201762</v>
      </c>
    </row>
    <row r="29" spans="2:28" ht="14.4" customHeight="1" x14ac:dyDescent="0.3">
      <c r="B29" s="483">
        <v>22</v>
      </c>
      <c r="C29" s="475" t="s">
        <v>250</v>
      </c>
      <c r="D29" s="476">
        <v>2.5918384469405625E-2</v>
      </c>
      <c r="E29" s="473">
        <v>1.1616314883339909</v>
      </c>
      <c r="F29" s="497">
        <v>2</v>
      </c>
      <c r="G29" s="477">
        <v>0.33539872904340101</v>
      </c>
      <c r="H29" s="473">
        <v>10.035549583796525</v>
      </c>
      <c r="I29" s="497">
        <v>2</v>
      </c>
      <c r="J29" s="477">
        <v>0.34807731310483375</v>
      </c>
      <c r="K29" s="473">
        <v>11.188247527876591</v>
      </c>
      <c r="L29" s="495">
        <v>2</v>
      </c>
      <c r="M29" s="478">
        <v>0.35708877235279379</v>
      </c>
      <c r="N29" s="473">
        <v>0.45297588443089598</v>
      </c>
      <c r="O29" s="490">
        <f ca="1"/>
        <v>411.18107556392226</v>
      </c>
      <c r="P29" s="491">
        <v>107</v>
      </c>
      <c r="Q29" s="492">
        <v>48.9</v>
      </c>
      <c r="R29" s="493">
        <v>255.28107556392226</v>
      </c>
      <c r="S29" s="601">
        <v>0.14885385601975179</v>
      </c>
      <c r="T29" s="602">
        <v>0.12207201791172965</v>
      </c>
      <c r="U29" s="603">
        <v>0.51758390534646315</v>
      </c>
      <c r="V29" s="604">
        <v>0.86554479766547465</v>
      </c>
      <c r="W29" s="605">
        <v>0.13804427256486645</v>
      </c>
      <c r="X29" s="602">
        <v>0.85382050232578055</v>
      </c>
      <c r="Y29" s="603">
        <v>0.48241609465353708</v>
      </c>
      <c r="Z29" s="604">
        <v>0.13445520233452538</v>
      </c>
      <c r="AA29" s="605">
        <v>0.8619557274351336</v>
      </c>
      <c r="AB29" s="606">
        <v>0.14628996452518295</v>
      </c>
    </row>
    <row r="30" spans="2:28" ht="14.4" customHeight="1" x14ac:dyDescent="0.3">
      <c r="B30" s="483">
        <v>20</v>
      </c>
      <c r="C30" s="475" t="s">
        <v>248</v>
      </c>
      <c r="D30" s="476">
        <v>2.028979838421973E-2</v>
      </c>
      <c r="E30" s="473">
        <v>0.42604114939336263</v>
      </c>
      <c r="F30" s="497">
        <v>2</v>
      </c>
      <c r="G30" s="477">
        <v>0.38480525309599678</v>
      </c>
      <c r="H30" s="473">
        <v>10.854127184596383</v>
      </c>
      <c r="I30" s="497">
        <v>2</v>
      </c>
      <c r="J30" s="477">
        <v>0.3876373115030497</v>
      </c>
      <c r="K30" s="473">
        <v>11.274083328660177</v>
      </c>
      <c r="L30" s="495">
        <v>2</v>
      </c>
      <c r="M30" s="478">
        <v>0.35814302112447205</v>
      </c>
      <c r="N30" s="473">
        <v>0.45444421864125673</v>
      </c>
      <c r="O30" s="490">
        <f ca="1"/>
        <v>438.54489968349765</v>
      </c>
      <c r="P30" s="491">
        <v>107</v>
      </c>
      <c r="Q30" s="492">
        <v>44.1</v>
      </c>
      <c r="R30" s="493">
        <v>287.44489968349762</v>
      </c>
      <c r="S30" s="601">
        <v>0.14922367513658544</v>
      </c>
      <c r="T30" s="602">
        <v>0.11891399158988686</v>
      </c>
      <c r="U30" s="603">
        <v>0.51606031794068685</v>
      </c>
      <c r="V30" s="604">
        <v>0.87262133441715239</v>
      </c>
      <c r="W30" s="605">
        <v>0.135507321886915</v>
      </c>
      <c r="X30" s="602">
        <v>0.8602632333247282</v>
      </c>
      <c r="Y30" s="603">
        <v>0.48393968205931337</v>
      </c>
      <c r="Z30" s="604">
        <v>0.12737866558284758</v>
      </c>
      <c r="AA30" s="605">
        <v>0.86449267811308494</v>
      </c>
      <c r="AB30" s="606">
        <v>0.1398361473927929</v>
      </c>
    </row>
    <row r="31" spans="2:28" ht="14.4" customHeight="1" x14ac:dyDescent="0.3">
      <c r="B31" s="483">
        <v>23</v>
      </c>
      <c r="C31" s="475" t="s">
        <v>251</v>
      </c>
      <c r="D31" s="476">
        <v>2.0260988102165804E-2</v>
      </c>
      <c r="E31" s="473">
        <v>0.33189164050137698</v>
      </c>
      <c r="F31" s="497">
        <v>2</v>
      </c>
      <c r="G31" s="477">
        <v>0.43463573090968294</v>
      </c>
      <c r="H31" s="473">
        <v>12.385056760297909</v>
      </c>
      <c r="I31" s="497">
        <v>2</v>
      </c>
      <c r="J31" s="477">
        <v>0.44213170090935733</v>
      </c>
      <c r="K31" s="473">
        <v>12.712574105898835</v>
      </c>
      <c r="L31" s="495">
        <v>2</v>
      </c>
      <c r="M31" s="478">
        <v>0.65962816890369591</v>
      </c>
      <c r="N31" s="473">
        <v>0.48055086370679589</v>
      </c>
      <c r="O31" s="490">
        <f ca="1"/>
        <v>342.26316953480199</v>
      </c>
      <c r="P31" s="491">
        <v>0</v>
      </c>
      <c r="Q31" s="492">
        <v>48.9</v>
      </c>
      <c r="R31" s="493">
        <v>293.36316953480201</v>
      </c>
      <c r="S31" s="601">
        <v>0.1920715181812222</v>
      </c>
      <c r="T31" s="602">
        <v>0.12172956584950666</v>
      </c>
      <c r="U31" s="603">
        <v>0.33994166176224572</v>
      </c>
      <c r="V31" s="604">
        <v>0.88456672057185037</v>
      </c>
      <c r="W31" s="605">
        <v>7.786762234921682E-2</v>
      </c>
      <c r="X31" s="602">
        <v>0.86799645058010233</v>
      </c>
      <c r="Y31" s="603">
        <v>0.66005833823775428</v>
      </c>
      <c r="Z31" s="604">
        <v>0.11543327942814963</v>
      </c>
      <c r="AA31" s="605">
        <v>0.92213237765078326</v>
      </c>
      <c r="AB31" s="606">
        <v>0.13210514677658625</v>
      </c>
    </row>
    <row r="32" spans="2:28" ht="14.4" customHeight="1" x14ac:dyDescent="0.3">
      <c r="B32" s="483">
        <v>21</v>
      </c>
      <c r="C32" s="475" t="s">
        <v>249</v>
      </c>
      <c r="D32" s="476">
        <v>0.1183140428981742</v>
      </c>
      <c r="E32" s="473">
        <v>7.4387808972451381</v>
      </c>
      <c r="F32" s="497">
        <v>2</v>
      </c>
      <c r="G32" s="477">
        <v>0.15984499354979728</v>
      </c>
      <c r="H32" s="473">
        <v>7.2740887818460207</v>
      </c>
      <c r="I32" s="497">
        <v>2</v>
      </c>
      <c r="J32" s="477">
        <v>0.24750401819171144</v>
      </c>
      <c r="K32" s="473">
        <v>14.698456790075864</v>
      </c>
      <c r="L32" s="495">
        <v>2</v>
      </c>
      <c r="M32" s="478">
        <v>0.47826084608434755</v>
      </c>
      <c r="N32" s="473">
        <v>0.57514688398452241</v>
      </c>
      <c r="O32" s="490">
        <f ca="1"/>
        <v>226.54872321971098</v>
      </c>
      <c r="P32" s="491">
        <v>107</v>
      </c>
      <c r="Q32" s="492">
        <v>10.199999999999999</v>
      </c>
      <c r="R32" s="493">
        <v>109.34872321971098</v>
      </c>
      <c r="S32" s="601">
        <v>0.14798965587089019</v>
      </c>
      <c r="T32" s="602">
        <v>0.14150477336037395</v>
      </c>
      <c r="U32" s="603">
        <v>0.52517548542427339</v>
      </c>
      <c r="V32" s="604">
        <v>0.74762756319644763</v>
      </c>
      <c r="W32" s="605">
        <v>0.10245930123309423</v>
      </c>
      <c r="X32" s="602">
        <v>0.69675050760800561</v>
      </c>
      <c r="Y32" s="603">
        <v>0.47482451457572666</v>
      </c>
      <c r="Z32" s="604">
        <v>0.25237243680355231</v>
      </c>
      <c r="AA32" s="605">
        <v>0.89754069876690579</v>
      </c>
      <c r="AB32" s="606">
        <v>0.30346265367528108</v>
      </c>
    </row>
    <row r="33" spans="2:28" ht="14.4" customHeight="1" x14ac:dyDescent="0.3">
      <c r="B33" s="483">
        <v>19</v>
      </c>
      <c r="C33" s="475" t="s">
        <v>247</v>
      </c>
      <c r="D33" s="476">
        <v>3.1337826595010818E-2</v>
      </c>
      <c r="E33" s="473">
        <v>1.2944795978223727</v>
      </c>
      <c r="F33" s="497">
        <v>2</v>
      </c>
      <c r="G33" s="477">
        <v>0.3318626466316712</v>
      </c>
      <c r="H33" s="473">
        <v>9.9649126310598941</v>
      </c>
      <c r="I33" s="497">
        <v>2</v>
      </c>
      <c r="J33" s="477">
        <v>0.34597948879985435</v>
      </c>
      <c r="K33" s="473">
        <v>11.250425903406429</v>
      </c>
      <c r="L33" s="495">
        <v>2</v>
      </c>
      <c r="M33" s="478">
        <v>0.57085968830045053</v>
      </c>
      <c r="N33" s="473">
        <v>0.42177217029505043</v>
      </c>
      <c r="O33" s="490">
        <f ca="1"/>
        <v>280.42724631295982</v>
      </c>
      <c r="P33" s="491">
        <v>0</v>
      </c>
      <c r="Q33" s="492">
        <v>30.4</v>
      </c>
      <c r="R33" s="493">
        <v>250.02724631295985</v>
      </c>
      <c r="S33" s="601">
        <v>0.19594513790057033</v>
      </c>
      <c r="T33" s="602">
        <v>0.12132366616762766</v>
      </c>
      <c r="U33" s="603">
        <v>0.32376327342360578</v>
      </c>
      <c r="V33" s="604">
        <v>0.85552200941147938</v>
      </c>
      <c r="W33" s="605">
        <v>6.9029145424063146E-2</v>
      </c>
      <c r="X33" s="602">
        <v>0.84089956400168908</v>
      </c>
      <c r="Y33" s="603">
        <v>0.67623672657639422</v>
      </c>
      <c r="Z33" s="604">
        <v>0.14447799058852046</v>
      </c>
      <c r="AA33" s="605">
        <v>0.93097085457593687</v>
      </c>
      <c r="AB33" s="606">
        <v>0.15921181973467291</v>
      </c>
    </row>
    <row r="34" spans="2:28" ht="14.4" customHeight="1" x14ac:dyDescent="0.3">
      <c r="B34" s="483">
        <v>12</v>
      </c>
      <c r="C34" s="475" t="s">
        <v>240</v>
      </c>
      <c r="D34" s="476">
        <v>2.5799673106126974E-2</v>
      </c>
      <c r="E34" s="473">
        <v>0.97824334251617362</v>
      </c>
      <c r="F34" s="497">
        <v>2</v>
      </c>
      <c r="G34" s="477">
        <v>0.31910914635135496</v>
      </c>
      <c r="H34" s="473">
        <v>9.9770192653725029</v>
      </c>
      <c r="I34" s="497">
        <v>2</v>
      </c>
      <c r="J34" s="477">
        <v>0.33032758801604223</v>
      </c>
      <c r="K34" s="473">
        <v>10.947017655424132</v>
      </c>
      <c r="L34" s="495">
        <v>2</v>
      </c>
      <c r="M34" s="478">
        <v>0.32228832955171471</v>
      </c>
      <c r="N34" s="473">
        <v>0.42086073253095663</v>
      </c>
      <c r="O34" s="490">
        <f ca="1"/>
        <v>401.83713863205458</v>
      </c>
      <c r="P34" s="491">
        <v>56.2</v>
      </c>
      <c r="Q34" s="492">
        <v>83.5</v>
      </c>
      <c r="R34" s="493">
        <v>262.13713863205459</v>
      </c>
      <c r="S34" s="601">
        <v>0.13527612773789363</v>
      </c>
      <c r="T34" s="602">
        <v>0.12395422448945285</v>
      </c>
      <c r="U34" s="603">
        <v>0.57347221231005263</v>
      </c>
      <c r="V34" s="604">
        <v>0.86407008584227318</v>
      </c>
      <c r="W34" s="605">
        <v>0.13255183196455861</v>
      </c>
      <c r="X34" s="602">
        <v>0.85726241028262806</v>
      </c>
      <c r="Y34" s="603">
        <v>0.42652778768994748</v>
      </c>
      <c r="Z34" s="604">
        <v>0.1359299141577269</v>
      </c>
      <c r="AA34" s="605">
        <v>0.86744816803544134</v>
      </c>
      <c r="AB34" s="606">
        <v>0.14284925241554494</v>
      </c>
    </row>
    <row r="35" spans="2:28" ht="14.4" customHeight="1" x14ac:dyDescent="0.3">
      <c r="B35" s="483">
        <v>16</v>
      </c>
      <c r="C35" s="475" t="s">
        <v>244</v>
      </c>
      <c r="D35" s="476">
        <v>2.0307918818241785E-2</v>
      </c>
      <c r="E35" s="473">
        <v>0.50078440009647229</v>
      </c>
      <c r="F35" s="497">
        <v>2</v>
      </c>
      <c r="G35" s="477">
        <v>0.354651272909418</v>
      </c>
      <c r="H35" s="473">
        <v>10.515656056239902</v>
      </c>
      <c r="I35" s="497">
        <v>2</v>
      </c>
      <c r="J35" s="477">
        <v>0.35783802664452213</v>
      </c>
      <c r="K35" s="473">
        <v>11.009913611274225</v>
      </c>
      <c r="L35" s="495">
        <v>2</v>
      </c>
      <c r="M35" s="478">
        <v>0.32293420196929112</v>
      </c>
      <c r="N35" s="473">
        <v>0.41477670916257342</v>
      </c>
      <c r="O35" s="490">
        <f ca="1"/>
        <v>389.18621476151804</v>
      </c>
      <c r="P35" s="491">
        <v>56.2</v>
      </c>
      <c r="Q35" s="492">
        <v>49.4</v>
      </c>
      <c r="R35" s="493">
        <v>283.58621476151802</v>
      </c>
      <c r="S35" s="601">
        <v>0.13555449320022983</v>
      </c>
      <c r="T35" s="602">
        <v>0.12162066845744557</v>
      </c>
      <c r="U35" s="603">
        <v>0.5723252607579441</v>
      </c>
      <c r="V35" s="604">
        <v>0.87146520063158972</v>
      </c>
      <c r="W35" s="605">
        <v>0.11562928836772782</v>
      </c>
      <c r="X35" s="602">
        <v>0.86357201196267952</v>
      </c>
      <c r="Y35" s="603">
        <v>0.42767473924205607</v>
      </c>
      <c r="Z35" s="604">
        <v>0.12853479936841031</v>
      </c>
      <c r="AA35" s="605">
        <v>0.8843707116322721</v>
      </c>
      <c r="AB35" s="606">
        <v>0.13653193498033375</v>
      </c>
    </row>
    <row r="36" spans="2:28" ht="14.4" customHeight="1" x14ac:dyDescent="0.3">
      <c r="B36" s="483">
        <v>15</v>
      </c>
      <c r="C36" s="475" t="s">
        <v>243</v>
      </c>
      <c r="D36" s="476">
        <v>4.3279740688339882E-2</v>
      </c>
      <c r="E36" s="473">
        <v>2.3395754400284594</v>
      </c>
      <c r="F36" s="497">
        <v>2</v>
      </c>
      <c r="G36" s="477">
        <v>0.19512117822472769</v>
      </c>
      <c r="H36" s="473">
        <v>6.8943419734941793</v>
      </c>
      <c r="I36" s="497">
        <v>2</v>
      </c>
      <c r="J36" s="477">
        <v>0.21902547770872005</v>
      </c>
      <c r="K36" s="473">
        <v>9.2209897804968222</v>
      </c>
      <c r="L36" s="495">
        <v>2</v>
      </c>
      <c r="M36" s="478">
        <v>0.30114373698899777</v>
      </c>
      <c r="N36" s="473">
        <v>0.36172851886123447</v>
      </c>
      <c r="O36" s="490">
        <f ca="1"/>
        <v>321.51014216635326</v>
      </c>
      <c r="P36" s="491">
        <v>107</v>
      </c>
      <c r="Q36" s="492">
        <v>23.6</v>
      </c>
      <c r="R36" s="493">
        <v>190.91014216635327</v>
      </c>
      <c r="S36" s="601">
        <v>0.14579047546850515</v>
      </c>
      <c r="T36" s="602">
        <v>0.13403920085974166</v>
      </c>
      <c r="U36" s="603">
        <v>0.52429323886633017</v>
      </c>
      <c r="V36" s="604">
        <v>0.82071450231465115</v>
      </c>
      <c r="W36" s="605">
        <v>0.14774236550197109</v>
      </c>
      <c r="X36" s="602">
        <v>0.82408420925931269</v>
      </c>
      <c r="Y36" s="603">
        <v>0.47570676113366994</v>
      </c>
      <c r="Z36" s="604">
        <v>0.17928549768534879</v>
      </c>
      <c r="AA36" s="605">
        <v>0.85225763449802872</v>
      </c>
      <c r="AB36" s="606">
        <v>0.17605393567125771</v>
      </c>
    </row>
    <row r="37" spans="2:28" ht="14.4" customHeight="1" x14ac:dyDescent="0.3">
      <c r="B37" s="483">
        <v>18</v>
      </c>
      <c r="C37" s="475" t="s">
        <v>246</v>
      </c>
      <c r="D37" s="476">
        <v>2.5785350015248929E-2</v>
      </c>
      <c r="E37" s="473">
        <v>1.0267063318768654</v>
      </c>
      <c r="F37" s="497">
        <v>2</v>
      </c>
      <c r="G37" s="477">
        <v>0.33338531582710429</v>
      </c>
      <c r="H37" s="473">
        <v>10.469977155859631</v>
      </c>
      <c r="I37" s="497">
        <v>2</v>
      </c>
      <c r="J37" s="477">
        <v>0.34442676883425355</v>
      </c>
      <c r="K37" s="473">
        <v>11.48815597255491</v>
      </c>
      <c r="L37" s="495">
        <v>2</v>
      </c>
      <c r="M37" s="478">
        <v>0.86963824701260584</v>
      </c>
      <c r="N37" s="473">
        <v>0.4943572592704597</v>
      </c>
      <c r="O37" s="490">
        <f ca="1"/>
        <v>564.3364569184846</v>
      </c>
      <c r="P37" s="491">
        <v>248</v>
      </c>
      <c r="Q37" s="492">
        <v>54.2</v>
      </c>
      <c r="R37" s="493">
        <v>262.13645691848455</v>
      </c>
      <c r="S37" s="601">
        <v>0.20754287980098302</v>
      </c>
      <c r="T37" s="602">
        <v>0.12336584680631328</v>
      </c>
      <c r="U37" s="603">
        <v>0.29566626210925506</v>
      </c>
      <c r="V37" s="604">
        <v>0.87471861888948277</v>
      </c>
      <c r="W37" s="605">
        <v>0.22475793157276341</v>
      </c>
      <c r="X37" s="602">
        <v>0.86746634709299264</v>
      </c>
      <c r="Y37" s="603">
        <v>0.70433373789074483</v>
      </c>
      <c r="Z37" s="604">
        <v>0.12528138111051706</v>
      </c>
      <c r="AA37" s="605">
        <v>0.77524206842723653</v>
      </c>
      <c r="AB37" s="606">
        <v>0.13264817479046401</v>
      </c>
    </row>
    <row r="38" spans="2:28" ht="14.4" customHeight="1" x14ac:dyDescent="0.3">
      <c r="B38" s="483">
        <v>14</v>
      </c>
      <c r="C38" s="475" t="s">
        <v>242</v>
      </c>
      <c r="D38" s="476">
        <v>0.12332161680049251</v>
      </c>
      <c r="E38" s="473">
        <v>8.0501843441604528</v>
      </c>
      <c r="F38" s="497">
        <v>2</v>
      </c>
      <c r="G38" s="477">
        <v>0.13544766939499261</v>
      </c>
      <c r="H38" s="473">
        <v>6.8557490564845329</v>
      </c>
      <c r="I38" s="497">
        <v>2</v>
      </c>
      <c r="J38" s="477">
        <v>0.23481162310596274</v>
      </c>
      <c r="K38" s="473">
        <v>14.89218030275871</v>
      </c>
      <c r="L38" s="495">
        <v>2</v>
      </c>
      <c r="M38" s="478">
        <v>0.48225232360772746</v>
      </c>
      <c r="N38" s="473">
        <v>0.56993982185041314</v>
      </c>
      <c r="O38" s="490">
        <f ca="1"/>
        <v>262.48211116246762</v>
      </c>
      <c r="P38" s="491">
        <v>107</v>
      </c>
      <c r="Q38" s="492">
        <v>54.7</v>
      </c>
      <c r="R38" s="493">
        <v>100.78211116246766</v>
      </c>
      <c r="S38" s="601">
        <v>0.14903663806261117</v>
      </c>
      <c r="T38" s="602">
        <v>0.14696035717289718</v>
      </c>
      <c r="U38" s="603">
        <v>0.5208287440126006</v>
      </c>
      <c r="V38" s="604">
        <v>0.76553870525745793</v>
      </c>
      <c r="W38" s="605">
        <v>0.12261738733661523</v>
      </c>
      <c r="X38" s="602">
        <v>0.7193251987992032</v>
      </c>
      <c r="Y38" s="603">
        <v>0.47917125598739946</v>
      </c>
      <c r="Z38" s="604">
        <v>0.2344612947425421</v>
      </c>
      <c r="AA38" s="605">
        <v>0.87738261266338458</v>
      </c>
      <c r="AB38" s="606">
        <v>0.28090832988333259</v>
      </c>
    </row>
    <row r="39" spans="2:28" ht="14.4" customHeight="1" x14ac:dyDescent="0.3">
      <c r="B39" s="483">
        <v>17</v>
      </c>
      <c r="C39" s="475" t="s">
        <v>245</v>
      </c>
      <c r="D39" s="476">
        <v>6.0765612724395665E-2</v>
      </c>
      <c r="E39" s="473">
        <v>3.9276346727411413</v>
      </c>
      <c r="F39" s="497">
        <v>2</v>
      </c>
      <c r="G39" s="477">
        <v>0.21602989936367797</v>
      </c>
      <c r="H39" s="473">
        <v>8.4264121490013526</v>
      </c>
      <c r="I39" s="497">
        <v>2</v>
      </c>
      <c r="J39" s="477">
        <v>0.25055594623707128</v>
      </c>
      <c r="K39" s="473">
        <v>12.338471258697972</v>
      </c>
      <c r="L39" s="495">
        <v>2</v>
      </c>
      <c r="M39" s="478">
        <v>0.94455956789380513</v>
      </c>
      <c r="N39" s="473">
        <v>0.51328332241145502</v>
      </c>
      <c r="O39" s="490">
        <f ca="1"/>
        <v>416.28040867715805</v>
      </c>
      <c r="P39" s="491">
        <v>248</v>
      </c>
      <c r="Q39" s="492">
        <v>1.4</v>
      </c>
      <c r="R39" s="493">
        <v>166.88040867715804</v>
      </c>
      <c r="S39" s="601">
        <v>0.20639277866257663</v>
      </c>
      <c r="T39" s="602">
        <v>0.13772572759997156</v>
      </c>
      <c r="U39" s="603">
        <v>0.30073112978392857</v>
      </c>
      <c r="V39" s="604">
        <v>0.82286846262730606</v>
      </c>
      <c r="W39" s="605">
        <v>0.19465038242134719</v>
      </c>
      <c r="X39" s="602">
        <v>0.80884025897398426</v>
      </c>
      <c r="Y39" s="603">
        <v>0.69926887021607143</v>
      </c>
      <c r="Z39" s="604">
        <v>0.17713153737269394</v>
      </c>
      <c r="AA39" s="605">
        <v>0.80534961757865264</v>
      </c>
      <c r="AB39" s="606">
        <v>0.1913316220473491</v>
      </c>
    </row>
    <row r="40" spans="2:28" ht="14.4" customHeight="1" x14ac:dyDescent="0.3">
      <c r="B40" s="483">
        <v>13</v>
      </c>
      <c r="C40" s="475" t="s">
        <v>241</v>
      </c>
      <c r="D40" s="476">
        <v>2.0328344913578007E-2</v>
      </c>
      <c r="E40" s="473">
        <v>0.56563195587913495</v>
      </c>
      <c r="F40" s="497">
        <v>2</v>
      </c>
      <c r="G40" s="477">
        <v>0.33006811229346078</v>
      </c>
      <c r="H40" s="473">
        <v>9.9768820882234763</v>
      </c>
      <c r="I40" s="497">
        <v>2</v>
      </c>
      <c r="J40" s="477">
        <v>0.33855327135481134</v>
      </c>
      <c r="K40" s="473">
        <v>10.535987673678237</v>
      </c>
      <c r="L40" s="495">
        <v>2</v>
      </c>
      <c r="M40" s="478">
        <v>0.33519062013506229</v>
      </c>
      <c r="N40" s="473">
        <v>0.42045105692563456</v>
      </c>
      <c r="O40" s="490">
        <f ca="1"/>
        <v>474.90868091291168</v>
      </c>
      <c r="P40" s="491">
        <v>107</v>
      </c>
      <c r="Q40" s="492">
        <v>88.4</v>
      </c>
      <c r="R40" s="493">
        <v>279.50868091291164</v>
      </c>
      <c r="S40" s="601">
        <v>0.15086270622558229</v>
      </c>
      <c r="T40" s="602">
        <v>0.12018197265433621</v>
      </c>
      <c r="U40" s="603">
        <v>0.51417752342583967</v>
      </c>
      <c r="V40" s="604">
        <v>0.87428801467111084</v>
      </c>
      <c r="W40" s="605">
        <v>0.16505197564184765</v>
      </c>
      <c r="X40" s="602">
        <v>0.8702361876003808</v>
      </c>
      <c r="Y40" s="603">
        <v>0.48582247657416028</v>
      </c>
      <c r="Z40" s="604">
        <v>0.12571198532888908</v>
      </c>
      <c r="AA40" s="605">
        <v>0.8349480243581523</v>
      </c>
      <c r="AB40" s="606">
        <v>0.12986835687555426</v>
      </c>
    </row>
    <row r="41" spans="2:28" ht="14.4" customHeight="1" x14ac:dyDescent="0.3">
      <c r="B41" s="483">
        <v>5</v>
      </c>
      <c r="C41" s="475" t="s">
        <v>233</v>
      </c>
      <c r="D41" s="476">
        <v>2.0298819858605745E-2</v>
      </c>
      <c r="E41" s="473">
        <v>0.49549024777508038</v>
      </c>
      <c r="F41" s="497">
        <v>2</v>
      </c>
      <c r="G41" s="477">
        <v>0.3850463587963216</v>
      </c>
      <c r="H41" s="473">
        <v>11.782303180982304</v>
      </c>
      <c r="I41" s="497">
        <v>2</v>
      </c>
      <c r="J41" s="477">
        <v>0.38827112657452473</v>
      </c>
      <c r="K41" s="473">
        <v>12.27162813686939</v>
      </c>
      <c r="L41" s="495">
        <v>2</v>
      </c>
      <c r="M41" s="478">
        <v>0.35352305294490877</v>
      </c>
      <c r="N41" s="473">
        <v>0.45294826027130031</v>
      </c>
      <c r="O41" s="490">
        <f ca="1"/>
        <v>427.0411787747978</v>
      </c>
      <c r="P41" s="491">
        <v>56.2</v>
      </c>
      <c r="Q41" s="492">
        <v>84.7</v>
      </c>
      <c r="R41" s="493">
        <v>286.14117877479777</v>
      </c>
      <c r="S41" s="601">
        <v>0.13998921091674896</v>
      </c>
      <c r="T41" s="602">
        <v>0.11871987599663153</v>
      </c>
      <c r="U41" s="603">
        <v>0.56370654585610347</v>
      </c>
      <c r="V41" s="604">
        <v>0.87119686446409728</v>
      </c>
      <c r="W41" s="605">
        <v>0.12854363056883211</v>
      </c>
      <c r="X41" s="602">
        <v>0.85812037940545127</v>
      </c>
      <c r="Y41" s="603">
        <v>0.43629345414389642</v>
      </c>
      <c r="Z41" s="604">
        <v>0.12880313553590275</v>
      </c>
      <c r="AA41" s="605">
        <v>0.87145636943116778</v>
      </c>
      <c r="AB41" s="606">
        <v>0.14198854284433932</v>
      </c>
    </row>
    <row r="42" spans="2:28" ht="14.4" customHeight="1" x14ac:dyDescent="0.3">
      <c r="B42" s="483">
        <v>7</v>
      </c>
      <c r="C42" s="475" t="s">
        <v>235</v>
      </c>
      <c r="D42" s="476">
        <v>4.3134579771351392E-2</v>
      </c>
      <c r="E42" s="473">
        <v>2.5005906577246706</v>
      </c>
      <c r="F42" s="497">
        <v>2</v>
      </c>
      <c r="G42" s="477">
        <v>0.2675182591527776</v>
      </c>
      <c r="H42" s="473">
        <v>9.5139249602050917</v>
      </c>
      <c r="I42" s="497">
        <v>2</v>
      </c>
      <c r="J42" s="477">
        <v>0.29323274737829252</v>
      </c>
      <c r="K42" s="473">
        <v>12.003367924089588</v>
      </c>
      <c r="L42" s="495">
        <v>2</v>
      </c>
      <c r="M42" s="478">
        <v>0.33618572226094634</v>
      </c>
      <c r="N42" s="473">
        <v>0.44409554451233968</v>
      </c>
      <c r="O42" s="490">
        <f ca="1"/>
        <v>342.34396283462536</v>
      </c>
      <c r="P42" s="491">
        <v>56.2</v>
      </c>
      <c r="Q42" s="492">
        <v>77</v>
      </c>
      <c r="R42" s="493">
        <v>209.14396283462534</v>
      </c>
      <c r="S42" s="601">
        <v>0.14102968871669128</v>
      </c>
      <c r="T42" s="602">
        <v>0.12558454104886282</v>
      </c>
      <c r="U42" s="603">
        <v>0.54976576669211963</v>
      </c>
      <c r="V42" s="604">
        <v>0.82923435034675308</v>
      </c>
      <c r="W42" s="605">
        <v>0.12797911770595843</v>
      </c>
      <c r="X42" s="602">
        <v>0.81351445068621664</v>
      </c>
      <c r="Y42" s="603">
        <v>0.45023423330788059</v>
      </c>
      <c r="Z42" s="604">
        <v>0.17076564965324686</v>
      </c>
      <c r="AA42" s="605">
        <v>0.87202088229404162</v>
      </c>
      <c r="AB42" s="606">
        <v>0.18662587383613144</v>
      </c>
    </row>
    <row r="43" spans="2:28" ht="14.4" customHeight="1" x14ac:dyDescent="0.3">
      <c r="B43" s="483">
        <v>11</v>
      </c>
      <c r="C43" s="475" t="s">
        <v>239</v>
      </c>
      <c r="D43" s="476">
        <v>6.7187840660599976E-2</v>
      </c>
      <c r="E43" s="473">
        <v>4.4181020167607992</v>
      </c>
      <c r="F43" s="497">
        <v>2</v>
      </c>
      <c r="G43" s="477">
        <v>0.23697725458773627</v>
      </c>
      <c r="H43" s="473">
        <v>9.4505786846905391</v>
      </c>
      <c r="I43" s="497">
        <v>2</v>
      </c>
      <c r="J43" s="477">
        <v>0.2774887556853915</v>
      </c>
      <c r="K43" s="473">
        <v>13.854705868560483</v>
      </c>
      <c r="L43" s="495">
        <v>2</v>
      </c>
      <c r="M43" s="478">
        <v>0.39898245260232629</v>
      </c>
      <c r="N43" s="473">
        <v>0.49557798647928247</v>
      </c>
      <c r="O43" s="490">
        <f ca="1"/>
        <v>247.87405069190061</v>
      </c>
      <c r="P43" s="491">
        <v>56.2</v>
      </c>
      <c r="Q43" s="492">
        <v>25</v>
      </c>
      <c r="R43" s="493">
        <v>166.67405069190062</v>
      </c>
      <c r="S43" s="601">
        <v>0.13814612000926407</v>
      </c>
      <c r="T43" s="602">
        <v>0.13456581297418607</v>
      </c>
      <c r="U43" s="603">
        <v>0.56201743815989136</v>
      </c>
      <c r="V43" s="604">
        <v>0.80012217411838782</v>
      </c>
      <c r="W43" s="605">
        <v>9.6165459437409562E-2</v>
      </c>
      <c r="X43" s="602">
        <v>0.77191793993270819</v>
      </c>
      <c r="Y43" s="603">
        <v>0.43798256184010875</v>
      </c>
      <c r="Z43" s="604">
        <v>0.19987782588161213</v>
      </c>
      <c r="AA43" s="605">
        <v>0.90383454056259038</v>
      </c>
      <c r="AB43" s="606">
        <v>0.22825716060612714</v>
      </c>
    </row>
    <row r="44" spans="2:28" ht="14.4" customHeight="1" x14ac:dyDescent="0.3">
      <c r="B44" s="483">
        <v>10</v>
      </c>
      <c r="C44" s="475" t="s">
        <v>238</v>
      </c>
      <c r="D44" s="476">
        <v>4.3426769970174785E-2</v>
      </c>
      <c r="E44" s="473">
        <v>2.6165790640615323</v>
      </c>
      <c r="F44" s="497">
        <v>2</v>
      </c>
      <c r="G44" s="477">
        <v>0.23218881467551922</v>
      </c>
      <c r="H44" s="473">
        <v>8.5395913098552416</v>
      </c>
      <c r="I44" s="497">
        <v>2</v>
      </c>
      <c r="J44" s="477">
        <v>0.26374410356387573</v>
      </c>
      <c r="K44" s="473">
        <v>11.145100763255703</v>
      </c>
      <c r="L44" s="495">
        <v>2</v>
      </c>
      <c r="M44" s="478">
        <v>0.32554144786645045</v>
      </c>
      <c r="N44" s="473">
        <v>0.39804596170426765</v>
      </c>
      <c r="O44" s="490">
        <f ca="1"/>
        <v>262.28353037269511</v>
      </c>
      <c r="P44" s="491">
        <v>56.2</v>
      </c>
      <c r="Q44" s="492">
        <v>7.7</v>
      </c>
      <c r="R44" s="493">
        <v>198.38353037269511</v>
      </c>
      <c r="S44" s="601">
        <v>0.13666696469930842</v>
      </c>
      <c r="T44" s="602">
        <v>0.12986261886876624</v>
      </c>
      <c r="U44" s="603">
        <v>0.56774153509802772</v>
      </c>
      <c r="V44" s="604">
        <v>0.82178696506802384</v>
      </c>
      <c r="W44" s="605">
        <v>9.6461787726518519E-2</v>
      </c>
      <c r="X44" s="602">
        <v>0.81029383194939752</v>
      </c>
      <c r="Y44" s="603">
        <v>0.43225846490197228</v>
      </c>
      <c r="Z44" s="604">
        <v>0.17821303493197607</v>
      </c>
      <c r="AA44" s="605">
        <v>0.90353821227348141</v>
      </c>
      <c r="AB44" s="606">
        <v>0.18984950663500322</v>
      </c>
    </row>
    <row r="45" spans="2:28" ht="14.4" customHeight="1" x14ac:dyDescent="0.3">
      <c r="B45" s="483">
        <v>8</v>
      </c>
      <c r="C45" s="475" t="s">
        <v>236</v>
      </c>
      <c r="D45" s="476">
        <v>2.601052003052259E-2</v>
      </c>
      <c r="E45" s="473">
        <v>1.307271521814946</v>
      </c>
      <c r="F45" s="497">
        <v>2</v>
      </c>
      <c r="G45" s="477">
        <v>0.30204029278421934</v>
      </c>
      <c r="H45" s="473">
        <v>9.9058554931997982</v>
      </c>
      <c r="I45" s="497">
        <v>2</v>
      </c>
      <c r="J45" s="477">
        <v>0.31514259503805248</v>
      </c>
      <c r="K45" s="473">
        <v>11.203733746187689</v>
      </c>
      <c r="L45" s="495">
        <v>2</v>
      </c>
      <c r="M45" s="478">
        <v>0.32599430094084314</v>
      </c>
      <c r="N45" s="473">
        <v>0.426999969424465</v>
      </c>
      <c r="O45" s="490">
        <f ca="1"/>
        <v>433.5068651920742</v>
      </c>
      <c r="P45" s="491">
        <v>56.2</v>
      </c>
      <c r="Q45" s="492">
        <v>128</v>
      </c>
      <c r="R45" s="493">
        <v>249.30686519207424</v>
      </c>
      <c r="S45" s="601">
        <v>0.13685837630084666</v>
      </c>
      <c r="T45" s="602">
        <v>0.12502435602284265</v>
      </c>
      <c r="U45" s="603">
        <v>0.56695286026878211</v>
      </c>
      <c r="V45" s="604">
        <v>0.8554091746638357</v>
      </c>
      <c r="W45" s="605">
        <v>0.15497787702377502</v>
      </c>
      <c r="X45" s="602">
        <v>0.84783308601003193</v>
      </c>
      <c r="Y45" s="603">
        <v>0.43304713973121794</v>
      </c>
      <c r="Z45" s="604">
        <v>0.14459082533616413</v>
      </c>
      <c r="AA45" s="605">
        <v>0.84502212297622503</v>
      </c>
      <c r="AB45" s="606">
        <v>0.15228695784974022</v>
      </c>
    </row>
    <row r="46" spans="2:28" ht="14.4" customHeight="1" x14ac:dyDescent="0.3">
      <c r="B46" s="483">
        <v>4</v>
      </c>
      <c r="C46" s="475" t="s">
        <v>232</v>
      </c>
      <c r="D46" s="476">
        <v>2.0371942161102212E-2</v>
      </c>
      <c r="E46" s="473">
        <v>0.69012882034146172</v>
      </c>
      <c r="F46" s="497">
        <v>2</v>
      </c>
      <c r="G46" s="477">
        <v>0.32535626836947745</v>
      </c>
      <c r="H46" s="473">
        <v>10.198524741858126</v>
      </c>
      <c r="I46" s="497">
        <v>2</v>
      </c>
      <c r="J46" s="477">
        <v>0.33503694855327409</v>
      </c>
      <c r="K46" s="473">
        <v>10.881770708339994</v>
      </c>
      <c r="L46" s="495">
        <v>2</v>
      </c>
      <c r="M46" s="478">
        <v>0.30935955806420656</v>
      </c>
      <c r="N46" s="473">
        <v>0.3947598260215921</v>
      </c>
      <c r="O46" s="490">
        <f ca="1"/>
        <v>370.80960260745474</v>
      </c>
      <c r="P46" s="491">
        <v>56.2</v>
      </c>
      <c r="Q46" s="492">
        <v>39.9</v>
      </c>
      <c r="R46" s="493">
        <v>274.70960260745477</v>
      </c>
      <c r="S46" s="601">
        <v>0.14052783228207186</v>
      </c>
      <c r="T46" s="602">
        <v>0.11990617803042732</v>
      </c>
      <c r="U46" s="603">
        <v>0.55711058037148986</v>
      </c>
      <c r="V46" s="604">
        <v>0.86769423091532438</v>
      </c>
      <c r="W46" s="605">
        <v>0.11329228150134674</v>
      </c>
      <c r="X46" s="602">
        <v>0.86195912153291276</v>
      </c>
      <c r="Y46" s="603">
        <v>0.44288941962851031</v>
      </c>
      <c r="Z46" s="604">
        <v>0.1323057690846757</v>
      </c>
      <c r="AA46" s="605">
        <v>0.88670771849865326</v>
      </c>
      <c r="AB46" s="606">
        <v>0.1381502092296662</v>
      </c>
    </row>
    <row r="47" spans="2:28" x14ac:dyDescent="0.3">
      <c r="B47" s="483">
        <v>6</v>
      </c>
      <c r="C47" s="475" t="s">
        <v>234</v>
      </c>
      <c r="D47" s="476">
        <v>2.0266393773889401E-2</v>
      </c>
      <c r="E47" s="473">
        <v>0.3168237719140628</v>
      </c>
      <c r="F47" s="497">
        <v>2</v>
      </c>
      <c r="G47" s="477">
        <v>0.28305381663552054</v>
      </c>
      <c r="H47" s="473">
        <v>8.6624100044246397</v>
      </c>
      <c r="I47" s="497">
        <v>2</v>
      </c>
      <c r="J47" s="477">
        <v>0.28498184404603261</v>
      </c>
      <c r="K47" s="473">
        <v>8.973817086242514</v>
      </c>
      <c r="L47" s="495">
        <v>2</v>
      </c>
      <c r="M47" s="478">
        <v>0.25862004263765109</v>
      </c>
      <c r="N47" s="473">
        <v>0.35182932117429788</v>
      </c>
      <c r="O47" s="490">
        <f ca="1"/>
        <v>477.922790235837</v>
      </c>
      <c r="P47" s="491">
        <v>56.2</v>
      </c>
      <c r="Q47" s="492">
        <v>133</v>
      </c>
      <c r="R47" s="493">
        <v>288.72279023583701</v>
      </c>
      <c r="S47" s="601">
        <v>0.13785861755852505</v>
      </c>
      <c r="T47" s="602">
        <v>0.1219919820379308</v>
      </c>
      <c r="U47" s="603">
        <v>0.56226000635569773</v>
      </c>
      <c r="V47" s="604">
        <v>0.87178222765152413</v>
      </c>
      <c r="W47" s="605">
        <v>0.18059538287533641</v>
      </c>
      <c r="X47" s="602">
        <v>0.88138048339328878</v>
      </c>
      <c r="Y47" s="603">
        <v>0.43773999364430238</v>
      </c>
      <c r="Z47" s="604">
        <v>0.12821777234847578</v>
      </c>
      <c r="AA47" s="605">
        <v>0.81940461712466361</v>
      </c>
      <c r="AB47" s="606">
        <v>0.11871922797750208</v>
      </c>
    </row>
    <row r="48" spans="2:28" x14ac:dyDescent="0.3">
      <c r="B48" s="483">
        <v>9</v>
      </c>
      <c r="C48" s="475" t="s">
        <v>237</v>
      </c>
      <c r="D48" s="476">
        <v>2.5898059443853504E-2</v>
      </c>
      <c r="E48" s="473">
        <v>1.1303106495396373</v>
      </c>
      <c r="F48" s="484">
        <v>2</v>
      </c>
      <c r="G48" s="479">
        <v>0.3147842864473494</v>
      </c>
      <c r="H48" s="473">
        <v>10.090934293068571</v>
      </c>
      <c r="I48" s="497">
        <v>2</v>
      </c>
      <c r="J48" s="477">
        <v>0.32728395219179768</v>
      </c>
      <c r="K48" s="473">
        <v>11.212879919217661</v>
      </c>
      <c r="L48" s="495">
        <v>2</v>
      </c>
      <c r="M48" s="478">
        <v>0.35873156696048719</v>
      </c>
      <c r="N48" s="473">
        <v>0.4317629649293811</v>
      </c>
      <c r="O48" s="490">
        <f ca="1"/>
        <v>452.10998065373872</v>
      </c>
      <c r="P48" s="491">
        <v>107</v>
      </c>
      <c r="Q48" s="492">
        <v>88.4</v>
      </c>
      <c r="R48" s="493">
        <v>256.70998065373868</v>
      </c>
      <c r="S48" s="601">
        <v>0.14942918522473281</v>
      </c>
      <c r="T48" s="602">
        <v>0.12353340189532599</v>
      </c>
      <c r="U48" s="603">
        <v>0.51521365380730688</v>
      </c>
      <c r="V48" s="604">
        <v>0.85596236963938732</v>
      </c>
      <c r="W48" s="605">
        <v>0.16396969483926271</v>
      </c>
      <c r="X48" s="602">
        <v>0.84642139215950041</v>
      </c>
      <c r="Y48" s="603">
        <v>0.48478634619269323</v>
      </c>
      <c r="Z48" s="604">
        <v>0.14403763036061254</v>
      </c>
      <c r="AA48" s="605">
        <v>0.83603030516073729</v>
      </c>
      <c r="AB48" s="606">
        <v>0.15369464815048842</v>
      </c>
    </row>
  </sheetData>
  <sheetProtection algorithmName="SHA-512" hashValue="ILLOwAOoJhzjWtjZCM0IP2b5hxKDmBa0QzQCZ39VgfBfvYyaOCi3XPZAzxWftwQktBwQ/9Z55jJfC2kgJSxROw==" saltValue="ePX7YmANAVJR878XNERAbg==" spinCount="100000" sheet="1" objects="1" scenarios="1" selectLockedCells="1"/>
  <dataConsolidate/>
  <phoneticPr fontId="42" type="noConversion"/>
  <conditionalFormatting sqref="C13:C14">
    <cfRule type="containsBlanks" dxfId="1" priority="1">
      <formula>LEN(TRIM(C13))=0</formula>
    </cfRule>
  </conditionalFormatting>
  <dataValidations count="3">
    <dataValidation type="whole" operator="greaterThan" allowBlank="1" showInputMessage="1" showErrorMessage="1" errorTitle="CleanCooking-plans" error="Identifier must be an integer greater than zero (&gt;0)." sqref="B19:B1048576" xr:uid="{0ADBD959-61D6-493A-A21C-FB581A2C0A45}">
      <formula1>0</formula1>
    </dataValidation>
    <dataValidation type="decimal" allowBlank="1" showInputMessage="1" showErrorMessage="1" errorTitle="CleanCooking-inputs" error="Value must be between zero and one [0,1]." sqref="C13" xr:uid="{E6C1AB51-06B7-4E42-BDB8-56359BE1DBB5}">
      <formula1>0</formula1>
      <formula2>1</formula2>
    </dataValidation>
    <dataValidation type="whole" operator="greaterThan" allowBlank="1" showInputMessage="1" showErrorMessage="1" errorTitle="CleanCooking-inputs" error="Value must be integer and greater than zero (&gt;0)." sqref="C14" xr:uid="{2CF91F8F-703B-41E9-9C79-245E35E3BDD8}">
      <formula1>0</formula1>
    </dataValidation>
  </dataValidations>
  <pageMargins left="0.7" right="0.7" top="0.75" bottom="0.75" header="0.3" footer="0.3"/>
  <pageSetup orientation="portrait" r:id="rId1"/>
  <ignoredErrors>
    <ignoredError sqref="B1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9" r:id="rId4" name="Button 5">
              <controlPr defaultSize="0" print="0" autoFill="0" autoPict="0" macro="[0]!Sheet42.CBt_CalculateCases_Click">
                <anchor moveWithCells="1" sizeWithCells="1">
                  <from>
                    <xdr:col>3</xdr:col>
                    <xdr:colOff>274320</xdr:colOff>
                    <xdr:row>11</xdr:row>
                    <xdr:rowOff>167640</xdr:rowOff>
                  </from>
                  <to>
                    <xdr:col>4</xdr:col>
                    <xdr:colOff>419100</xdr:colOff>
                    <xdr:row>14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17470-03E2-46CC-A0B1-2EBBD77CA261}">
  <sheetPr codeName="Sheet91">
    <tabColor theme="5"/>
  </sheetPr>
  <dimension ref="A1:S42"/>
  <sheetViews>
    <sheetView showGridLines="0" showRowColHeaders="0" workbookViewId="0">
      <selection activeCell="I3" sqref="I3"/>
    </sheetView>
  </sheetViews>
  <sheetFormatPr defaultColWidth="12.77734375" defaultRowHeight="14.4" x14ac:dyDescent="0.3"/>
  <cols>
    <col min="1" max="1" width="3.77734375" style="191" customWidth="1"/>
    <col min="2" max="2" width="13.77734375" style="834" customWidth="1"/>
    <col min="3" max="4" width="13.77734375" style="835" customWidth="1"/>
    <col min="5" max="5" width="13.77734375" style="829" customWidth="1"/>
    <col min="6" max="6" width="13.77734375" style="830" customWidth="1"/>
    <col min="7" max="7" width="13.77734375" style="833" customWidth="1"/>
    <col min="8" max="8" width="4.77734375" style="191" customWidth="1"/>
    <col min="9" max="9" width="12.77734375" style="820" customWidth="1"/>
    <col min="10" max="10" width="8.44140625" style="820" bestFit="1" customWidth="1"/>
    <col min="11" max="12" width="11.44140625" style="820" bestFit="1" customWidth="1"/>
    <col min="13" max="13" width="8.44140625" style="820" bestFit="1" customWidth="1"/>
    <col min="14" max="15" width="11.44140625" style="820" bestFit="1" customWidth="1"/>
    <col min="16" max="16" width="8.44140625" style="820" bestFit="1" customWidth="1"/>
    <col min="17" max="19" width="11.44140625" style="820" bestFit="1" customWidth="1"/>
    <col min="20" max="16384" width="12.77734375" style="820"/>
  </cols>
  <sheetData>
    <row r="1" spans="1:9" s="192" customFormat="1" ht="70.2" customHeight="1" thickBot="1" x14ac:dyDescent="0.6">
      <c r="A1" s="193" t="s">
        <v>2274</v>
      </c>
      <c r="B1" s="810"/>
      <c r="C1" s="810"/>
      <c r="D1" s="810"/>
      <c r="E1" s="813"/>
      <c r="F1" s="813"/>
      <c r="G1" s="816"/>
    </row>
    <row r="2" spans="1:9" s="809" customFormat="1" ht="15.6" thickTop="1" thickBot="1" x14ac:dyDescent="0.35">
      <c r="B2" s="811"/>
      <c r="C2" s="811"/>
      <c r="D2" s="811"/>
      <c r="E2" s="814"/>
      <c r="F2" s="814"/>
      <c r="G2" s="817"/>
    </row>
    <row r="3" spans="1:9" s="809" customFormat="1" ht="15.6" thickTop="1" thickBot="1" x14ac:dyDescent="0.35">
      <c r="B3" s="811"/>
      <c r="C3" s="811"/>
      <c r="D3" s="811"/>
      <c r="E3" s="814"/>
      <c r="F3" s="814"/>
      <c r="G3" s="817"/>
      <c r="I3" s="821" t="s">
        <v>114</v>
      </c>
    </row>
    <row r="4" spans="1:9" s="809" customFormat="1" ht="15" thickTop="1" x14ac:dyDescent="0.3">
      <c r="B4" s="811"/>
      <c r="C4" s="811"/>
      <c r="D4" s="811"/>
      <c r="E4" s="814"/>
      <c r="F4" s="814"/>
      <c r="G4" s="817"/>
    </row>
    <row r="5" spans="1:9" s="809" customFormat="1" x14ac:dyDescent="0.3">
      <c r="B5" s="811"/>
      <c r="C5" s="811"/>
      <c r="D5" s="811"/>
      <c r="E5" s="814"/>
      <c r="F5" s="814"/>
      <c r="G5" s="817"/>
    </row>
    <row r="6" spans="1:9" s="809" customFormat="1" x14ac:dyDescent="0.3">
      <c r="B6" s="811"/>
      <c r="C6" s="811"/>
      <c r="D6" s="811"/>
      <c r="E6" s="814"/>
      <c r="F6" s="814"/>
      <c r="G6" s="817"/>
    </row>
    <row r="7" spans="1:9" s="809" customFormat="1" x14ac:dyDescent="0.3">
      <c r="B7" s="811"/>
      <c r="C7" s="811"/>
      <c r="D7" s="811"/>
      <c r="E7" s="814"/>
      <c r="F7" s="814"/>
      <c r="G7" s="817"/>
    </row>
    <row r="8" spans="1:9" s="809" customFormat="1" x14ac:dyDescent="0.3">
      <c r="B8" s="811"/>
      <c r="C8" s="811"/>
      <c r="D8" s="811"/>
      <c r="E8" s="814"/>
      <c r="F8" s="814"/>
      <c r="G8" s="817"/>
    </row>
    <row r="9" spans="1:9" s="809" customFormat="1" x14ac:dyDescent="0.3">
      <c r="B9" s="811"/>
      <c r="C9" s="811"/>
      <c r="D9" s="811"/>
      <c r="E9" s="814"/>
      <c r="F9" s="814"/>
      <c r="G9" s="817"/>
    </row>
    <row r="10" spans="1:9" s="809" customFormat="1" x14ac:dyDescent="0.3">
      <c r="B10" s="811"/>
      <c r="C10" s="811"/>
      <c r="D10" s="811"/>
      <c r="E10" s="814"/>
      <c r="F10" s="814"/>
      <c r="G10" s="817"/>
    </row>
    <row r="11" spans="1:9" s="809" customFormat="1" x14ac:dyDescent="0.3">
      <c r="B11" s="811"/>
      <c r="C11" s="811"/>
      <c r="D11" s="811"/>
      <c r="E11" s="814"/>
      <c r="F11" s="814"/>
      <c r="G11" s="817"/>
    </row>
    <row r="12" spans="1:9" s="809" customFormat="1" x14ac:dyDescent="0.3">
      <c r="B12" s="811"/>
      <c r="C12" s="811"/>
      <c r="D12" s="811"/>
      <c r="E12" s="814"/>
      <c r="F12" s="814"/>
      <c r="G12" s="817"/>
    </row>
    <row r="13" spans="1:9" s="809" customFormat="1" x14ac:dyDescent="0.3">
      <c r="B13" s="811"/>
      <c r="C13" s="811"/>
      <c r="D13" s="811"/>
      <c r="E13" s="814"/>
      <c r="F13" s="814"/>
      <c r="G13" s="817"/>
    </row>
    <row r="14" spans="1:9" s="809" customFormat="1" x14ac:dyDescent="0.3">
      <c r="B14" s="811"/>
      <c r="C14" s="811"/>
      <c r="D14" s="811"/>
      <c r="E14" s="814"/>
      <c r="F14" s="814"/>
      <c r="G14" s="817"/>
    </row>
    <row r="15" spans="1:9" s="809" customFormat="1" x14ac:dyDescent="0.3">
      <c r="B15" s="811"/>
      <c r="C15" s="811"/>
      <c r="D15" s="811"/>
      <c r="E15" s="814"/>
      <c r="F15" s="814"/>
      <c r="G15" s="817"/>
    </row>
    <row r="16" spans="1:9" s="809" customFormat="1" x14ac:dyDescent="0.3">
      <c r="B16" s="811"/>
      <c r="C16" s="811"/>
      <c r="D16" s="811"/>
      <c r="E16" s="814"/>
      <c r="F16" s="814"/>
      <c r="G16" s="817"/>
    </row>
    <row r="17" spans="2:19" s="809" customFormat="1" x14ac:dyDescent="0.3">
      <c r="B17" s="811"/>
      <c r="C17" s="811"/>
      <c r="D17" s="811"/>
      <c r="E17" s="814"/>
      <c r="F17" s="814"/>
      <c r="G17" s="817"/>
    </row>
    <row r="18" spans="2:19" s="809" customFormat="1" x14ac:dyDescent="0.3">
      <c r="B18" s="811"/>
      <c r="C18" s="811"/>
      <c r="D18" s="811"/>
      <c r="E18" s="814"/>
      <c r="F18" s="814"/>
      <c r="G18" s="817"/>
    </row>
    <row r="19" spans="2:19" s="809" customFormat="1" x14ac:dyDescent="0.3">
      <c r="B19" s="811"/>
      <c r="C19" s="811"/>
      <c r="D19" s="811"/>
      <c r="E19" s="814"/>
      <c r="F19" s="814"/>
      <c r="G19" s="817"/>
    </row>
    <row r="20" spans="2:19" s="809" customFormat="1" x14ac:dyDescent="0.3">
      <c r="B20" s="811"/>
      <c r="C20" s="811"/>
      <c r="D20" s="811"/>
      <c r="E20" s="814"/>
      <c r="F20" s="814"/>
      <c r="G20" s="817"/>
    </row>
    <row r="21" spans="2:19" s="809" customFormat="1" x14ac:dyDescent="0.3">
      <c r="B21" s="811"/>
      <c r="C21" s="811"/>
      <c r="D21" s="811"/>
      <c r="E21" s="814"/>
      <c r="F21" s="814"/>
      <c r="G21" s="817"/>
    </row>
    <row r="22" spans="2:19" s="809" customFormat="1" x14ac:dyDescent="0.3">
      <c r="B22" s="811"/>
      <c r="C22" s="811"/>
      <c r="D22" s="811"/>
      <c r="E22" s="814"/>
      <c r="F22" s="814"/>
      <c r="G22" s="817"/>
    </row>
    <row r="23" spans="2:19" s="809" customFormat="1" x14ac:dyDescent="0.3">
      <c r="B23" s="811"/>
      <c r="C23" s="811"/>
      <c r="D23" s="811"/>
      <c r="E23" s="814"/>
      <c r="F23" s="814"/>
      <c r="G23" s="817"/>
    </row>
    <row r="24" spans="2:19" s="809" customFormat="1" x14ac:dyDescent="0.3">
      <c r="B24" s="811"/>
      <c r="C24" s="811"/>
      <c r="D24" s="811"/>
      <c r="E24" s="814"/>
      <c r="F24" s="814"/>
      <c r="G24" s="817"/>
    </row>
    <row r="25" spans="2:19" s="191" customFormat="1" x14ac:dyDescent="0.3">
      <c r="B25" s="812"/>
      <c r="C25" s="812"/>
      <c r="D25" s="812"/>
      <c r="E25" s="815"/>
      <c r="F25" s="815"/>
      <c r="G25" s="818"/>
    </row>
    <row r="26" spans="2:19" ht="32.4" customHeight="1" thickBot="1" x14ac:dyDescent="0.35">
      <c r="B26" s="836" t="s">
        <v>1997</v>
      </c>
      <c r="C26" s="837" t="s">
        <v>2262</v>
      </c>
      <c r="D26" s="837" t="s">
        <v>2263</v>
      </c>
      <c r="E26" s="838" t="s">
        <v>2264</v>
      </c>
      <c r="F26" s="838" t="s">
        <v>2276</v>
      </c>
      <c r="G26" s="839" t="s">
        <v>2275</v>
      </c>
      <c r="H26"/>
      <c r="I26" s="819" t="s">
        <v>1997</v>
      </c>
      <c r="J26" s="819" t="s">
        <v>2262</v>
      </c>
      <c r="K26" s="819" t="s">
        <v>2263</v>
      </c>
      <c r="L26" s="819" t="s">
        <v>2264</v>
      </c>
      <c r="M26" s="819" t="s">
        <v>2276</v>
      </c>
      <c r="N26" s="819" t="s">
        <v>2275</v>
      </c>
      <c r="O26" s="819"/>
      <c r="P26" s="819"/>
      <c r="Q26" s="819"/>
      <c r="R26" s="819"/>
      <c r="S26" s="819"/>
    </row>
    <row r="27" spans="2:19" x14ac:dyDescent="0.3">
      <c r="B27" s="822">
        <v>2025</v>
      </c>
      <c r="C27" s="823" t="s">
        <v>2268</v>
      </c>
      <c r="D27" s="823" t="s">
        <v>326</v>
      </c>
      <c r="E27" s="824">
        <v>0.10100000000000001</v>
      </c>
      <c r="F27" s="825">
        <v>437.16899999999998</v>
      </c>
      <c r="G27" s="826">
        <v>0</v>
      </c>
      <c r="H27"/>
      <c r="I27" s="819" cm="1">
        <f t="array" ref="I27:N33">_xlfn._xlws.FILTER(TableCost[],TableCost[Area]=$I$3)</f>
        <v>2025</v>
      </c>
      <c r="J27" s="819" t="str">
        <v>first</v>
      </c>
      <c r="K27" s="819" t="str">
        <v>urban</v>
      </c>
      <c r="L27" s="819">
        <v>0.11700000000000001</v>
      </c>
      <c r="M27" s="819">
        <v>261.63799999999998</v>
      </c>
      <c r="N27" s="819">
        <v>0</v>
      </c>
      <c r="O27" s="819"/>
      <c r="P27" s="819"/>
      <c r="Q27" s="819"/>
      <c r="R27" s="819"/>
      <c r="S27" s="819"/>
    </row>
    <row r="28" spans="2:19" x14ac:dyDescent="0.3">
      <c r="B28" s="827">
        <v>2025</v>
      </c>
      <c r="C28" s="828" t="s">
        <v>2268</v>
      </c>
      <c r="D28" s="828" t="s">
        <v>114</v>
      </c>
      <c r="E28" s="829">
        <v>0.11700000000000001</v>
      </c>
      <c r="F28" s="830">
        <v>261.63799999999998</v>
      </c>
      <c r="G28" s="831">
        <v>0</v>
      </c>
      <c r="H28"/>
      <c r="I28" s="819">
        <v>2025</v>
      </c>
      <c r="J28" s="819" t="str">
        <v>second</v>
      </c>
      <c r="K28" s="819" t="str">
        <v>urban</v>
      </c>
      <c r="L28" s="819">
        <v>0.115</v>
      </c>
      <c r="M28" s="819">
        <v>257.45800000000003</v>
      </c>
      <c r="N28" s="819">
        <v>-1.6</v>
      </c>
      <c r="O28" s="819"/>
      <c r="P28" s="819"/>
      <c r="Q28" s="819"/>
      <c r="R28" s="819"/>
      <c r="S28" s="819"/>
    </row>
    <row r="29" spans="2:19" x14ac:dyDescent="0.3">
      <c r="B29" s="827">
        <v>2025</v>
      </c>
      <c r="C29" s="828" t="s">
        <v>2269</v>
      </c>
      <c r="D29" s="828" t="s">
        <v>326</v>
      </c>
      <c r="E29" s="829">
        <v>0.1</v>
      </c>
      <c r="F29" s="830">
        <v>430.46100000000001</v>
      </c>
      <c r="G29" s="831">
        <v>-1.53</v>
      </c>
      <c r="I29" s="820">
        <v>2030</v>
      </c>
      <c r="J29" s="820" t="str">
        <v>first</v>
      </c>
      <c r="K29" s="820" t="str">
        <v>urban</v>
      </c>
      <c r="L29" s="820">
        <v>9.9000000000000005E-2</v>
      </c>
      <c r="M29" s="820">
        <v>305.26</v>
      </c>
      <c r="N29" s="820">
        <v>18.57</v>
      </c>
    </row>
    <row r="30" spans="2:19" x14ac:dyDescent="0.3">
      <c r="B30" s="827">
        <v>2025</v>
      </c>
      <c r="C30" s="828" t="s">
        <v>2269</v>
      </c>
      <c r="D30" s="828" t="s">
        <v>114</v>
      </c>
      <c r="E30" s="829">
        <v>0.115</v>
      </c>
      <c r="F30" s="830">
        <v>257.45800000000003</v>
      </c>
      <c r="G30" s="831">
        <v>-1.6</v>
      </c>
      <c r="I30" s="820">
        <v>2030</v>
      </c>
      <c r="J30" s="820" t="str">
        <v>second</v>
      </c>
      <c r="K30" s="820" t="str">
        <v>urban</v>
      </c>
      <c r="L30" s="820">
        <v>9.8000000000000004E-2</v>
      </c>
      <c r="M30" s="820">
        <v>301.471</v>
      </c>
      <c r="N30" s="820">
        <v>-1.24</v>
      </c>
    </row>
    <row r="31" spans="2:19" x14ac:dyDescent="0.3">
      <c r="B31" s="827">
        <v>2030</v>
      </c>
      <c r="C31" s="828" t="s">
        <v>2268</v>
      </c>
      <c r="D31" s="828" t="s">
        <v>326</v>
      </c>
      <c r="E31" s="829">
        <v>8.7999999999999995E-2</v>
      </c>
      <c r="F31" s="830">
        <v>379.34399999999999</v>
      </c>
      <c r="G31" s="831">
        <v>-11.87</v>
      </c>
      <c r="I31" s="820">
        <v>2033</v>
      </c>
      <c r="J31" s="820" t="str">
        <v>first</v>
      </c>
      <c r="K31" s="820" t="str">
        <v>urban</v>
      </c>
      <c r="L31" s="820">
        <v>9.8000000000000004E-2</v>
      </c>
      <c r="M31" s="820">
        <v>367.334</v>
      </c>
      <c r="N31" s="820">
        <v>21.85</v>
      </c>
    </row>
    <row r="32" spans="2:19" x14ac:dyDescent="0.3">
      <c r="B32" s="827">
        <v>2030</v>
      </c>
      <c r="C32" s="828" t="s">
        <v>2268</v>
      </c>
      <c r="D32" s="828" t="s">
        <v>114</v>
      </c>
      <c r="E32" s="829">
        <v>9.9000000000000005E-2</v>
      </c>
      <c r="F32" s="830">
        <v>305.26</v>
      </c>
      <c r="G32" s="831">
        <v>18.57</v>
      </c>
      <c r="I32" s="820">
        <v>2033</v>
      </c>
      <c r="J32" s="820" t="str">
        <v>second</v>
      </c>
      <c r="K32" s="820" t="str">
        <v>urban</v>
      </c>
      <c r="L32" s="820">
        <v>0.109</v>
      </c>
      <c r="M32" s="820">
        <v>408.45600000000002</v>
      </c>
      <c r="N32" s="820">
        <v>11.19</v>
      </c>
    </row>
    <row r="33" spans="2:14" x14ac:dyDescent="0.3">
      <c r="B33" s="827">
        <v>2030</v>
      </c>
      <c r="C33" s="828" t="s">
        <v>2269</v>
      </c>
      <c r="D33" s="828" t="s">
        <v>326</v>
      </c>
      <c r="E33" s="829">
        <v>9.4E-2</v>
      </c>
      <c r="F33" s="830">
        <v>405.60199999999998</v>
      </c>
      <c r="G33" s="831">
        <v>6.92</v>
      </c>
      <c r="I33" s="820">
        <v>2038</v>
      </c>
      <c r="J33" s="820" t="str">
        <v>first</v>
      </c>
      <c r="K33" s="820" t="str">
        <v>urban</v>
      </c>
      <c r="L33" s="820">
        <v>0.111</v>
      </c>
      <c r="M33" s="820">
        <v>577.95699999999999</v>
      </c>
      <c r="N33" s="820">
        <v>41.5</v>
      </c>
    </row>
    <row r="34" spans="2:14" x14ac:dyDescent="0.3">
      <c r="B34" s="827">
        <v>2030</v>
      </c>
      <c r="C34" s="828" t="s">
        <v>2269</v>
      </c>
      <c r="D34" s="828" t="s">
        <v>114</v>
      </c>
      <c r="E34" s="829">
        <v>9.8000000000000004E-2</v>
      </c>
      <c r="F34" s="830">
        <v>301.471</v>
      </c>
      <c r="G34" s="831">
        <v>-1.24</v>
      </c>
    </row>
    <row r="35" spans="2:14" x14ac:dyDescent="0.3">
      <c r="B35" s="827">
        <v>2033</v>
      </c>
      <c r="C35" s="828" t="s">
        <v>2268</v>
      </c>
      <c r="D35" s="828" t="s">
        <v>326</v>
      </c>
      <c r="E35" s="829">
        <v>9.7000000000000003E-2</v>
      </c>
      <c r="F35" s="830">
        <v>414.45100000000002</v>
      </c>
      <c r="G35" s="831">
        <v>2.1800000000000002</v>
      </c>
    </row>
    <row r="36" spans="2:14" x14ac:dyDescent="0.3">
      <c r="B36" s="827">
        <v>2033</v>
      </c>
      <c r="C36" s="828" t="s">
        <v>2268</v>
      </c>
      <c r="D36" s="828" t="s">
        <v>114</v>
      </c>
      <c r="E36" s="829">
        <v>9.8000000000000004E-2</v>
      </c>
      <c r="F36" s="830">
        <v>367.334</v>
      </c>
      <c r="G36" s="831">
        <v>21.85</v>
      </c>
    </row>
    <row r="37" spans="2:14" x14ac:dyDescent="0.3">
      <c r="B37" s="827">
        <v>2033</v>
      </c>
      <c r="C37" s="828" t="s">
        <v>2269</v>
      </c>
      <c r="D37" s="828" t="s">
        <v>326</v>
      </c>
      <c r="E37" s="829">
        <v>0.109</v>
      </c>
      <c r="F37" s="830">
        <v>465.80200000000002</v>
      </c>
      <c r="G37" s="831">
        <v>12.39</v>
      </c>
    </row>
    <row r="38" spans="2:14" x14ac:dyDescent="0.3">
      <c r="B38" s="827">
        <v>2033</v>
      </c>
      <c r="C38" s="828" t="s">
        <v>2269</v>
      </c>
      <c r="D38" s="828" t="s">
        <v>114</v>
      </c>
      <c r="E38" s="829">
        <v>0.109</v>
      </c>
      <c r="F38" s="830">
        <v>408.45600000000002</v>
      </c>
      <c r="G38" s="831">
        <v>11.19</v>
      </c>
    </row>
    <row r="39" spans="2:14" x14ac:dyDescent="0.3">
      <c r="B39" s="827">
        <v>2038</v>
      </c>
      <c r="C39" s="828" t="s">
        <v>2268</v>
      </c>
      <c r="D39" s="828" t="s">
        <v>326</v>
      </c>
      <c r="E39" s="829">
        <v>0.111</v>
      </c>
      <c r="F39" s="830">
        <v>476.18700000000001</v>
      </c>
      <c r="G39" s="831">
        <v>2.23</v>
      </c>
    </row>
    <row r="40" spans="2:14" x14ac:dyDescent="0.3">
      <c r="B40" s="827">
        <v>2038</v>
      </c>
      <c r="C40" s="828" t="s">
        <v>2268</v>
      </c>
      <c r="D40" s="828" t="s">
        <v>114</v>
      </c>
      <c r="E40" s="829">
        <v>0.111</v>
      </c>
      <c r="F40" s="830">
        <v>577.95699999999999</v>
      </c>
      <c r="G40" s="831">
        <v>41.5</v>
      </c>
    </row>
    <row r="41" spans="2:14" x14ac:dyDescent="0.3">
      <c r="B41" s="832"/>
      <c r="C41" s="828"/>
      <c r="D41" s="828"/>
    </row>
    <row r="42" spans="2:14" x14ac:dyDescent="0.3">
      <c r="B42" s="832"/>
      <c r="C42" s="828"/>
      <c r="D42" s="828"/>
    </row>
  </sheetData>
  <sheetProtection algorithmName="SHA-512" hashValue="Nbut3JuEqXyezcl9P2rpIDniQ2dsUxCHYAsfWdoEFhgeu9tLNnCmTMh0/ohN+aE2vn2vS3bDwz2H8G6EJpH4kg==" saltValue="0lgDW6gBR3eCudi27sfydA==" spinCount="100000" sheet="1" objects="1" scenarios="1" selectLockedCells="1"/>
  <conditionalFormatting sqref="G27:G1048576">
    <cfRule type="cellIs" dxfId="0" priority="1" operator="lessThan">
      <formula>0</formula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10D38D-7C69-4A1F-A6FF-8F1C82EE226F}">
          <x14:formula1>
            <xm:f>Internal!$AE$2:$AE$3</xm:f>
          </x14:formula1>
          <xm:sqref>I3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BDEE1-DD7A-4C2B-8CB6-A06716344ACE}">
  <sheetPr codeName="Sheet92">
    <tabColor theme="5"/>
  </sheetPr>
  <dimension ref="A1:N292"/>
  <sheetViews>
    <sheetView showGridLines="0" showRowColHeaders="0" workbookViewId="0">
      <selection activeCell="I4" sqref="I4"/>
    </sheetView>
  </sheetViews>
  <sheetFormatPr defaultColWidth="12.77734375" defaultRowHeight="14.4" x14ac:dyDescent="0.3"/>
  <cols>
    <col min="1" max="1" width="3.77734375" style="191" customWidth="1"/>
    <col min="2" max="2" width="12.77734375" style="832" customWidth="1"/>
    <col min="3" max="4" width="12.77734375" style="828" customWidth="1"/>
    <col min="5" max="5" width="14.44140625" style="849" customWidth="1"/>
    <col min="6" max="6" width="12.77734375" style="851" customWidth="1"/>
    <col min="7" max="7" width="12.77734375" style="191" customWidth="1"/>
    <col min="8" max="8" width="4.77734375" style="191" customWidth="1"/>
    <col min="9" max="9" width="16.77734375" style="842" customWidth="1"/>
    <col min="10" max="10" width="4.77734375" style="842" customWidth="1"/>
    <col min="11" max="11" width="11.44140625" style="842" bestFit="1" customWidth="1"/>
    <col min="12" max="12" width="8.44140625" style="842" bestFit="1" customWidth="1"/>
    <col min="13" max="13" width="11.44140625" style="843" bestFit="1" customWidth="1"/>
    <col min="14" max="14" width="11.44140625" style="191" bestFit="1" customWidth="1"/>
    <col min="15" max="16384" width="12.77734375" style="191"/>
  </cols>
  <sheetData>
    <row r="1" spans="1:9" s="192" customFormat="1" ht="70.2" customHeight="1" thickBot="1" x14ac:dyDescent="0.6">
      <c r="A1" s="193" t="s">
        <v>2277</v>
      </c>
      <c r="B1" s="810"/>
      <c r="C1" s="810"/>
      <c r="D1" s="810"/>
      <c r="E1" s="813"/>
      <c r="F1" s="813"/>
    </row>
    <row r="2" spans="1:9" s="809" customFormat="1" ht="15.6" thickTop="1" thickBot="1" x14ac:dyDescent="0.35">
      <c r="B2" s="811"/>
      <c r="C2" s="811"/>
      <c r="D2" s="811"/>
      <c r="E2" s="814"/>
      <c r="F2" s="814"/>
    </row>
    <row r="3" spans="1:9" s="809" customFormat="1" ht="15" thickTop="1" x14ac:dyDescent="0.3">
      <c r="B3" s="811"/>
      <c r="C3" s="811"/>
      <c r="D3" s="811"/>
      <c r="E3" s="814"/>
      <c r="F3" s="814"/>
      <c r="I3" s="840" t="s">
        <v>326</v>
      </c>
    </row>
    <row r="4" spans="1:9" s="809" customFormat="1" ht="15" thickBot="1" x14ac:dyDescent="0.35">
      <c r="B4" s="811"/>
      <c r="C4" s="811"/>
      <c r="D4" s="811"/>
      <c r="E4" s="814"/>
      <c r="F4" s="814"/>
      <c r="I4" s="841" t="s">
        <v>33</v>
      </c>
    </row>
    <row r="5" spans="1:9" s="809" customFormat="1" ht="15" thickTop="1" x14ac:dyDescent="0.3">
      <c r="B5" s="811"/>
      <c r="C5" s="811"/>
      <c r="D5" s="811"/>
      <c r="E5" s="814"/>
      <c r="F5" s="814"/>
    </row>
    <row r="6" spans="1:9" s="809" customFormat="1" x14ac:dyDescent="0.3">
      <c r="B6" s="811"/>
      <c r="C6" s="811"/>
      <c r="D6" s="811"/>
      <c r="E6" s="814"/>
      <c r="F6" s="814"/>
    </row>
    <row r="7" spans="1:9" s="809" customFormat="1" x14ac:dyDescent="0.3">
      <c r="B7" s="811"/>
      <c r="C7" s="811"/>
      <c r="D7" s="811"/>
      <c r="E7" s="814"/>
      <c r="F7" s="814"/>
    </row>
    <row r="8" spans="1:9" s="809" customFormat="1" x14ac:dyDescent="0.3">
      <c r="B8" s="811"/>
      <c r="C8" s="811"/>
      <c r="D8" s="811"/>
      <c r="E8" s="814"/>
      <c r="F8" s="814"/>
    </row>
    <row r="9" spans="1:9" s="809" customFormat="1" x14ac:dyDescent="0.3">
      <c r="B9" s="811"/>
      <c r="C9" s="811"/>
      <c r="D9" s="811"/>
      <c r="E9" s="814"/>
      <c r="F9" s="814"/>
    </row>
    <row r="10" spans="1:9" s="809" customFormat="1" x14ac:dyDescent="0.3">
      <c r="B10" s="811"/>
      <c r="C10" s="811"/>
      <c r="D10" s="811"/>
      <c r="E10" s="814"/>
      <c r="F10" s="814"/>
    </row>
    <row r="11" spans="1:9" s="809" customFormat="1" x14ac:dyDescent="0.3">
      <c r="B11" s="811"/>
      <c r="C11" s="811"/>
      <c r="D11" s="811"/>
      <c r="E11" s="814"/>
      <c r="F11" s="814"/>
    </row>
    <row r="12" spans="1:9" s="809" customFormat="1" x14ac:dyDescent="0.3">
      <c r="B12" s="811"/>
      <c r="C12" s="811"/>
      <c r="D12" s="811"/>
      <c r="E12" s="814"/>
      <c r="F12" s="814"/>
    </row>
    <row r="13" spans="1:9" s="809" customFormat="1" x14ac:dyDescent="0.3">
      <c r="B13" s="811"/>
      <c r="C13" s="811"/>
      <c r="D13" s="811"/>
      <c r="E13" s="814"/>
      <c r="F13" s="814"/>
    </row>
    <row r="14" spans="1:9" s="809" customFormat="1" x14ac:dyDescent="0.3">
      <c r="B14" s="811"/>
      <c r="C14" s="811"/>
      <c r="D14" s="811"/>
      <c r="E14" s="814"/>
      <c r="F14" s="814"/>
    </row>
    <row r="15" spans="1:9" s="809" customFormat="1" x14ac:dyDescent="0.3">
      <c r="B15" s="811"/>
      <c r="C15" s="811"/>
      <c r="D15" s="811"/>
      <c r="E15" s="814"/>
      <c r="F15" s="814"/>
    </row>
    <row r="16" spans="1:9" s="809" customFormat="1" x14ac:dyDescent="0.3">
      <c r="B16" s="811"/>
      <c r="C16" s="811"/>
      <c r="D16" s="811"/>
      <c r="E16" s="814"/>
      <c r="F16" s="814"/>
    </row>
    <row r="17" spans="2:14" s="809" customFormat="1" x14ac:dyDescent="0.3">
      <c r="B17" s="811"/>
      <c r="C17" s="811"/>
      <c r="D17" s="811"/>
      <c r="E17" s="814"/>
      <c r="F17" s="814"/>
    </row>
    <row r="18" spans="2:14" s="809" customFormat="1" x14ac:dyDescent="0.3">
      <c r="B18" s="811"/>
      <c r="C18" s="811"/>
      <c r="D18" s="811"/>
      <c r="E18" s="814"/>
      <c r="F18" s="814"/>
    </row>
    <row r="19" spans="2:14" s="809" customFormat="1" x14ac:dyDescent="0.3">
      <c r="B19" s="811"/>
      <c r="C19" s="811"/>
      <c r="D19" s="811"/>
      <c r="E19" s="814"/>
      <c r="F19" s="814"/>
    </row>
    <row r="20" spans="2:14" s="809" customFormat="1" x14ac:dyDescent="0.3">
      <c r="B20" s="811"/>
      <c r="C20" s="811"/>
      <c r="D20" s="811"/>
      <c r="E20" s="814"/>
      <c r="F20" s="814"/>
    </row>
    <row r="21" spans="2:14" s="809" customFormat="1" x14ac:dyDescent="0.3">
      <c r="B21" s="811"/>
      <c r="C21" s="811"/>
      <c r="D21" s="811"/>
      <c r="E21" s="814"/>
      <c r="F21" s="814"/>
    </row>
    <row r="22" spans="2:14" s="809" customFormat="1" x14ac:dyDescent="0.3">
      <c r="B22" s="811"/>
      <c r="C22" s="811"/>
      <c r="D22" s="811"/>
      <c r="E22" s="814"/>
      <c r="F22" s="814"/>
    </row>
    <row r="23" spans="2:14" s="809" customFormat="1" x14ac:dyDescent="0.3">
      <c r="B23" s="811"/>
      <c r="C23" s="811"/>
      <c r="D23" s="811"/>
      <c r="E23" s="814"/>
      <c r="F23" s="814"/>
    </row>
    <row r="24" spans="2:14" s="809" customFormat="1" x14ac:dyDescent="0.3">
      <c r="B24" s="811"/>
      <c r="C24" s="811"/>
      <c r="D24" s="811"/>
      <c r="E24" s="814"/>
      <c r="F24" s="814"/>
    </row>
    <row r="25" spans="2:14" x14ac:dyDescent="0.3">
      <c r="B25" s="812"/>
      <c r="C25" s="812"/>
      <c r="D25" s="812"/>
      <c r="E25" s="815"/>
      <c r="F25" s="815"/>
      <c r="I25" s="191"/>
      <c r="J25" s="191"/>
      <c r="K25" s="191"/>
      <c r="L25" s="191"/>
      <c r="M25" s="191"/>
    </row>
    <row r="26" spans="2:14" ht="16.2" thickBot="1" x14ac:dyDescent="0.35">
      <c r="B26" s="844" t="s">
        <v>1997</v>
      </c>
      <c r="C26" s="845" t="s">
        <v>2262</v>
      </c>
      <c r="D26" s="845" t="s">
        <v>2263</v>
      </c>
      <c r="E26" s="845" t="s">
        <v>2271</v>
      </c>
      <c r="F26" s="846" t="s">
        <v>1104</v>
      </c>
      <c r="G26"/>
      <c r="H26"/>
      <c r="I26" s="842" t="s">
        <v>1997</v>
      </c>
      <c r="J26" s="842" t="s">
        <v>2262</v>
      </c>
      <c r="K26" s="842" t="s">
        <v>2263</v>
      </c>
      <c r="L26" s="842" t="s">
        <v>2271</v>
      </c>
      <c r="M26" s="842" t="s">
        <v>1104</v>
      </c>
      <c r="N26"/>
    </row>
    <row r="27" spans="2:14" x14ac:dyDescent="0.3">
      <c r="B27" s="822">
        <v>2025</v>
      </c>
      <c r="C27" s="823" t="s">
        <v>2268</v>
      </c>
      <c r="D27" s="823" t="s">
        <v>326</v>
      </c>
      <c r="E27" s="847">
        <v>1</v>
      </c>
      <c r="F27" s="848">
        <v>7.5900000000000002E-4</v>
      </c>
      <c r="G27"/>
      <c r="H27"/>
      <c r="I27" s="842" cm="1">
        <f t="array" aca="1" ref="I27:M33" ca="1">_xlfn._xlws.FILTER(TableAdoption[],(TableAdoption[Area]=$I$3)*(TableAdoption[Technology]=MATCH($I$4,OFFSET(Internal!$S$1,1,0,Internal!$B$9),0)))</f>
        <v>2025</v>
      </c>
      <c r="J27" s="842" t="str">
        <f ca="1"/>
        <v>first</v>
      </c>
      <c r="K27" s="842" t="str">
        <f ca="1"/>
        <v>rural</v>
      </c>
      <c r="L27" s="842">
        <f ca="1"/>
        <v>9</v>
      </c>
      <c r="M27" s="843">
        <f ca="1"/>
        <v>0.30122500000000002</v>
      </c>
      <c r="N27"/>
    </row>
    <row r="28" spans="2:14" x14ac:dyDescent="0.3">
      <c r="B28" s="827">
        <v>2025</v>
      </c>
      <c r="C28" s="828" t="s">
        <v>2268</v>
      </c>
      <c r="D28" s="828" t="s">
        <v>326</v>
      </c>
      <c r="E28" s="849">
        <v>2</v>
      </c>
      <c r="F28" s="850">
        <v>3.1399999999999999E-4</v>
      </c>
      <c r="G28"/>
      <c r="H28"/>
      <c r="I28" s="842">
        <f ca="1"/>
        <v>2025</v>
      </c>
      <c r="J28" s="842" t="str">
        <f ca="1"/>
        <v>second</v>
      </c>
      <c r="K28" s="842" t="str">
        <f ca="1"/>
        <v>rural</v>
      </c>
      <c r="L28" s="842">
        <f ca="1"/>
        <v>9</v>
      </c>
      <c r="M28" s="843">
        <f ca="1"/>
        <v>0.28731099999999998</v>
      </c>
      <c r="N28"/>
    </row>
    <row r="29" spans="2:14" x14ac:dyDescent="0.3">
      <c r="B29" s="827">
        <v>2025</v>
      </c>
      <c r="C29" s="828" t="s">
        <v>2268</v>
      </c>
      <c r="D29" s="828" t="s">
        <v>326</v>
      </c>
      <c r="E29" s="849">
        <v>3</v>
      </c>
      <c r="F29" s="850">
        <v>1.5799999999999999E-4</v>
      </c>
      <c r="I29" s="842">
        <f ca="1"/>
        <v>2030</v>
      </c>
      <c r="J29" s="842" t="str">
        <f ca="1"/>
        <v>first</v>
      </c>
      <c r="K29" s="842" t="str">
        <f ca="1"/>
        <v>rural</v>
      </c>
      <c r="L29" s="842">
        <f ca="1"/>
        <v>9</v>
      </c>
      <c r="M29" s="843">
        <f ca="1"/>
        <v>0.152973</v>
      </c>
    </row>
    <row r="30" spans="2:14" x14ac:dyDescent="0.3">
      <c r="B30" s="827">
        <v>2025</v>
      </c>
      <c r="C30" s="828" t="s">
        <v>2268</v>
      </c>
      <c r="D30" s="828" t="s">
        <v>326</v>
      </c>
      <c r="E30" s="849">
        <v>4</v>
      </c>
      <c r="F30" s="850">
        <v>3.7320000000000001E-3</v>
      </c>
      <c r="I30" s="842">
        <f ca="1"/>
        <v>2030</v>
      </c>
      <c r="J30" s="842" t="str">
        <f ca="1"/>
        <v>second</v>
      </c>
      <c r="K30" s="842" t="str">
        <f ca="1"/>
        <v>rural</v>
      </c>
      <c r="L30" s="842">
        <f ca="1"/>
        <v>9</v>
      </c>
      <c r="M30" s="843">
        <f ca="1"/>
        <v>0.146006</v>
      </c>
    </row>
    <row r="31" spans="2:14" x14ac:dyDescent="0.3">
      <c r="B31" s="827">
        <v>2025</v>
      </c>
      <c r="C31" s="828" t="s">
        <v>2268</v>
      </c>
      <c r="D31" s="828" t="s">
        <v>326</v>
      </c>
      <c r="E31" s="849">
        <v>5</v>
      </c>
      <c r="F31" s="850">
        <v>9.4399999999999996E-4</v>
      </c>
      <c r="I31" s="842">
        <f ca="1"/>
        <v>2033</v>
      </c>
      <c r="J31" s="842" t="str">
        <f ca="1"/>
        <v>first</v>
      </c>
      <c r="K31" s="842" t="str">
        <f ca="1"/>
        <v>rural</v>
      </c>
      <c r="L31" s="842">
        <f ca="1"/>
        <v>9</v>
      </c>
      <c r="M31" s="843">
        <f ca="1"/>
        <v>0.141347</v>
      </c>
    </row>
    <row r="32" spans="2:14" x14ac:dyDescent="0.3">
      <c r="B32" s="827">
        <v>2025</v>
      </c>
      <c r="C32" s="828" t="s">
        <v>2268</v>
      </c>
      <c r="D32" s="828" t="s">
        <v>326</v>
      </c>
      <c r="E32" s="849">
        <v>6</v>
      </c>
      <c r="F32" s="850">
        <v>2.7251999999999998E-2</v>
      </c>
      <c r="I32" s="842">
        <f ca="1"/>
        <v>2033</v>
      </c>
      <c r="J32" s="842" t="str">
        <f ca="1"/>
        <v>second</v>
      </c>
      <c r="K32" s="842" t="str">
        <f ca="1"/>
        <v>rural</v>
      </c>
      <c r="L32" s="842">
        <f ca="1"/>
        <v>9</v>
      </c>
      <c r="M32" s="843">
        <f ca="1"/>
        <v>0.18945799999999999</v>
      </c>
    </row>
    <row r="33" spans="2:13" x14ac:dyDescent="0.3">
      <c r="B33" s="827">
        <v>2025</v>
      </c>
      <c r="C33" s="828" t="s">
        <v>2268</v>
      </c>
      <c r="D33" s="828" t="s">
        <v>326</v>
      </c>
      <c r="E33" s="849">
        <v>7</v>
      </c>
      <c r="F33" s="850">
        <v>5.1581000000000002E-2</v>
      </c>
      <c r="I33" s="842">
        <f ca="1"/>
        <v>2038</v>
      </c>
      <c r="J33" s="842" t="str">
        <f ca="1"/>
        <v>first</v>
      </c>
      <c r="K33" s="842" t="str">
        <f ca="1"/>
        <v>rural</v>
      </c>
      <c r="L33" s="842">
        <f ca="1"/>
        <v>9</v>
      </c>
      <c r="M33" s="843">
        <f ca="1"/>
        <v>0.18909300000000001</v>
      </c>
    </row>
    <row r="34" spans="2:13" x14ac:dyDescent="0.3">
      <c r="B34" s="827">
        <v>2025</v>
      </c>
      <c r="C34" s="828" t="s">
        <v>2268</v>
      </c>
      <c r="D34" s="828" t="s">
        <v>326</v>
      </c>
      <c r="E34" s="849">
        <v>8</v>
      </c>
      <c r="F34" s="850">
        <v>5.7219999999999997E-3</v>
      </c>
    </row>
    <row r="35" spans="2:13" x14ac:dyDescent="0.3">
      <c r="B35" s="827">
        <v>2025</v>
      </c>
      <c r="C35" s="828" t="s">
        <v>2268</v>
      </c>
      <c r="D35" s="828" t="s">
        <v>326</v>
      </c>
      <c r="E35" s="849">
        <v>9</v>
      </c>
      <c r="F35" s="850">
        <v>0.30122500000000002</v>
      </c>
    </row>
    <row r="36" spans="2:13" x14ac:dyDescent="0.3">
      <c r="B36" s="827">
        <v>2025</v>
      </c>
      <c r="C36" s="828" t="s">
        <v>2268</v>
      </c>
      <c r="D36" s="828" t="s">
        <v>326</v>
      </c>
      <c r="E36" s="849">
        <v>10</v>
      </c>
      <c r="F36" s="850">
        <v>0.21754499999999999</v>
      </c>
    </row>
    <row r="37" spans="2:13" x14ac:dyDescent="0.3">
      <c r="B37" s="827">
        <v>2025</v>
      </c>
      <c r="C37" s="828" t="s">
        <v>2268</v>
      </c>
      <c r="D37" s="828" t="s">
        <v>326</v>
      </c>
      <c r="E37" s="849">
        <v>11</v>
      </c>
      <c r="F37" s="850">
        <v>3.2399999999999998E-2</v>
      </c>
    </row>
    <row r="38" spans="2:13" x14ac:dyDescent="0.3">
      <c r="B38" s="827">
        <v>2025</v>
      </c>
      <c r="C38" s="828" t="s">
        <v>2268</v>
      </c>
      <c r="D38" s="828" t="s">
        <v>326</v>
      </c>
      <c r="E38" s="849">
        <v>12</v>
      </c>
      <c r="F38" s="850">
        <v>3.5326999999999997E-2</v>
      </c>
    </row>
    <row r="39" spans="2:13" x14ac:dyDescent="0.3">
      <c r="B39" s="827">
        <v>2025</v>
      </c>
      <c r="C39" s="828" t="s">
        <v>2268</v>
      </c>
      <c r="D39" s="828" t="s">
        <v>326</v>
      </c>
      <c r="E39" s="849">
        <v>13</v>
      </c>
      <c r="F39" s="850">
        <v>3.2371999999999998E-2</v>
      </c>
    </row>
    <row r="40" spans="2:13" x14ac:dyDescent="0.3">
      <c r="B40" s="827">
        <v>2025</v>
      </c>
      <c r="C40" s="828" t="s">
        <v>2268</v>
      </c>
      <c r="D40" s="828" t="s">
        <v>326</v>
      </c>
      <c r="E40" s="849">
        <v>14</v>
      </c>
      <c r="F40" s="850">
        <v>1.7287E-2</v>
      </c>
    </row>
    <row r="41" spans="2:13" x14ac:dyDescent="0.3">
      <c r="B41" s="827">
        <v>2025</v>
      </c>
      <c r="C41" s="828" t="s">
        <v>2268</v>
      </c>
      <c r="D41" s="828" t="s">
        <v>326</v>
      </c>
      <c r="E41" s="849">
        <v>15</v>
      </c>
      <c r="F41" s="850">
        <v>3.9199999999999999E-3</v>
      </c>
    </row>
    <row r="42" spans="2:13" x14ac:dyDescent="0.3">
      <c r="B42" s="827">
        <v>2025</v>
      </c>
      <c r="C42" s="828" t="s">
        <v>2268</v>
      </c>
      <c r="D42" s="828" t="s">
        <v>326</v>
      </c>
      <c r="E42" s="849">
        <v>16</v>
      </c>
      <c r="F42" s="850">
        <v>0.14926600000000001</v>
      </c>
    </row>
    <row r="43" spans="2:13" x14ac:dyDescent="0.3">
      <c r="B43" s="827">
        <v>2025</v>
      </c>
      <c r="C43" s="828" t="s">
        <v>2268</v>
      </c>
      <c r="D43" s="828" t="s">
        <v>326</v>
      </c>
      <c r="E43" s="849">
        <v>17</v>
      </c>
      <c r="F43" s="850">
        <v>9.9481E-2</v>
      </c>
    </row>
    <row r="44" spans="2:13" x14ac:dyDescent="0.3">
      <c r="B44" s="827">
        <v>2025</v>
      </c>
      <c r="C44" s="828" t="s">
        <v>2268</v>
      </c>
      <c r="D44" s="828" t="s">
        <v>326</v>
      </c>
      <c r="E44" s="849">
        <v>18</v>
      </c>
      <c r="F44" s="850">
        <v>1.8186999999999998E-2</v>
      </c>
    </row>
    <row r="45" spans="2:13" x14ac:dyDescent="0.3">
      <c r="B45" s="827">
        <v>2025</v>
      </c>
      <c r="C45" s="828" t="s">
        <v>2268</v>
      </c>
      <c r="D45" s="828" t="s">
        <v>326</v>
      </c>
      <c r="E45" s="849">
        <v>19</v>
      </c>
      <c r="F45" s="850">
        <v>2.526E-3</v>
      </c>
    </row>
    <row r="46" spans="2:13" x14ac:dyDescent="0.3">
      <c r="B46" s="827">
        <v>2025</v>
      </c>
      <c r="C46" s="828" t="s">
        <v>2268</v>
      </c>
      <c r="D46" s="828" t="s">
        <v>114</v>
      </c>
      <c r="E46" s="849">
        <v>1</v>
      </c>
      <c r="F46" s="850">
        <v>7.2379999999999996E-3</v>
      </c>
    </row>
    <row r="47" spans="2:13" x14ac:dyDescent="0.3">
      <c r="B47" s="827">
        <v>2025</v>
      </c>
      <c r="C47" s="828" t="s">
        <v>2268</v>
      </c>
      <c r="D47" s="828" t="s">
        <v>114</v>
      </c>
      <c r="E47" s="849">
        <v>2</v>
      </c>
      <c r="F47" s="850">
        <v>1.7750000000000001E-3</v>
      </c>
    </row>
    <row r="48" spans="2:13" x14ac:dyDescent="0.3">
      <c r="B48" s="827">
        <v>2025</v>
      </c>
      <c r="C48" s="828" t="s">
        <v>2268</v>
      </c>
      <c r="D48" s="828" t="s">
        <v>114</v>
      </c>
      <c r="E48" s="849">
        <v>3</v>
      </c>
      <c r="F48" s="850">
        <v>8.1599999999999999E-4</v>
      </c>
    </row>
    <row r="49" spans="2:6" x14ac:dyDescent="0.3">
      <c r="B49" s="827">
        <v>2025</v>
      </c>
      <c r="C49" s="828" t="s">
        <v>2268</v>
      </c>
      <c r="D49" s="828" t="s">
        <v>114</v>
      </c>
      <c r="E49" s="849">
        <v>4</v>
      </c>
      <c r="F49" s="850">
        <v>1.3631000000000001E-2</v>
      </c>
    </row>
    <row r="50" spans="2:6" x14ac:dyDescent="0.3">
      <c r="B50" s="827">
        <v>2025</v>
      </c>
      <c r="C50" s="828" t="s">
        <v>2268</v>
      </c>
      <c r="D50" s="828" t="s">
        <v>114</v>
      </c>
      <c r="E50" s="849">
        <v>5</v>
      </c>
      <c r="F50" s="850">
        <v>1.9750000000000002E-3</v>
      </c>
    </row>
    <row r="51" spans="2:6" x14ac:dyDescent="0.3">
      <c r="B51" s="827">
        <v>2025</v>
      </c>
      <c r="C51" s="828" t="s">
        <v>2268</v>
      </c>
      <c r="D51" s="828" t="s">
        <v>114</v>
      </c>
      <c r="E51" s="849">
        <v>6</v>
      </c>
      <c r="F51" s="850">
        <v>0.117907</v>
      </c>
    </row>
    <row r="52" spans="2:6" x14ac:dyDescent="0.3">
      <c r="B52" s="827">
        <v>2025</v>
      </c>
      <c r="C52" s="828" t="s">
        <v>2268</v>
      </c>
      <c r="D52" s="828" t="s">
        <v>114</v>
      </c>
      <c r="E52" s="849">
        <v>7</v>
      </c>
      <c r="F52" s="850">
        <v>0.423317</v>
      </c>
    </row>
    <row r="53" spans="2:6" x14ac:dyDescent="0.3">
      <c r="B53" s="827">
        <v>2025</v>
      </c>
      <c r="C53" s="828" t="s">
        <v>2268</v>
      </c>
      <c r="D53" s="828" t="s">
        <v>114</v>
      </c>
      <c r="E53" s="849">
        <v>8</v>
      </c>
      <c r="F53" s="850">
        <v>4.2680000000000003E-2</v>
      </c>
    </row>
    <row r="54" spans="2:6" x14ac:dyDescent="0.3">
      <c r="B54" s="827">
        <v>2025</v>
      </c>
      <c r="C54" s="828" t="s">
        <v>2268</v>
      </c>
      <c r="D54" s="828" t="s">
        <v>114</v>
      </c>
      <c r="E54" s="849">
        <v>9</v>
      </c>
      <c r="F54" s="850">
        <v>0.11711100000000001</v>
      </c>
    </row>
    <row r="55" spans="2:6" x14ac:dyDescent="0.3">
      <c r="B55" s="827">
        <v>2025</v>
      </c>
      <c r="C55" s="828" t="s">
        <v>2268</v>
      </c>
      <c r="D55" s="828" t="s">
        <v>114</v>
      </c>
      <c r="E55" s="849">
        <v>10</v>
      </c>
      <c r="F55" s="850">
        <v>7.3355000000000004E-2</v>
      </c>
    </row>
    <row r="56" spans="2:6" x14ac:dyDescent="0.3">
      <c r="B56" s="827">
        <v>2025</v>
      </c>
      <c r="C56" s="828" t="s">
        <v>2268</v>
      </c>
      <c r="D56" s="828" t="s">
        <v>114</v>
      </c>
      <c r="E56" s="849">
        <v>11</v>
      </c>
      <c r="F56" s="850">
        <v>2.6022E-2</v>
      </c>
    </row>
    <row r="57" spans="2:6" x14ac:dyDescent="0.3">
      <c r="B57" s="827">
        <v>2025</v>
      </c>
      <c r="C57" s="828" t="s">
        <v>2268</v>
      </c>
      <c r="D57" s="828" t="s">
        <v>114</v>
      </c>
      <c r="E57" s="849">
        <v>12</v>
      </c>
      <c r="F57" s="850">
        <v>1.5602E-2</v>
      </c>
    </row>
    <row r="58" spans="2:6" x14ac:dyDescent="0.3">
      <c r="B58" s="827">
        <v>2025</v>
      </c>
      <c r="C58" s="828" t="s">
        <v>2268</v>
      </c>
      <c r="D58" s="828" t="s">
        <v>114</v>
      </c>
      <c r="E58" s="849">
        <v>13</v>
      </c>
      <c r="F58" s="850">
        <v>9.9520000000000008E-3</v>
      </c>
    </row>
    <row r="59" spans="2:6" x14ac:dyDescent="0.3">
      <c r="B59" s="827">
        <v>2025</v>
      </c>
      <c r="C59" s="828" t="s">
        <v>2268</v>
      </c>
      <c r="D59" s="828" t="s">
        <v>114</v>
      </c>
      <c r="E59" s="849">
        <v>14</v>
      </c>
      <c r="F59" s="850">
        <v>7.4539999999999997E-3</v>
      </c>
    </row>
    <row r="60" spans="2:6" x14ac:dyDescent="0.3">
      <c r="B60" s="827">
        <v>2025</v>
      </c>
      <c r="C60" s="828" t="s">
        <v>2268</v>
      </c>
      <c r="D60" s="828" t="s">
        <v>114</v>
      </c>
      <c r="E60" s="849">
        <v>15</v>
      </c>
      <c r="F60" s="850">
        <v>3.1800000000000001E-3</v>
      </c>
    </row>
    <row r="61" spans="2:6" x14ac:dyDescent="0.3">
      <c r="B61" s="827">
        <v>2025</v>
      </c>
      <c r="C61" s="828" t="s">
        <v>2268</v>
      </c>
      <c r="D61" s="828" t="s">
        <v>114</v>
      </c>
      <c r="E61" s="849">
        <v>16</v>
      </c>
      <c r="F61" s="850">
        <v>4.8365999999999999E-2</v>
      </c>
    </row>
    <row r="62" spans="2:6" x14ac:dyDescent="0.3">
      <c r="B62" s="827">
        <v>2025</v>
      </c>
      <c r="C62" s="828" t="s">
        <v>2268</v>
      </c>
      <c r="D62" s="828" t="s">
        <v>114</v>
      </c>
      <c r="E62" s="849">
        <v>17</v>
      </c>
      <c r="F62" s="850">
        <v>2.4729000000000001E-2</v>
      </c>
    </row>
    <row r="63" spans="2:6" x14ac:dyDescent="0.3">
      <c r="B63" s="827">
        <v>2025</v>
      </c>
      <c r="C63" s="828" t="s">
        <v>2268</v>
      </c>
      <c r="D63" s="828" t="s">
        <v>114</v>
      </c>
      <c r="E63" s="849">
        <v>18</v>
      </c>
      <c r="F63" s="850">
        <v>2.9679000000000001E-2</v>
      </c>
    </row>
    <row r="64" spans="2:6" x14ac:dyDescent="0.3">
      <c r="B64" s="827">
        <v>2025</v>
      </c>
      <c r="C64" s="828" t="s">
        <v>2268</v>
      </c>
      <c r="D64" s="828" t="s">
        <v>114</v>
      </c>
      <c r="E64" s="849">
        <v>19</v>
      </c>
      <c r="F64" s="850">
        <v>3.5210999999999999E-2</v>
      </c>
    </row>
    <row r="65" spans="2:6" x14ac:dyDescent="0.3">
      <c r="B65" s="827">
        <v>2025</v>
      </c>
      <c r="C65" s="828" t="s">
        <v>2269</v>
      </c>
      <c r="D65" s="828" t="s">
        <v>326</v>
      </c>
      <c r="E65" s="849">
        <v>1</v>
      </c>
      <c r="F65" s="850">
        <v>1.042E-3</v>
      </c>
    </row>
    <row r="66" spans="2:6" x14ac:dyDescent="0.3">
      <c r="B66" s="827">
        <v>2025</v>
      </c>
      <c r="C66" s="828" t="s">
        <v>2269</v>
      </c>
      <c r="D66" s="828" t="s">
        <v>326</v>
      </c>
      <c r="E66" s="849">
        <v>2</v>
      </c>
      <c r="F66" s="850">
        <v>6.1399999999999996E-4</v>
      </c>
    </row>
    <row r="67" spans="2:6" x14ac:dyDescent="0.3">
      <c r="B67" s="827">
        <v>2025</v>
      </c>
      <c r="C67" s="828" t="s">
        <v>2269</v>
      </c>
      <c r="D67" s="828" t="s">
        <v>326</v>
      </c>
      <c r="E67" s="849">
        <v>3</v>
      </c>
      <c r="F67" s="850">
        <v>2.9E-4</v>
      </c>
    </row>
    <row r="68" spans="2:6" x14ac:dyDescent="0.3">
      <c r="B68" s="827">
        <v>2025</v>
      </c>
      <c r="C68" s="828" t="s">
        <v>2269</v>
      </c>
      <c r="D68" s="828" t="s">
        <v>326</v>
      </c>
      <c r="E68" s="849">
        <v>4</v>
      </c>
      <c r="F68" s="850">
        <v>4.1609999999999998E-3</v>
      </c>
    </row>
    <row r="69" spans="2:6" x14ac:dyDescent="0.3">
      <c r="B69" s="827">
        <v>2025</v>
      </c>
      <c r="C69" s="828" t="s">
        <v>2269</v>
      </c>
      <c r="D69" s="828" t="s">
        <v>326</v>
      </c>
      <c r="E69" s="849">
        <v>5</v>
      </c>
      <c r="F69" s="850">
        <v>1.673E-3</v>
      </c>
    </row>
    <row r="70" spans="2:6" x14ac:dyDescent="0.3">
      <c r="B70" s="827">
        <v>2025</v>
      </c>
      <c r="C70" s="828" t="s">
        <v>2269</v>
      </c>
      <c r="D70" s="828" t="s">
        <v>326</v>
      </c>
      <c r="E70" s="849">
        <v>6</v>
      </c>
      <c r="F70" s="850">
        <v>3.4426999999999999E-2</v>
      </c>
    </row>
    <row r="71" spans="2:6" x14ac:dyDescent="0.3">
      <c r="B71" s="827">
        <v>2025</v>
      </c>
      <c r="C71" s="828" t="s">
        <v>2269</v>
      </c>
      <c r="D71" s="828" t="s">
        <v>326</v>
      </c>
      <c r="E71" s="849">
        <v>7</v>
      </c>
      <c r="F71" s="850">
        <v>5.1834999999999999E-2</v>
      </c>
    </row>
    <row r="72" spans="2:6" x14ac:dyDescent="0.3">
      <c r="B72" s="827">
        <v>2025</v>
      </c>
      <c r="C72" s="828" t="s">
        <v>2269</v>
      </c>
      <c r="D72" s="828" t="s">
        <v>326</v>
      </c>
      <c r="E72" s="849">
        <v>8</v>
      </c>
      <c r="F72" s="850">
        <v>7.3720000000000001E-3</v>
      </c>
    </row>
    <row r="73" spans="2:6" x14ac:dyDescent="0.3">
      <c r="B73" s="827">
        <v>2025</v>
      </c>
      <c r="C73" s="828" t="s">
        <v>2269</v>
      </c>
      <c r="D73" s="828" t="s">
        <v>326</v>
      </c>
      <c r="E73" s="849">
        <v>9</v>
      </c>
      <c r="F73" s="850">
        <v>0.28731099999999998</v>
      </c>
    </row>
    <row r="74" spans="2:6" x14ac:dyDescent="0.3">
      <c r="B74" s="827">
        <v>2025</v>
      </c>
      <c r="C74" s="828" t="s">
        <v>2269</v>
      </c>
      <c r="D74" s="828" t="s">
        <v>326</v>
      </c>
      <c r="E74" s="849">
        <v>10</v>
      </c>
      <c r="F74" s="850">
        <v>0.20571800000000001</v>
      </c>
    </row>
    <row r="75" spans="2:6" x14ac:dyDescent="0.3">
      <c r="B75" s="827">
        <v>2025</v>
      </c>
      <c r="C75" s="828" t="s">
        <v>2269</v>
      </c>
      <c r="D75" s="828" t="s">
        <v>326</v>
      </c>
      <c r="E75" s="849">
        <v>11</v>
      </c>
      <c r="F75" s="850">
        <v>3.7019999999999997E-2</v>
      </c>
    </row>
    <row r="76" spans="2:6" x14ac:dyDescent="0.3">
      <c r="B76" s="827">
        <v>2025</v>
      </c>
      <c r="C76" s="828" t="s">
        <v>2269</v>
      </c>
      <c r="D76" s="828" t="s">
        <v>326</v>
      </c>
      <c r="E76" s="849">
        <v>12</v>
      </c>
      <c r="F76" s="850">
        <v>3.9649999999999998E-2</v>
      </c>
    </row>
    <row r="77" spans="2:6" x14ac:dyDescent="0.3">
      <c r="B77" s="827">
        <v>2025</v>
      </c>
      <c r="C77" s="828" t="s">
        <v>2269</v>
      </c>
      <c r="D77" s="828" t="s">
        <v>326</v>
      </c>
      <c r="E77" s="849">
        <v>13</v>
      </c>
      <c r="F77" s="850">
        <v>3.4798000000000003E-2</v>
      </c>
    </row>
    <row r="78" spans="2:6" x14ac:dyDescent="0.3">
      <c r="B78" s="827">
        <v>2025</v>
      </c>
      <c r="C78" s="828" t="s">
        <v>2269</v>
      </c>
      <c r="D78" s="828" t="s">
        <v>326</v>
      </c>
      <c r="E78" s="849">
        <v>14</v>
      </c>
      <c r="F78" s="850">
        <v>2.0225E-2</v>
      </c>
    </row>
    <row r="79" spans="2:6" x14ac:dyDescent="0.3">
      <c r="B79" s="827">
        <v>2025</v>
      </c>
      <c r="C79" s="828" t="s">
        <v>2269</v>
      </c>
      <c r="D79" s="828" t="s">
        <v>326</v>
      </c>
      <c r="E79" s="849">
        <v>15</v>
      </c>
      <c r="F79" s="850">
        <v>4.7530000000000003E-3</v>
      </c>
    </row>
    <row r="80" spans="2:6" x14ac:dyDescent="0.3">
      <c r="B80" s="827">
        <v>2025</v>
      </c>
      <c r="C80" s="828" t="s">
        <v>2269</v>
      </c>
      <c r="D80" s="828" t="s">
        <v>326</v>
      </c>
      <c r="E80" s="849">
        <v>16</v>
      </c>
      <c r="F80" s="850">
        <v>0.14540800000000001</v>
      </c>
    </row>
    <row r="81" spans="2:6" x14ac:dyDescent="0.3">
      <c r="B81" s="827">
        <v>2025</v>
      </c>
      <c r="C81" s="828" t="s">
        <v>2269</v>
      </c>
      <c r="D81" s="828" t="s">
        <v>326</v>
      </c>
      <c r="E81" s="849">
        <v>17</v>
      </c>
      <c r="F81" s="850">
        <v>9.6908999999999995E-2</v>
      </c>
    </row>
    <row r="82" spans="2:6" x14ac:dyDescent="0.3">
      <c r="B82" s="827">
        <v>2025</v>
      </c>
      <c r="C82" s="828" t="s">
        <v>2269</v>
      </c>
      <c r="D82" s="828" t="s">
        <v>326</v>
      </c>
      <c r="E82" s="849">
        <v>18</v>
      </c>
      <c r="F82" s="850">
        <v>2.1429E-2</v>
      </c>
    </row>
    <row r="83" spans="2:6" x14ac:dyDescent="0.3">
      <c r="B83" s="827">
        <v>2025</v>
      </c>
      <c r="C83" s="828" t="s">
        <v>2269</v>
      </c>
      <c r="D83" s="828" t="s">
        <v>326</v>
      </c>
      <c r="E83" s="849">
        <v>19</v>
      </c>
      <c r="F83" s="850">
        <v>5.3619999999999996E-3</v>
      </c>
    </row>
    <row r="84" spans="2:6" x14ac:dyDescent="0.3">
      <c r="B84" s="827">
        <v>2025</v>
      </c>
      <c r="C84" s="828" t="s">
        <v>2269</v>
      </c>
      <c r="D84" s="828" t="s">
        <v>114</v>
      </c>
      <c r="E84" s="849">
        <v>1</v>
      </c>
      <c r="F84" s="850">
        <v>8.0750000000000006E-3</v>
      </c>
    </row>
    <row r="85" spans="2:6" x14ac:dyDescent="0.3">
      <c r="B85" s="827">
        <v>2025</v>
      </c>
      <c r="C85" s="828" t="s">
        <v>2269</v>
      </c>
      <c r="D85" s="828" t="s">
        <v>114</v>
      </c>
      <c r="E85" s="849">
        <v>2</v>
      </c>
      <c r="F85" s="850">
        <v>2.575E-3</v>
      </c>
    </row>
    <row r="86" spans="2:6" x14ac:dyDescent="0.3">
      <c r="B86" s="827">
        <v>2025</v>
      </c>
      <c r="C86" s="828" t="s">
        <v>2269</v>
      </c>
      <c r="D86" s="828" t="s">
        <v>114</v>
      </c>
      <c r="E86" s="849">
        <v>3</v>
      </c>
      <c r="F86" s="850">
        <v>1.1360000000000001E-3</v>
      </c>
    </row>
    <row r="87" spans="2:6" x14ac:dyDescent="0.3">
      <c r="B87" s="827">
        <v>2025</v>
      </c>
      <c r="C87" s="828" t="s">
        <v>2269</v>
      </c>
      <c r="D87" s="828" t="s">
        <v>114</v>
      </c>
      <c r="E87" s="849">
        <v>4</v>
      </c>
      <c r="F87" s="850">
        <v>1.2754E-2</v>
      </c>
    </row>
    <row r="88" spans="2:6" x14ac:dyDescent="0.3">
      <c r="B88" s="827">
        <v>2025</v>
      </c>
      <c r="C88" s="828" t="s">
        <v>2269</v>
      </c>
      <c r="D88" s="828" t="s">
        <v>114</v>
      </c>
      <c r="E88" s="849">
        <v>5</v>
      </c>
      <c r="F88" s="850">
        <v>3.4420000000000002E-3</v>
      </c>
    </row>
    <row r="89" spans="2:6" x14ac:dyDescent="0.3">
      <c r="B89" s="827">
        <v>2025</v>
      </c>
      <c r="C89" s="828" t="s">
        <v>2269</v>
      </c>
      <c r="D89" s="828" t="s">
        <v>114</v>
      </c>
      <c r="E89" s="849">
        <v>6</v>
      </c>
      <c r="F89" s="850">
        <v>0.11815199999999999</v>
      </c>
    </row>
    <row r="90" spans="2:6" x14ac:dyDescent="0.3">
      <c r="B90" s="827">
        <v>2025</v>
      </c>
      <c r="C90" s="828" t="s">
        <v>2269</v>
      </c>
      <c r="D90" s="828" t="s">
        <v>114</v>
      </c>
      <c r="E90" s="849">
        <v>7</v>
      </c>
      <c r="F90" s="850">
        <v>0.39107999999999998</v>
      </c>
    </row>
    <row r="91" spans="2:6" x14ac:dyDescent="0.3">
      <c r="B91" s="827">
        <v>2025</v>
      </c>
      <c r="C91" s="828" t="s">
        <v>2269</v>
      </c>
      <c r="D91" s="828" t="s">
        <v>114</v>
      </c>
      <c r="E91" s="849">
        <v>8</v>
      </c>
      <c r="F91" s="850">
        <v>4.5720999999999998E-2</v>
      </c>
    </row>
    <row r="92" spans="2:6" x14ac:dyDescent="0.3">
      <c r="B92" s="827">
        <v>2025</v>
      </c>
      <c r="C92" s="828" t="s">
        <v>2269</v>
      </c>
      <c r="D92" s="828" t="s">
        <v>114</v>
      </c>
      <c r="E92" s="849">
        <v>9</v>
      </c>
      <c r="F92" s="850">
        <v>0.116811</v>
      </c>
    </row>
    <row r="93" spans="2:6" x14ac:dyDescent="0.3">
      <c r="B93" s="827">
        <v>2025</v>
      </c>
      <c r="C93" s="828" t="s">
        <v>2269</v>
      </c>
      <c r="D93" s="828" t="s">
        <v>114</v>
      </c>
      <c r="E93" s="849">
        <v>10</v>
      </c>
      <c r="F93" s="850">
        <v>7.3500999999999997E-2</v>
      </c>
    </row>
    <row r="94" spans="2:6" x14ac:dyDescent="0.3">
      <c r="B94" s="827">
        <v>2025</v>
      </c>
      <c r="C94" s="828" t="s">
        <v>2269</v>
      </c>
      <c r="D94" s="828" t="s">
        <v>114</v>
      </c>
      <c r="E94" s="849">
        <v>11</v>
      </c>
      <c r="F94" s="850">
        <v>2.9704000000000001E-2</v>
      </c>
    </row>
    <row r="95" spans="2:6" x14ac:dyDescent="0.3">
      <c r="B95" s="827">
        <v>2025</v>
      </c>
      <c r="C95" s="828" t="s">
        <v>2269</v>
      </c>
      <c r="D95" s="828" t="s">
        <v>114</v>
      </c>
      <c r="E95" s="849">
        <v>12</v>
      </c>
      <c r="F95" s="850">
        <v>1.8421E-2</v>
      </c>
    </row>
    <row r="96" spans="2:6" x14ac:dyDescent="0.3">
      <c r="B96" s="827">
        <v>2025</v>
      </c>
      <c r="C96" s="828" t="s">
        <v>2269</v>
      </c>
      <c r="D96" s="828" t="s">
        <v>114</v>
      </c>
      <c r="E96" s="849">
        <v>13</v>
      </c>
      <c r="F96" s="850">
        <v>1.1904E-2</v>
      </c>
    </row>
    <row r="97" spans="2:6" x14ac:dyDescent="0.3">
      <c r="B97" s="827">
        <v>2025</v>
      </c>
      <c r="C97" s="828" t="s">
        <v>2269</v>
      </c>
      <c r="D97" s="828" t="s">
        <v>114</v>
      </c>
      <c r="E97" s="849">
        <v>14</v>
      </c>
      <c r="F97" s="850">
        <v>9.7350000000000006E-3</v>
      </c>
    </row>
    <row r="98" spans="2:6" x14ac:dyDescent="0.3">
      <c r="B98" s="827">
        <v>2025</v>
      </c>
      <c r="C98" s="828" t="s">
        <v>2269</v>
      </c>
      <c r="D98" s="828" t="s">
        <v>114</v>
      </c>
      <c r="E98" s="849">
        <v>15</v>
      </c>
      <c r="F98" s="850">
        <v>4.4929999999999996E-3</v>
      </c>
    </row>
    <row r="99" spans="2:6" x14ac:dyDescent="0.3">
      <c r="B99" s="827">
        <v>2025</v>
      </c>
      <c r="C99" s="828" t="s">
        <v>2269</v>
      </c>
      <c r="D99" s="828" t="s">
        <v>114</v>
      </c>
      <c r="E99" s="849">
        <v>16</v>
      </c>
      <c r="F99" s="850">
        <v>5.1401000000000002E-2</v>
      </c>
    </row>
    <row r="100" spans="2:6" x14ac:dyDescent="0.3">
      <c r="B100" s="827">
        <v>2025</v>
      </c>
      <c r="C100" s="828" t="s">
        <v>2269</v>
      </c>
      <c r="D100" s="828" t="s">
        <v>114</v>
      </c>
      <c r="E100" s="849">
        <v>17</v>
      </c>
      <c r="F100" s="850">
        <v>2.7050000000000001E-2</v>
      </c>
    </row>
    <row r="101" spans="2:6" x14ac:dyDescent="0.3">
      <c r="B101" s="827">
        <v>2025</v>
      </c>
      <c r="C101" s="828" t="s">
        <v>2269</v>
      </c>
      <c r="D101" s="828" t="s">
        <v>114</v>
      </c>
      <c r="E101" s="849">
        <v>18</v>
      </c>
      <c r="F101" s="850">
        <v>3.2600999999999998E-2</v>
      </c>
    </row>
    <row r="102" spans="2:6" x14ac:dyDescent="0.3">
      <c r="B102" s="827">
        <v>2025</v>
      </c>
      <c r="C102" s="828" t="s">
        <v>2269</v>
      </c>
      <c r="D102" s="828" t="s">
        <v>114</v>
      </c>
      <c r="E102" s="849">
        <v>19</v>
      </c>
      <c r="F102" s="850">
        <v>4.1444000000000002E-2</v>
      </c>
    </row>
    <row r="103" spans="2:6" x14ac:dyDescent="0.3">
      <c r="B103" s="827">
        <v>2030</v>
      </c>
      <c r="C103" s="828" t="s">
        <v>2268</v>
      </c>
      <c r="D103" s="828" t="s">
        <v>326</v>
      </c>
      <c r="E103" s="849">
        <v>1</v>
      </c>
      <c r="F103" s="850">
        <v>4.5310000000000003E-3</v>
      </c>
    </row>
    <row r="104" spans="2:6" x14ac:dyDescent="0.3">
      <c r="B104" s="827">
        <v>2030</v>
      </c>
      <c r="C104" s="828" t="s">
        <v>2268</v>
      </c>
      <c r="D104" s="828" t="s">
        <v>326</v>
      </c>
      <c r="E104" s="849">
        <v>2</v>
      </c>
      <c r="F104" s="850">
        <v>4.4549999999999998E-3</v>
      </c>
    </row>
    <row r="105" spans="2:6" x14ac:dyDescent="0.3">
      <c r="B105" s="827">
        <v>2030</v>
      </c>
      <c r="C105" s="828" t="s">
        <v>2268</v>
      </c>
      <c r="D105" s="828" t="s">
        <v>326</v>
      </c>
      <c r="E105" s="849">
        <v>3</v>
      </c>
      <c r="F105" s="850">
        <v>1.9239999999999999E-3</v>
      </c>
    </row>
    <row r="106" spans="2:6" x14ac:dyDescent="0.3">
      <c r="B106" s="827">
        <v>2030</v>
      </c>
      <c r="C106" s="828" t="s">
        <v>2268</v>
      </c>
      <c r="D106" s="828" t="s">
        <v>326</v>
      </c>
      <c r="E106" s="849">
        <v>4</v>
      </c>
      <c r="F106" s="850">
        <v>9.3449999999999991E-3</v>
      </c>
    </row>
    <row r="107" spans="2:6" x14ac:dyDescent="0.3">
      <c r="B107" s="827">
        <v>2030</v>
      </c>
      <c r="C107" s="828" t="s">
        <v>2268</v>
      </c>
      <c r="D107" s="828" t="s">
        <v>326</v>
      </c>
      <c r="E107" s="849">
        <v>5</v>
      </c>
      <c r="F107" s="850">
        <v>1.0212000000000001E-2</v>
      </c>
    </row>
    <row r="108" spans="2:6" x14ac:dyDescent="0.3">
      <c r="B108" s="827">
        <v>2030</v>
      </c>
      <c r="C108" s="828" t="s">
        <v>2268</v>
      </c>
      <c r="D108" s="828" t="s">
        <v>326</v>
      </c>
      <c r="E108" s="849">
        <v>6</v>
      </c>
      <c r="F108" s="850">
        <v>0.11036</v>
      </c>
    </row>
    <row r="109" spans="2:6" x14ac:dyDescent="0.3">
      <c r="B109" s="827">
        <v>2030</v>
      </c>
      <c r="C109" s="828" t="s">
        <v>2268</v>
      </c>
      <c r="D109" s="828" t="s">
        <v>326</v>
      </c>
      <c r="E109" s="849">
        <v>7</v>
      </c>
      <c r="F109" s="850">
        <v>5.6011999999999999E-2</v>
      </c>
    </row>
    <row r="110" spans="2:6" x14ac:dyDescent="0.3">
      <c r="B110" s="827">
        <v>2030</v>
      </c>
      <c r="C110" s="828" t="s">
        <v>2268</v>
      </c>
      <c r="D110" s="828" t="s">
        <v>326</v>
      </c>
      <c r="E110" s="849">
        <v>8</v>
      </c>
      <c r="F110" s="850">
        <v>2.6116E-2</v>
      </c>
    </row>
    <row r="111" spans="2:6" x14ac:dyDescent="0.3">
      <c r="B111" s="827">
        <v>2030</v>
      </c>
      <c r="C111" s="828" t="s">
        <v>2268</v>
      </c>
      <c r="D111" s="828" t="s">
        <v>326</v>
      </c>
      <c r="E111" s="849">
        <v>9</v>
      </c>
      <c r="F111" s="850">
        <v>0.152973</v>
      </c>
    </row>
    <row r="112" spans="2:6" x14ac:dyDescent="0.3">
      <c r="B112" s="827">
        <v>2030</v>
      </c>
      <c r="C112" s="828" t="s">
        <v>2268</v>
      </c>
      <c r="D112" s="828" t="s">
        <v>326</v>
      </c>
      <c r="E112" s="849">
        <v>10</v>
      </c>
      <c r="F112" s="850">
        <v>9.4757999999999995E-2</v>
      </c>
    </row>
    <row r="113" spans="2:6" x14ac:dyDescent="0.3">
      <c r="B113" s="827">
        <v>2030</v>
      </c>
      <c r="C113" s="828" t="s">
        <v>2268</v>
      </c>
      <c r="D113" s="828" t="s">
        <v>326</v>
      </c>
      <c r="E113" s="849">
        <v>11</v>
      </c>
      <c r="F113" s="850">
        <v>8.0907000000000007E-2</v>
      </c>
    </row>
    <row r="114" spans="2:6" x14ac:dyDescent="0.3">
      <c r="B114" s="827">
        <v>2030</v>
      </c>
      <c r="C114" s="828" t="s">
        <v>2268</v>
      </c>
      <c r="D114" s="828" t="s">
        <v>326</v>
      </c>
      <c r="E114" s="849">
        <v>12</v>
      </c>
      <c r="F114" s="850">
        <v>7.2848999999999997E-2</v>
      </c>
    </row>
    <row r="115" spans="2:6" x14ac:dyDescent="0.3">
      <c r="B115" s="827">
        <v>2030</v>
      </c>
      <c r="C115" s="828" t="s">
        <v>2268</v>
      </c>
      <c r="D115" s="828" t="s">
        <v>326</v>
      </c>
      <c r="E115" s="849">
        <v>13</v>
      </c>
      <c r="F115" s="850">
        <v>5.3565000000000002E-2</v>
      </c>
    </row>
    <row r="116" spans="2:6" x14ac:dyDescent="0.3">
      <c r="B116" s="827">
        <v>2030</v>
      </c>
      <c r="C116" s="828" t="s">
        <v>2268</v>
      </c>
      <c r="D116" s="828" t="s">
        <v>326</v>
      </c>
      <c r="E116" s="849">
        <v>14</v>
      </c>
      <c r="F116" s="850">
        <v>4.7645E-2</v>
      </c>
    </row>
    <row r="117" spans="2:6" x14ac:dyDescent="0.3">
      <c r="B117" s="827">
        <v>2030</v>
      </c>
      <c r="C117" s="828" t="s">
        <v>2268</v>
      </c>
      <c r="D117" s="828" t="s">
        <v>326</v>
      </c>
      <c r="E117" s="849">
        <v>15</v>
      </c>
      <c r="F117" s="850">
        <v>1.3924000000000001E-2</v>
      </c>
    </row>
    <row r="118" spans="2:6" x14ac:dyDescent="0.3">
      <c r="B118" s="827">
        <v>2030</v>
      </c>
      <c r="C118" s="828" t="s">
        <v>2268</v>
      </c>
      <c r="D118" s="828" t="s">
        <v>326</v>
      </c>
      <c r="E118" s="849">
        <v>16</v>
      </c>
      <c r="F118" s="850">
        <v>9.9319000000000005E-2</v>
      </c>
    </row>
    <row r="119" spans="2:6" x14ac:dyDescent="0.3">
      <c r="B119" s="827">
        <v>2030</v>
      </c>
      <c r="C119" s="828" t="s">
        <v>2268</v>
      </c>
      <c r="D119" s="828" t="s">
        <v>326</v>
      </c>
      <c r="E119" s="849">
        <v>17</v>
      </c>
      <c r="F119" s="850">
        <v>6.8293999999999994E-2</v>
      </c>
    </row>
    <row r="120" spans="2:6" x14ac:dyDescent="0.3">
      <c r="B120" s="827">
        <v>2030</v>
      </c>
      <c r="C120" s="828" t="s">
        <v>2268</v>
      </c>
      <c r="D120" s="828" t="s">
        <v>326</v>
      </c>
      <c r="E120" s="849">
        <v>18</v>
      </c>
      <c r="F120" s="850">
        <v>5.2471999999999998E-2</v>
      </c>
    </row>
    <row r="121" spans="2:6" x14ac:dyDescent="0.3">
      <c r="B121" s="827">
        <v>2030</v>
      </c>
      <c r="C121" s="828" t="s">
        <v>2268</v>
      </c>
      <c r="D121" s="828" t="s">
        <v>326</v>
      </c>
      <c r="E121" s="849">
        <v>19</v>
      </c>
      <c r="F121" s="850">
        <v>4.0339E-2</v>
      </c>
    </row>
    <row r="122" spans="2:6" x14ac:dyDescent="0.3">
      <c r="B122" s="827">
        <v>2030</v>
      </c>
      <c r="C122" s="828" t="s">
        <v>2268</v>
      </c>
      <c r="D122" s="828" t="s">
        <v>114</v>
      </c>
      <c r="E122" s="849">
        <v>1</v>
      </c>
      <c r="F122" s="850">
        <v>1.7838E-2</v>
      </c>
    </row>
    <row r="123" spans="2:6" x14ac:dyDescent="0.3">
      <c r="B123" s="827">
        <v>2030</v>
      </c>
      <c r="C123" s="828" t="s">
        <v>2268</v>
      </c>
      <c r="D123" s="828" t="s">
        <v>114</v>
      </c>
      <c r="E123" s="849">
        <v>2</v>
      </c>
      <c r="F123" s="850">
        <v>1.2522999999999999E-2</v>
      </c>
    </row>
    <row r="124" spans="2:6" x14ac:dyDescent="0.3">
      <c r="B124" s="827">
        <v>2030</v>
      </c>
      <c r="C124" s="828" t="s">
        <v>2268</v>
      </c>
      <c r="D124" s="828" t="s">
        <v>114</v>
      </c>
      <c r="E124" s="849">
        <v>3</v>
      </c>
      <c r="F124" s="850">
        <v>4.9919999999999999E-3</v>
      </c>
    </row>
    <row r="125" spans="2:6" x14ac:dyDescent="0.3">
      <c r="B125" s="827">
        <v>2030</v>
      </c>
      <c r="C125" s="828" t="s">
        <v>2268</v>
      </c>
      <c r="D125" s="828" t="s">
        <v>114</v>
      </c>
      <c r="E125" s="849">
        <v>4</v>
      </c>
      <c r="F125" s="850">
        <v>5.339E-3</v>
      </c>
    </row>
    <row r="126" spans="2:6" x14ac:dyDescent="0.3">
      <c r="B126" s="827">
        <v>2030</v>
      </c>
      <c r="C126" s="828" t="s">
        <v>2268</v>
      </c>
      <c r="D126" s="828" t="s">
        <v>114</v>
      </c>
      <c r="E126" s="849">
        <v>5</v>
      </c>
      <c r="F126" s="850">
        <v>2.1166999999999998E-2</v>
      </c>
    </row>
    <row r="127" spans="2:6" x14ac:dyDescent="0.3">
      <c r="B127" s="827">
        <v>2030</v>
      </c>
      <c r="C127" s="828" t="s">
        <v>2268</v>
      </c>
      <c r="D127" s="828" t="s">
        <v>114</v>
      </c>
      <c r="E127" s="849">
        <v>6</v>
      </c>
      <c r="F127" s="850">
        <v>0.115855</v>
      </c>
    </row>
    <row r="128" spans="2:6" x14ac:dyDescent="0.3">
      <c r="B128" s="827">
        <v>2030</v>
      </c>
      <c r="C128" s="828" t="s">
        <v>2268</v>
      </c>
      <c r="D128" s="828" t="s">
        <v>114</v>
      </c>
      <c r="E128" s="849">
        <v>7</v>
      </c>
      <c r="F128" s="850">
        <v>9.6564999999999998E-2</v>
      </c>
    </row>
    <row r="129" spans="2:6" x14ac:dyDescent="0.3">
      <c r="B129" s="827">
        <v>2030</v>
      </c>
      <c r="C129" s="828" t="s">
        <v>2268</v>
      </c>
      <c r="D129" s="828" t="s">
        <v>114</v>
      </c>
      <c r="E129" s="849">
        <v>8</v>
      </c>
      <c r="F129" s="850">
        <v>7.3481000000000005E-2</v>
      </c>
    </row>
    <row r="130" spans="2:6" x14ac:dyDescent="0.3">
      <c r="B130" s="827">
        <v>2030</v>
      </c>
      <c r="C130" s="828" t="s">
        <v>2268</v>
      </c>
      <c r="D130" s="828" t="s">
        <v>114</v>
      </c>
      <c r="E130" s="849">
        <v>9</v>
      </c>
      <c r="F130" s="850">
        <v>0.107644</v>
      </c>
    </row>
    <row r="131" spans="2:6" x14ac:dyDescent="0.3">
      <c r="B131" s="827">
        <v>2030</v>
      </c>
      <c r="C131" s="828" t="s">
        <v>2268</v>
      </c>
      <c r="D131" s="828" t="s">
        <v>114</v>
      </c>
      <c r="E131" s="849">
        <v>10</v>
      </c>
      <c r="F131" s="850">
        <v>7.2093000000000004E-2</v>
      </c>
    </row>
    <row r="132" spans="2:6" x14ac:dyDescent="0.3">
      <c r="B132" s="827">
        <v>2030</v>
      </c>
      <c r="C132" s="828" t="s">
        <v>2268</v>
      </c>
      <c r="D132" s="828" t="s">
        <v>114</v>
      </c>
      <c r="E132" s="849">
        <v>11</v>
      </c>
      <c r="F132" s="850">
        <v>6.4964999999999995E-2</v>
      </c>
    </row>
    <row r="133" spans="2:6" x14ac:dyDescent="0.3">
      <c r="B133" s="827">
        <v>2030</v>
      </c>
      <c r="C133" s="828" t="s">
        <v>2268</v>
      </c>
      <c r="D133" s="828" t="s">
        <v>114</v>
      </c>
      <c r="E133" s="849">
        <v>12</v>
      </c>
      <c r="F133" s="850">
        <v>4.2757000000000003E-2</v>
      </c>
    </row>
    <row r="134" spans="2:6" x14ac:dyDescent="0.3">
      <c r="B134" s="827">
        <v>2030</v>
      </c>
      <c r="C134" s="828" t="s">
        <v>2268</v>
      </c>
      <c r="D134" s="828" t="s">
        <v>114</v>
      </c>
      <c r="E134" s="849">
        <v>13</v>
      </c>
      <c r="F134" s="850">
        <v>3.0105E-2</v>
      </c>
    </row>
    <row r="135" spans="2:6" x14ac:dyDescent="0.3">
      <c r="B135" s="827">
        <v>2030</v>
      </c>
      <c r="C135" s="828" t="s">
        <v>2268</v>
      </c>
      <c r="D135" s="828" t="s">
        <v>114</v>
      </c>
      <c r="E135" s="849">
        <v>14</v>
      </c>
      <c r="F135" s="850">
        <v>3.2203000000000002E-2</v>
      </c>
    </row>
    <row r="136" spans="2:6" x14ac:dyDescent="0.3">
      <c r="B136" s="827">
        <v>2030</v>
      </c>
      <c r="C136" s="828" t="s">
        <v>2268</v>
      </c>
      <c r="D136" s="828" t="s">
        <v>114</v>
      </c>
      <c r="E136" s="849">
        <v>15</v>
      </c>
      <c r="F136" s="850">
        <v>1.9663E-2</v>
      </c>
    </row>
    <row r="137" spans="2:6" x14ac:dyDescent="0.3">
      <c r="B137" s="827">
        <v>2030</v>
      </c>
      <c r="C137" s="828" t="s">
        <v>2268</v>
      </c>
      <c r="D137" s="828" t="s">
        <v>114</v>
      </c>
      <c r="E137" s="849">
        <v>16</v>
      </c>
      <c r="F137" s="850">
        <v>7.0829000000000003E-2</v>
      </c>
    </row>
    <row r="138" spans="2:6" x14ac:dyDescent="0.3">
      <c r="B138" s="827">
        <v>2030</v>
      </c>
      <c r="C138" s="828" t="s">
        <v>2268</v>
      </c>
      <c r="D138" s="828" t="s">
        <v>114</v>
      </c>
      <c r="E138" s="849">
        <v>17</v>
      </c>
      <c r="F138" s="850">
        <v>4.6942999999999999E-2</v>
      </c>
    </row>
    <row r="139" spans="2:6" x14ac:dyDescent="0.3">
      <c r="B139" s="827">
        <v>2030</v>
      </c>
      <c r="C139" s="828" t="s">
        <v>2268</v>
      </c>
      <c r="D139" s="828" t="s">
        <v>114</v>
      </c>
      <c r="E139" s="849">
        <v>18</v>
      </c>
      <c r="F139" s="850">
        <v>5.8016999999999999E-2</v>
      </c>
    </row>
    <row r="140" spans="2:6" x14ac:dyDescent="0.3">
      <c r="B140" s="827">
        <v>2030</v>
      </c>
      <c r="C140" s="828" t="s">
        <v>2268</v>
      </c>
      <c r="D140" s="828" t="s">
        <v>114</v>
      </c>
      <c r="E140" s="849">
        <v>19</v>
      </c>
      <c r="F140" s="850">
        <v>0.10702399999999999</v>
      </c>
    </row>
    <row r="141" spans="2:6" x14ac:dyDescent="0.3">
      <c r="B141" s="827">
        <v>2030</v>
      </c>
      <c r="C141" s="828" t="s">
        <v>2269</v>
      </c>
      <c r="D141" s="828" t="s">
        <v>326</v>
      </c>
      <c r="E141" s="849">
        <v>1</v>
      </c>
      <c r="F141" s="850">
        <v>9.1439999999999994E-3</v>
      </c>
    </row>
    <row r="142" spans="2:6" x14ac:dyDescent="0.3">
      <c r="B142" s="827">
        <v>2030</v>
      </c>
      <c r="C142" s="828" t="s">
        <v>2269</v>
      </c>
      <c r="D142" s="828" t="s">
        <v>326</v>
      </c>
      <c r="E142" s="849">
        <v>2</v>
      </c>
      <c r="F142" s="850">
        <v>8.0070000000000002E-3</v>
      </c>
    </row>
    <row r="143" spans="2:6" x14ac:dyDescent="0.3">
      <c r="B143" s="827">
        <v>2030</v>
      </c>
      <c r="C143" s="828" t="s">
        <v>2269</v>
      </c>
      <c r="D143" s="828" t="s">
        <v>326</v>
      </c>
      <c r="E143" s="849">
        <v>3</v>
      </c>
      <c r="F143" s="850">
        <v>3.088E-3</v>
      </c>
    </row>
    <row r="144" spans="2:6" x14ac:dyDescent="0.3">
      <c r="B144" s="827">
        <v>2030</v>
      </c>
      <c r="C144" s="828" t="s">
        <v>2269</v>
      </c>
      <c r="D144" s="828" t="s">
        <v>326</v>
      </c>
      <c r="E144" s="849">
        <v>4</v>
      </c>
      <c r="F144" s="850">
        <v>1.1028E-2</v>
      </c>
    </row>
    <row r="145" spans="2:6" x14ac:dyDescent="0.3">
      <c r="B145" s="827">
        <v>2030</v>
      </c>
      <c r="C145" s="828" t="s">
        <v>2269</v>
      </c>
      <c r="D145" s="828" t="s">
        <v>326</v>
      </c>
      <c r="E145" s="849">
        <v>5</v>
      </c>
      <c r="F145" s="850">
        <v>1.2324999999999999E-2</v>
      </c>
    </row>
    <row r="146" spans="2:6" x14ac:dyDescent="0.3">
      <c r="B146" s="827">
        <v>2030</v>
      </c>
      <c r="C146" s="828" t="s">
        <v>2269</v>
      </c>
      <c r="D146" s="828" t="s">
        <v>326</v>
      </c>
      <c r="E146" s="849">
        <v>6</v>
      </c>
      <c r="F146" s="850">
        <v>0.144564</v>
      </c>
    </row>
    <row r="147" spans="2:6" x14ac:dyDescent="0.3">
      <c r="B147" s="827">
        <v>2030</v>
      </c>
      <c r="C147" s="828" t="s">
        <v>2269</v>
      </c>
      <c r="D147" s="828" t="s">
        <v>326</v>
      </c>
      <c r="E147" s="849">
        <v>7</v>
      </c>
      <c r="F147" s="850">
        <v>5.8666000000000003E-2</v>
      </c>
    </row>
    <row r="148" spans="2:6" x14ac:dyDescent="0.3">
      <c r="B148" s="827">
        <v>2030</v>
      </c>
      <c r="C148" s="828" t="s">
        <v>2269</v>
      </c>
      <c r="D148" s="828" t="s">
        <v>326</v>
      </c>
      <c r="E148" s="849">
        <v>8</v>
      </c>
      <c r="F148" s="850">
        <v>2.6668000000000001E-2</v>
      </c>
    </row>
    <row r="149" spans="2:6" x14ac:dyDescent="0.3">
      <c r="B149" s="827">
        <v>2030</v>
      </c>
      <c r="C149" s="828" t="s">
        <v>2269</v>
      </c>
      <c r="D149" s="828" t="s">
        <v>326</v>
      </c>
      <c r="E149" s="849">
        <v>9</v>
      </c>
      <c r="F149" s="850">
        <v>0.146006</v>
      </c>
    </row>
    <row r="150" spans="2:6" x14ac:dyDescent="0.3">
      <c r="B150" s="827">
        <v>2030</v>
      </c>
      <c r="C150" s="828" t="s">
        <v>2269</v>
      </c>
      <c r="D150" s="828" t="s">
        <v>326</v>
      </c>
      <c r="E150" s="849">
        <v>10</v>
      </c>
      <c r="F150" s="850">
        <v>8.7923000000000001E-2</v>
      </c>
    </row>
    <row r="151" spans="2:6" x14ac:dyDescent="0.3">
      <c r="B151" s="827">
        <v>2030</v>
      </c>
      <c r="C151" s="828" t="s">
        <v>2269</v>
      </c>
      <c r="D151" s="828" t="s">
        <v>326</v>
      </c>
      <c r="E151" s="849">
        <v>11</v>
      </c>
      <c r="F151" s="850">
        <v>4.4402999999999998E-2</v>
      </c>
    </row>
    <row r="152" spans="2:6" x14ac:dyDescent="0.3">
      <c r="B152" s="827">
        <v>2030</v>
      </c>
      <c r="C152" s="828" t="s">
        <v>2269</v>
      </c>
      <c r="D152" s="828" t="s">
        <v>326</v>
      </c>
      <c r="E152" s="849">
        <v>12</v>
      </c>
      <c r="F152" s="850">
        <v>8.3776000000000003E-2</v>
      </c>
    </row>
    <row r="153" spans="2:6" x14ac:dyDescent="0.3">
      <c r="B153" s="827">
        <v>2030</v>
      </c>
      <c r="C153" s="828" t="s">
        <v>2269</v>
      </c>
      <c r="D153" s="828" t="s">
        <v>326</v>
      </c>
      <c r="E153" s="849">
        <v>13</v>
      </c>
      <c r="F153" s="850">
        <v>6.0731E-2</v>
      </c>
    </row>
    <row r="154" spans="2:6" x14ac:dyDescent="0.3">
      <c r="B154" s="827">
        <v>2030</v>
      </c>
      <c r="C154" s="828" t="s">
        <v>2269</v>
      </c>
      <c r="D154" s="828" t="s">
        <v>326</v>
      </c>
      <c r="E154" s="849">
        <v>14</v>
      </c>
      <c r="F154" s="850">
        <v>3.3071000000000003E-2</v>
      </c>
    </row>
    <row r="155" spans="2:6" x14ac:dyDescent="0.3">
      <c r="B155" s="827">
        <v>2030</v>
      </c>
      <c r="C155" s="828" t="s">
        <v>2269</v>
      </c>
      <c r="D155" s="828" t="s">
        <v>326</v>
      </c>
      <c r="E155" s="849">
        <v>15</v>
      </c>
      <c r="F155" s="850">
        <v>1.4411E-2</v>
      </c>
    </row>
    <row r="156" spans="2:6" x14ac:dyDescent="0.3">
      <c r="B156" s="827">
        <v>2030</v>
      </c>
      <c r="C156" s="828" t="s">
        <v>2269</v>
      </c>
      <c r="D156" s="828" t="s">
        <v>326</v>
      </c>
      <c r="E156" s="849">
        <v>16</v>
      </c>
      <c r="F156" s="850">
        <v>9.9113999999999994E-2</v>
      </c>
    </row>
    <row r="157" spans="2:6" x14ac:dyDescent="0.3">
      <c r="B157" s="827">
        <v>2030</v>
      </c>
      <c r="C157" s="828" t="s">
        <v>2269</v>
      </c>
      <c r="D157" s="828" t="s">
        <v>326</v>
      </c>
      <c r="E157" s="849">
        <v>17</v>
      </c>
      <c r="F157" s="850">
        <v>6.8417000000000006E-2</v>
      </c>
    </row>
    <row r="158" spans="2:6" x14ac:dyDescent="0.3">
      <c r="B158" s="827">
        <v>2030</v>
      </c>
      <c r="C158" s="828" t="s">
        <v>2269</v>
      </c>
      <c r="D158" s="828" t="s">
        <v>326</v>
      </c>
      <c r="E158" s="849">
        <v>18</v>
      </c>
      <c r="F158" s="850">
        <v>3.5458000000000003E-2</v>
      </c>
    </row>
    <row r="159" spans="2:6" x14ac:dyDescent="0.3">
      <c r="B159" s="827">
        <v>2030</v>
      </c>
      <c r="C159" s="828" t="s">
        <v>2269</v>
      </c>
      <c r="D159" s="828" t="s">
        <v>326</v>
      </c>
      <c r="E159" s="849">
        <v>19</v>
      </c>
      <c r="F159" s="850">
        <v>5.3201999999999999E-2</v>
      </c>
    </row>
    <row r="160" spans="2:6" x14ac:dyDescent="0.3">
      <c r="B160" s="827">
        <v>2030</v>
      </c>
      <c r="C160" s="828" t="s">
        <v>2269</v>
      </c>
      <c r="D160" s="828" t="s">
        <v>114</v>
      </c>
      <c r="E160" s="849">
        <v>1</v>
      </c>
      <c r="F160" s="850">
        <v>2.3802E-2</v>
      </c>
    </row>
    <row r="161" spans="2:6" x14ac:dyDescent="0.3">
      <c r="B161" s="827">
        <v>2030</v>
      </c>
      <c r="C161" s="828" t="s">
        <v>2269</v>
      </c>
      <c r="D161" s="828" t="s">
        <v>114</v>
      </c>
      <c r="E161" s="849">
        <v>2</v>
      </c>
      <c r="F161" s="850">
        <v>1.8461999999999999E-2</v>
      </c>
    </row>
    <row r="162" spans="2:6" x14ac:dyDescent="0.3">
      <c r="B162" s="827">
        <v>2030</v>
      </c>
      <c r="C162" s="828" t="s">
        <v>2269</v>
      </c>
      <c r="D162" s="828" t="s">
        <v>114</v>
      </c>
      <c r="E162" s="849">
        <v>3</v>
      </c>
      <c r="F162" s="850">
        <v>6.9979999999999999E-3</v>
      </c>
    </row>
    <row r="163" spans="2:6" x14ac:dyDescent="0.3">
      <c r="B163" s="827">
        <v>2030</v>
      </c>
      <c r="C163" s="828" t="s">
        <v>2269</v>
      </c>
      <c r="D163" s="828" t="s">
        <v>114</v>
      </c>
      <c r="E163" s="849">
        <v>4</v>
      </c>
      <c r="F163" s="850">
        <v>4.4999999999999997E-3</v>
      </c>
    </row>
    <row r="164" spans="2:6" x14ac:dyDescent="0.3">
      <c r="B164" s="827">
        <v>2030</v>
      </c>
      <c r="C164" s="828" t="s">
        <v>2269</v>
      </c>
      <c r="D164" s="828" t="s">
        <v>114</v>
      </c>
      <c r="E164" s="849">
        <v>5</v>
      </c>
      <c r="F164" s="850">
        <v>2.2565000000000002E-2</v>
      </c>
    </row>
    <row r="165" spans="2:6" x14ac:dyDescent="0.3">
      <c r="B165" s="827">
        <v>2030</v>
      </c>
      <c r="C165" s="828" t="s">
        <v>2269</v>
      </c>
      <c r="D165" s="828" t="s">
        <v>114</v>
      </c>
      <c r="E165" s="849">
        <v>6</v>
      </c>
      <c r="F165" s="850">
        <v>0.125467</v>
      </c>
    </row>
    <row r="166" spans="2:6" x14ac:dyDescent="0.3">
      <c r="B166" s="827">
        <v>2030</v>
      </c>
      <c r="C166" s="828" t="s">
        <v>2269</v>
      </c>
      <c r="D166" s="828" t="s">
        <v>114</v>
      </c>
      <c r="E166" s="849">
        <v>7</v>
      </c>
      <c r="F166" s="850">
        <v>7.5590000000000004E-2</v>
      </c>
    </row>
    <row r="167" spans="2:6" x14ac:dyDescent="0.3">
      <c r="B167" s="827">
        <v>2030</v>
      </c>
      <c r="C167" s="828" t="s">
        <v>2269</v>
      </c>
      <c r="D167" s="828" t="s">
        <v>114</v>
      </c>
      <c r="E167" s="849">
        <v>8</v>
      </c>
      <c r="F167" s="850">
        <v>3.9169000000000002E-2</v>
      </c>
    </row>
    <row r="168" spans="2:6" x14ac:dyDescent="0.3">
      <c r="B168" s="827">
        <v>2030</v>
      </c>
      <c r="C168" s="828" t="s">
        <v>2269</v>
      </c>
      <c r="D168" s="828" t="s">
        <v>114</v>
      </c>
      <c r="E168" s="849">
        <v>9</v>
      </c>
      <c r="F168" s="850">
        <v>0.116087</v>
      </c>
    </row>
    <row r="169" spans="2:6" x14ac:dyDescent="0.3">
      <c r="B169" s="827">
        <v>2030</v>
      </c>
      <c r="C169" s="828" t="s">
        <v>2269</v>
      </c>
      <c r="D169" s="828" t="s">
        <v>114</v>
      </c>
      <c r="E169" s="849">
        <v>10</v>
      </c>
      <c r="F169" s="850">
        <v>7.8307000000000002E-2</v>
      </c>
    </row>
    <row r="170" spans="2:6" x14ac:dyDescent="0.3">
      <c r="B170" s="827">
        <v>2030</v>
      </c>
      <c r="C170" s="828" t="s">
        <v>2269</v>
      </c>
      <c r="D170" s="828" t="s">
        <v>114</v>
      </c>
      <c r="E170" s="849">
        <v>11</v>
      </c>
      <c r="F170" s="850">
        <v>5.3428000000000003E-2</v>
      </c>
    </row>
    <row r="171" spans="2:6" x14ac:dyDescent="0.3">
      <c r="B171" s="827">
        <v>2030</v>
      </c>
      <c r="C171" s="828" t="s">
        <v>2269</v>
      </c>
      <c r="D171" s="828" t="s">
        <v>114</v>
      </c>
      <c r="E171" s="849">
        <v>12</v>
      </c>
      <c r="F171" s="850">
        <v>6.4569000000000001E-2</v>
      </c>
    </row>
    <row r="172" spans="2:6" x14ac:dyDescent="0.3">
      <c r="B172" s="827">
        <v>2030</v>
      </c>
      <c r="C172" s="828" t="s">
        <v>2269</v>
      </c>
      <c r="D172" s="828" t="s">
        <v>114</v>
      </c>
      <c r="E172" s="849">
        <v>13</v>
      </c>
      <c r="F172" s="850">
        <v>4.7557000000000002E-2</v>
      </c>
    </row>
    <row r="173" spans="2:6" x14ac:dyDescent="0.3">
      <c r="B173" s="827">
        <v>2030</v>
      </c>
      <c r="C173" s="828" t="s">
        <v>2269</v>
      </c>
      <c r="D173" s="828" t="s">
        <v>114</v>
      </c>
      <c r="E173" s="849">
        <v>14</v>
      </c>
      <c r="F173" s="850">
        <v>3.7763999999999999E-2</v>
      </c>
    </row>
    <row r="174" spans="2:6" x14ac:dyDescent="0.3">
      <c r="B174" s="827">
        <v>2030</v>
      </c>
      <c r="C174" s="828" t="s">
        <v>2269</v>
      </c>
      <c r="D174" s="828" t="s">
        <v>114</v>
      </c>
      <c r="E174" s="849">
        <v>15</v>
      </c>
      <c r="F174" s="850">
        <v>1.9893999999999998E-2</v>
      </c>
    </row>
    <row r="175" spans="2:6" x14ac:dyDescent="0.3">
      <c r="B175" s="827">
        <v>2030</v>
      </c>
      <c r="C175" s="828" t="s">
        <v>2269</v>
      </c>
      <c r="D175" s="828" t="s">
        <v>114</v>
      </c>
      <c r="E175" s="849">
        <v>16</v>
      </c>
      <c r="F175" s="850">
        <v>7.9532000000000005E-2</v>
      </c>
    </row>
    <row r="176" spans="2:6" x14ac:dyDescent="0.3">
      <c r="B176" s="827">
        <v>2030</v>
      </c>
      <c r="C176" s="828" t="s">
        <v>2269</v>
      </c>
      <c r="D176" s="828" t="s">
        <v>114</v>
      </c>
      <c r="E176" s="849">
        <v>17</v>
      </c>
      <c r="F176" s="850">
        <v>6.0401000000000003E-2</v>
      </c>
    </row>
    <row r="177" spans="2:6" x14ac:dyDescent="0.3">
      <c r="B177" s="827">
        <v>2030</v>
      </c>
      <c r="C177" s="828" t="s">
        <v>2269</v>
      </c>
      <c r="D177" s="828" t="s">
        <v>114</v>
      </c>
      <c r="E177" s="849">
        <v>18</v>
      </c>
      <c r="F177" s="850">
        <v>4.4859999999999997E-2</v>
      </c>
    </row>
    <row r="178" spans="2:6" x14ac:dyDescent="0.3">
      <c r="B178" s="827">
        <v>2030</v>
      </c>
      <c r="C178" s="828" t="s">
        <v>2269</v>
      </c>
      <c r="D178" s="828" t="s">
        <v>114</v>
      </c>
      <c r="E178" s="849">
        <v>19</v>
      </c>
      <c r="F178" s="850">
        <v>8.1046999999999994E-2</v>
      </c>
    </row>
    <row r="179" spans="2:6" x14ac:dyDescent="0.3">
      <c r="B179" s="827">
        <v>2033</v>
      </c>
      <c r="C179" s="828" t="s">
        <v>2268</v>
      </c>
      <c r="D179" s="828" t="s">
        <v>326</v>
      </c>
      <c r="E179" s="849">
        <v>1</v>
      </c>
      <c r="F179" s="850">
        <v>1.4239999999999999E-2</v>
      </c>
    </row>
    <row r="180" spans="2:6" x14ac:dyDescent="0.3">
      <c r="B180" s="827">
        <v>2033</v>
      </c>
      <c r="C180" s="828" t="s">
        <v>2268</v>
      </c>
      <c r="D180" s="828" t="s">
        <v>326</v>
      </c>
      <c r="E180" s="849">
        <v>2</v>
      </c>
      <c r="F180" s="850">
        <v>1.1728000000000001E-2</v>
      </c>
    </row>
    <row r="181" spans="2:6" x14ac:dyDescent="0.3">
      <c r="B181" s="827">
        <v>2033</v>
      </c>
      <c r="C181" s="828" t="s">
        <v>2268</v>
      </c>
      <c r="D181" s="828" t="s">
        <v>326</v>
      </c>
      <c r="E181" s="849">
        <v>3</v>
      </c>
      <c r="F181" s="850">
        <v>4.3670000000000002E-3</v>
      </c>
    </row>
    <row r="182" spans="2:6" x14ac:dyDescent="0.3">
      <c r="B182" s="827">
        <v>2033</v>
      </c>
      <c r="C182" s="828" t="s">
        <v>2268</v>
      </c>
      <c r="D182" s="828" t="s">
        <v>326</v>
      </c>
      <c r="E182" s="849">
        <v>4</v>
      </c>
      <c r="F182" s="850">
        <v>1.3596E-2</v>
      </c>
    </row>
    <row r="183" spans="2:6" x14ac:dyDescent="0.3">
      <c r="B183" s="827">
        <v>2033</v>
      </c>
      <c r="C183" s="828" t="s">
        <v>2268</v>
      </c>
      <c r="D183" s="828" t="s">
        <v>326</v>
      </c>
      <c r="E183" s="849">
        <v>5</v>
      </c>
      <c r="F183" s="850">
        <v>1.4289E-2</v>
      </c>
    </row>
    <row r="184" spans="2:6" x14ac:dyDescent="0.3">
      <c r="B184" s="827">
        <v>2033</v>
      </c>
      <c r="C184" s="828" t="s">
        <v>2268</v>
      </c>
      <c r="D184" s="828" t="s">
        <v>326</v>
      </c>
      <c r="E184" s="849">
        <v>6</v>
      </c>
      <c r="F184" s="850">
        <v>0.14538499999999999</v>
      </c>
    </row>
    <row r="185" spans="2:6" x14ac:dyDescent="0.3">
      <c r="B185" s="827">
        <v>2033</v>
      </c>
      <c r="C185" s="828" t="s">
        <v>2268</v>
      </c>
      <c r="D185" s="828" t="s">
        <v>326</v>
      </c>
      <c r="E185" s="849">
        <v>7</v>
      </c>
      <c r="F185" s="850">
        <v>6.0566000000000002E-2</v>
      </c>
    </row>
    <row r="186" spans="2:6" x14ac:dyDescent="0.3">
      <c r="B186" s="827">
        <v>2033</v>
      </c>
      <c r="C186" s="828" t="s">
        <v>2268</v>
      </c>
      <c r="D186" s="828" t="s">
        <v>326</v>
      </c>
      <c r="E186" s="849">
        <v>8</v>
      </c>
      <c r="F186" s="850">
        <v>2.7425999999999999E-2</v>
      </c>
    </row>
    <row r="187" spans="2:6" x14ac:dyDescent="0.3">
      <c r="B187" s="827">
        <v>2033</v>
      </c>
      <c r="C187" s="828" t="s">
        <v>2268</v>
      </c>
      <c r="D187" s="828" t="s">
        <v>326</v>
      </c>
      <c r="E187" s="849">
        <v>9</v>
      </c>
      <c r="F187" s="850">
        <v>0.141347</v>
      </c>
    </row>
    <row r="188" spans="2:6" x14ac:dyDescent="0.3">
      <c r="B188" s="827">
        <v>2033</v>
      </c>
      <c r="C188" s="828" t="s">
        <v>2268</v>
      </c>
      <c r="D188" s="828" t="s">
        <v>326</v>
      </c>
      <c r="E188" s="849">
        <v>10</v>
      </c>
      <c r="F188" s="850">
        <v>8.5970000000000005E-2</v>
      </c>
    </row>
    <row r="189" spans="2:6" x14ac:dyDescent="0.3">
      <c r="B189" s="827">
        <v>2033</v>
      </c>
      <c r="C189" s="828" t="s">
        <v>2268</v>
      </c>
      <c r="D189" s="828" t="s">
        <v>326</v>
      </c>
      <c r="E189" s="849">
        <v>11</v>
      </c>
      <c r="F189" s="850">
        <v>4.2120999999999999E-2</v>
      </c>
    </row>
    <row r="190" spans="2:6" x14ac:dyDescent="0.3">
      <c r="B190" s="827">
        <v>2033</v>
      </c>
      <c r="C190" s="828" t="s">
        <v>2268</v>
      </c>
      <c r="D190" s="828" t="s">
        <v>326</v>
      </c>
      <c r="E190" s="849">
        <v>12</v>
      </c>
      <c r="F190" s="850">
        <v>7.9289999999999999E-2</v>
      </c>
    </row>
    <row r="191" spans="2:6" x14ac:dyDescent="0.3">
      <c r="B191" s="827">
        <v>2033</v>
      </c>
      <c r="C191" s="828" t="s">
        <v>2268</v>
      </c>
      <c r="D191" s="828" t="s">
        <v>326</v>
      </c>
      <c r="E191" s="849">
        <v>13</v>
      </c>
      <c r="F191" s="850">
        <v>5.8771999999999998E-2</v>
      </c>
    </row>
    <row r="192" spans="2:6" x14ac:dyDescent="0.3">
      <c r="B192" s="827">
        <v>2033</v>
      </c>
      <c r="C192" s="828" t="s">
        <v>2268</v>
      </c>
      <c r="D192" s="828" t="s">
        <v>326</v>
      </c>
      <c r="E192" s="849">
        <v>14</v>
      </c>
      <c r="F192" s="850">
        <v>3.1616999999999999E-2</v>
      </c>
    </row>
    <row r="193" spans="2:6" x14ac:dyDescent="0.3">
      <c r="B193" s="827">
        <v>2033</v>
      </c>
      <c r="C193" s="828" t="s">
        <v>2268</v>
      </c>
      <c r="D193" s="828" t="s">
        <v>326</v>
      </c>
      <c r="E193" s="849">
        <v>15</v>
      </c>
      <c r="F193" s="850">
        <v>1.4933E-2</v>
      </c>
    </row>
    <row r="194" spans="2:6" x14ac:dyDescent="0.3">
      <c r="B194" s="827">
        <v>2033</v>
      </c>
      <c r="C194" s="828" t="s">
        <v>2268</v>
      </c>
      <c r="D194" s="828" t="s">
        <v>326</v>
      </c>
      <c r="E194" s="849">
        <v>16</v>
      </c>
      <c r="F194" s="850">
        <v>9.3420000000000003E-2</v>
      </c>
    </row>
    <row r="195" spans="2:6" x14ac:dyDescent="0.3">
      <c r="B195" s="827">
        <v>2033</v>
      </c>
      <c r="C195" s="828" t="s">
        <v>2268</v>
      </c>
      <c r="D195" s="828" t="s">
        <v>326</v>
      </c>
      <c r="E195" s="849">
        <v>17</v>
      </c>
      <c r="F195" s="850">
        <v>6.5959000000000004E-2</v>
      </c>
    </row>
    <row r="196" spans="2:6" x14ac:dyDescent="0.3">
      <c r="B196" s="827">
        <v>2033</v>
      </c>
      <c r="C196" s="828" t="s">
        <v>2268</v>
      </c>
      <c r="D196" s="828" t="s">
        <v>326</v>
      </c>
      <c r="E196" s="849">
        <v>18</v>
      </c>
      <c r="F196" s="850">
        <v>3.4398999999999999E-2</v>
      </c>
    </row>
    <row r="197" spans="2:6" x14ac:dyDescent="0.3">
      <c r="B197" s="827">
        <v>2033</v>
      </c>
      <c r="C197" s="828" t="s">
        <v>2268</v>
      </c>
      <c r="D197" s="828" t="s">
        <v>326</v>
      </c>
      <c r="E197" s="849">
        <v>19</v>
      </c>
      <c r="F197" s="850">
        <v>6.0574999999999997E-2</v>
      </c>
    </row>
    <row r="198" spans="2:6" x14ac:dyDescent="0.3">
      <c r="B198" s="827">
        <v>2033</v>
      </c>
      <c r="C198" s="828" t="s">
        <v>2268</v>
      </c>
      <c r="D198" s="828" t="s">
        <v>114</v>
      </c>
      <c r="E198" s="849">
        <v>1</v>
      </c>
      <c r="F198" s="850">
        <v>2.8632999999999999E-2</v>
      </c>
    </row>
    <row r="199" spans="2:6" x14ac:dyDescent="0.3">
      <c r="B199" s="827">
        <v>2033</v>
      </c>
      <c r="C199" s="828" t="s">
        <v>2268</v>
      </c>
      <c r="D199" s="828" t="s">
        <v>114</v>
      </c>
      <c r="E199" s="849">
        <v>2</v>
      </c>
      <c r="F199" s="850">
        <v>2.316E-2</v>
      </c>
    </row>
    <row r="200" spans="2:6" x14ac:dyDescent="0.3">
      <c r="B200" s="827">
        <v>2033</v>
      </c>
      <c r="C200" s="828" t="s">
        <v>2268</v>
      </c>
      <c r="D200" s="828" t="s">
        <v>114</v>
      </c>
      <c r="E200" s="849">
        <v>3</v>
      </c>
      <c r="F200" s="850">
        <v>9.5619999999999993E-3</v>
      </c>
    </row>
    <row r="201" spans="2:6" x14ac:dyDescent="0.3">
      <c r="B201" s="827">
        <v>2033</v>
      </c>
      <c r="C201" s="828" t="s">
        <v>2268</v>
      </c>
      <c r="D201" s="828" t="s">
        <v>114</v>
      </c>
      <c r="E201" s="849">
        <v>4</v>
      </c>
      <c r="F201" s="850">
        <v>5.0619999999999997E-3</v>
      </c>
    </row>
    <row r="202" spans="2:6" x14ac:dyDescent="0.3">
      <c r="B202" s="827">
        <v>2033</v>
      </c>
      <c r="C202" s="828" t="s">
        <v>2268</v>
      </c>
      <c r="D202" s="828" t="s">
        <v>114</v>
      </c>
      <c r="E202" s="849">
        <v>5</v>
      </c>
      <c r="F202" s="850">
        <v>2.3980999999999999E-2</v>
      </c>
    </row>
    <row r="203" spans="2:6" x14ac:dyDescent="0.3">
      <c r="B203" s="827">
        <v>2033</v>
      </c>
      <c r="C203" s="828" t="s">
        <v>2268</v>
      </c>
      <c r="D203" s="828" t="s">
        <v>114</v>
      </c>
      <c r="E203" s="849">
        <v>6</v>
      </c>
      <c r="F203" s="850">
        <v>0.121988</v>
      </c>
    </row>
    <row r="204" spans="2:6" x14ac:dyDescent="0.3">
      <c r="B204" s="827">
        <v>2033</v>
      </c>
      <c r="C204" s="828" t="s">
        <v>2268</v>
      </c>
      <c r="D204" s="828" t="s">
        <v>114</v>
      </c>
      <c r="E204" s="849">
        <v>7</v>
      </c>
      <c r="F204" s="850">
        <v>7.1969000000000005E-2</v>
      </c>
    </row>
    <row r="205" spans="2:6" x14ac:dyDescent="0.3">
      <c r="B205" s="827">
        <v>2033</v>
      </c>
      <c r="C205" s="828" t="s">
        <v>2268</v>
      </c>
      <c r="D205" s="828" t="s">
        <v>114</v>
      </c>
      <c r="E205" s="849">
        <v>8</v>
      </c>
      <c r="F205" s="850">
        <v>3.7227999999999997E-2</v>
      </c>
    </row>
    <row r="206" spans="2:6" x14ac:dyDescent="0.3">
      <c r="B206" s="827">
        <v>2033</v>
      </c>
      <c r="C206" s="828" t="s">
        <v>2268</v>
      </c>
      <c r="D206" s="828" t="s">
        <v>114</v>
      </c>
      <c r="E206" s="849">
        <v>9</v>
      </c>
      <c r="F206" s="850">
        <v>0.111954</v>
      </c>
    </row>
    <row r="207" spans="2:6" x14ac:dyDescent="0.3">
      <c r="B207" s="827">
        <v>2033</v>
      </c>
      <c r="C207" s="828" t="s">
        <v>2268</v>
      </c>
      <c r="D207" s="828" t="s">
        <v>114</v>
      </c>
      <c r="E207" s="849">
        <v>10</v>
      </c>
      <c r="F207" s="850">
        <v>7.6699000000000003E-2</v>
      </c>
    </row>
    <row r="208" spans="2:6" x14ac:dyDescent="0.3">
      <c r="B208" s="827">
        <v>2033</v>
      </c>
      <c r="C208" s="828" t="s">
        <v>2268</v>
      </c>
      <c r="D208" s="828" t="s">
        <v>114</v>
      </c>
      <c r="E208" s="849">
        <v>11</v>
      </c>
      <c r="F208" s="850">
        <v>5.3365000000000003E-2</v>
      </c>
    </row>
    <row r="209" spans="2:6" x14ac:dyDescent="0.3">
      <c r="B209" s="827">
        <v>2033</v>
      </c>
      <c r="C209" s="828" t="s">
        <v>2268</v>
      </c>
      <c r="D209" s="828" t="s">
        <v>114</v>
      </c>
      <c r="E209" s="849">
        <v>12</v>
      </c>
      <c r="F209" s="850">
        <v>6.3510999999999998E-2</v>
      </c>
    </row>
    <row r="210" spans="2:6" x14ac:dyDescent="0.3">
      <c r="B210" s="827">
        <v>2033</v>
      </c>
      <c r="C210" s="828" t="s">
        <v>2268</v>
      </c>
      <c r="D210" s="828" t="s">
        <v>114</v>
      </c>
      <c r="E210" s="849">
        <v>13</v>
      </c>
      <c r="F210" s="850">
        <v>5.2561999999999998E-2</v>
      </c>
    </row>
    <row r="211" spans="2:6" x14ac:dyDescent="0.3">
      <c r="B211" s="827">
        <v>2033</v>
      </c>
      <c r="C211" s="828" t="s">
        <v>2268</v>
      </c>
      <c r="D211" s="828" t="s">
        <v>114</v>
      </c>
      <c r="E211" s="849">
        <v>14</v>
      </c>
      <c r="F211" s="850">
        <v>3.9565000000000003E-2</v>
      </c>
    </row>
    <row r="212" spans="2:6" x14ac:dyDescent="0.3">
      <c r="B212" s="827">
        <v>2033</v>
      </c>
      <c r="C212" s="828" t="s">
        <v>2268</v>
      </c>
      <c r="D212" s="828" t="s">
        <v>114</v>
      </c>
      <c r="E212" s="849">
        <v>15</v>
      </c>
      <c r="F212" s="850">
        <v>2.0397999999999999E-2</v>
      </c>
    </row>
    <row r="213" spans="2:6" x14ac:dyDescent="0.3">
      <c r="B213" s="827">
        <v>2033</v>
      </c>
      <c r="C213" s="828" t="s">
        <v>2268</v>
      </c>
      <c r="D213" s="828" t="s">
        <v>114</v>
      </c>
      <c r="E213" s="849">
        <v>16</v>
      </c>
      <c r="F213" s="850">
        <v>7.4626999999999999E-2</v>
      </c>
    </row>
    <row r="214" spans="2:6" x14ac:dyDescent="0.3">
      <c r="B214" s="827">
        <v>2033</v>
      </c>
      <c r="C214" s="828" t="s">
        <v>2268</v>
      </c>
      <c r="D214" s="828" t="s">
        <v>114</v>
      </c>
      <c r="E214" s="849">
        <v>17</v>
      </c>
      <c r="F214" s="850">
        <v>5.9204E-2</v>
      </c>
    </row>
    <row r="215" spans="2:6" x14ac:dyDescent="0.3">
      <c r="B215" s="827">
        <v>2033</v>
      </c>
      <c r="C215" s="828" t="s">
        <v>2268</v>
      </c>
      <c r="D215" s="828" t="s">
        <v>114</v>
      </c>
      <c r="E215" s="849">
        <v>18</v>
      </c>
      <c r="F215" s="850">
        <v>4.3804000000000003E-2</v>
      </c>
    </row>
    <row r="216" spans="2:6" x14ac:dyDescent="0.3">
      <c r="B216" s="827">
        <v>2033</v>
      </c>
      <c r="C216" s="828" t="s">
        <v>2268</v>
      </c>
      <c r="D216" s="828" t="s">
        <v>114</v>
      </c>
      <c r="E216" s="849">
        <v>19</v>
      </c>
      <c r="F216" s="850">
        <v>8.2728999999999997E-2</v>
      </c>
    </row>
    <row r="217" spans="2:6" x14ac:dyDescent="0.3">
      <c r="B217" s="827">
        <v>2033</v>
      </c>
      <c r="C217" s="828" t="s">
        <v>2269</v>
      </c>
      <c r="D217" s="828" t="s">
        <v>326</v>
      </c>
      <c r="E217" s="849">
        <v>1</v>
      </c>
      <c r="F217" s="850">
        <v>2.1346E-2</v>
      </c>
    </row>
    <row r="218" spans="2:6" x14ac:dyDescent="0.3">
      <c r="B218" s="827">
        <v>2033</v>
      </c>
      <c r="C218" s="828" t="s">
        <v>2269</v>
      </c>
      <c r="D218" s="828" t="s">
        <v>326</v>
      </c>
      <c r="E218" s="849">
        <v>2</v>
      </c>
      <c r="F218" s="850">
        <v>5.097E-3</v>
      </c>
    </row>
    <row r="219" spans="2:6" x14ac:dyDescent="0.3">
      <c r="B219" s="827">
        <v>2033</v>
      </c>
      <c r="C219" s="828" t="s">
        <v>2269</v>
      </c>
      <c r="D219" s="828" t="s">
        <v>326</v>
      </c>
      <c r="E219" s="849">
        <v>3</v>
      </c>
      <c r="F219" s="850">
        <v>3.3899999999999998E-3</v>
      </c>
    </row>
    <row r="220" spans="2:6" x14ac:dyDescent="0.3">
      <c r="B220" s="827">
        <v>2033</v>
      </c>
      <c r="C220" s="828" t="s">
        <v>2269</v>
      </c>
      <c r="D220" s="828" t="s">
        <v>326</v>
      </c>
      <c r="E220" s="849">
        <v>4</v>
      </c>
      <c r="F220" s="850">
        <v>7.9839999999999998E-3</v>
      </c>
    </row>
    <row r="221" spans="2:6" x14ac:dyDescent="0.3">
      <c r="B221" s="827">
        <v>2033</v>
      </c>
      <c r="C221" s="828" t="s">
        <v>2269</v>
      </c>
      <c r="D221" s="828" t="s">
        <v>326</v>
      </c>
      <c r="E221" s="849">
        <v>5</v>
      </c>
      <c r="F221" s="850">
        <v>1.3221E-2</v>
      </c>
    </row>
    <row r="222" spans="2:6" x14ac:dyDescent="0.3">
      <c r="B222" s="827">
        <v>2033</v>
      </c>
      <c r="C222" s="828" t="s">
        <v>2269</v>
      </c>
      <c r="D222" s="828" t="s">
        <v>326</v>
      </c>
      <c r="E222" s="849">
        <v>6</v>
      </c>
      <c r="F222" s="850">
        <v>0.195329</v>
      </c>
    </row>
    <row r="223" spans="2:6" x14ac:dyDescent="0.3">
      <c r="B223" s="827">
        <v>2033</v>
      </c>
      <c r="C223" s="828" t="s">
        <v>2269</v>
      </c>
      <c r="D223" s="828" t="s">
        <v>326</v>
      </c>
      <c r="E223" s="849">
        <v>7</v>
      </c>
      <c r="F223" s="850">
        <v>5.7140000000000003E-2</v>
      </c>
    </row>
    <row r="224" spans="2:6" x14ac:dyDescent="0.3">
      <c r="B224" s="827">
        <v>2033</v>
      </c>
      <c r="C224" s="828" t="s">
        <v>2269</v>
      </c>
      <c r="D224" s="828" t="s">
        <v>326</v>
      </c>
      <c r="E224" s="849">
        <v>8</v>
      </c>
      <c r="F224" s="850">
        <v>1.8917E-2</v>
      </c>
    </row>
    <row r="225" spans="2:6" x14ac:dyDescent="0.3">
      <c r="B225" s="827">
        <v>2033</v>
      </c>
      <c r="C225" s="828" t="s">
        <v>2269</v>
      </c>
      <c r="D225" s="828" t="s">
        <v>326</v>
      </c>
      <c r="E225" s="849">
        <v>9</v>
      </c>
      <c r="F225" s="850">
        <v>0.18945799999999999</v>
      </c>
    </row>
    <row r="226" spans="2:6" x14ac:dyDescent="0.3">
      <c r="B226" s="827">
        <v>2033</v>
      </c>
      <c r="C226" s="828" t="s">
        <v>2269</v>
      </c>
      <c r="D226" s="828" t="s">
        <v>326</v>
      </c>
      <c r="E226" s="849">
        <v>10</v>
      </c>
      <c r="F226" s="850">
        <v>5.7532E-2</v>
      </c>
    </row>
    <row r="227" spans="2:6" x14ac:dyDescent="0.3">
      <c r="B227" s="827">
        <v>2033</v>
      </c>
      <c r="C227" s="828" t="s">
        <v>2269</v>
      </c>
      <c r="D227" s="828" t="s">
        <v>326</v>
      </c>
      <c r="E227" s="849">
        <v>11</v>
      </c>
      <c r="F227" s="850">
        <v>1.8245000000000001E-2</v>
      </c>
    </row>
    <row r="228" spans="2:6" x14ac:dyDescent="0.3">
      <c r="B228" s="827">
        <v>2033</v>
      </c>
      <c r="C228" s="828" t="s">
        <v>2269</v>
      </c>
      <c r="D228" s="828" t="s">
        <v>326</v>
      </c>
      <c r="E228" s="849">
        <v>12</v>
      </c>
      <c r="F228" s="850">
        <v>0.106113</v>
      </c>
    </row>
    <row r="229" spans="2:6" x14ac:dyDescent="0.3">
      <c r="B229" s="827">
        <v>2033</v>
      </c>
      <c r="C229" s="828" t="s">
        <v>2269</v>
      </c>
      <c r="D229" s="828" t="s">
        <v>326</v>
      </c>
      <c r="E229" s="849">
        <v>13</v>
      </c>
      <c r="F229" s="850">
        <v>3.9351999999999998E-2</v>
      </c>
    </row>
    <row r="230" spans="2:6" x14ac:dyDescent="0.3">
      <c r="B230" s="827">
        <v>2033</v>
      </c>
      <c r="C230" s="828" t="s">
        <v>2269</v>
      </c>
      <c r="D230" s="828" t="s">
        <v>326</v>
      </c>
      <c r="E230" s="849">
        <v>14</v>
      </c>
      <c r="F230" s="850">
        <v>1.6809999999999999E-2</v>
      </c>
    </row>
    <row r="231" spans="2:6" x14ac:dyDescent="0.3">
      <c r="B231" s="827">
        <v>2033</v>
      </c>
      <c r="C231" s="828" t="s">
        <v>2269</v>
      </c>
      <c r="D231" s="828" t="s">
        <v>326</v>
      </c>
      <c r="E231" s="849">
        <v>15</v>
      </c>
      <c r="F231" s="850">
        <v>1.0215999999999999E-2</v>
      </c>
    </row>
    <row r="232" spans="2:6" x14ac:dyDescent="0.3">
      <c r="B232" s="827">
        <v>2033</v>
      </c>
      <c r="C232" s="828" t="s">
        <v>2269</v>
      </c>
      <c r="D232" s="828" t="s">
        <v>326</v>
      </c>
      <c r="E232" s="849">
        <v>16</v>
      </c>
      <c r="F232" s="850">
        <v>0.12501300000000001</v>
      </c>
    </row>
    <row r="233" spans="2:6" x14ac:dyDescent="0.3">
      <c r="B233" s="827">
        <v>2033</v>
      </c>
      <c r="C233" s="828" t="s">
        <v>2269</v>
      </c>
      <c r="D233" s="828" t="s">
        <v>326</v>
      </c>
      <c r="E233" s="849">
        <v>17</v>
      </c>
      <c r="F233" s="850">
        <v>4.4134E-2</v>
      </c>
    </row>
    <row r="234" spans="2:6" x14ac:dyDescent="0.3">
      <c r="B234" s="827">
        <v>2033</v>
      </c>
      <c r="C234" s="828" t="s">
        <v>2269</v>
      </c>
      <c r="D234" s="828" t="s">
        <v>326</v>
      </c>
      <c r="E234" s="849">
        <v>18</v>
      </c>
      <c r="F234" s="850">
        <v>1.7430000000000001E-2</v>
      </c>
    </row>
    <row r="235" spans="2:6" x14ac:dyDescent="0.3">
      <c r="B235" s="827">
        <v>2033</v>
      </c>
      <c r="C235" s="828" t="s">
        <v>2269</v>
      </c>
      <c r="D235" s="828" t="s">
        <v>326</v>
      </c>
      <c r="E235" s="849">
        <v>19</v>
      </c>
      <c r="F235" s="850">
        <v>5.3275999999999997E-2</v>
      </c>
    </row>
    <row r="236" spans="2:6" x14ac:dyDescent="0.3">
      <c r="B236" s="827">
        <v>2033</v>
      </c>
      <c r="C236" s="828" t="s">
        <v>2269</v>
      </c>
      <c r="D236" s="828" t="s">
        <v>114</v>
      </c>
      <c r="E236" s="849">
        <v>1</v>
      </c>
      <c r="F236" s="850">
        <v>4.4277999999999998E-2</v>
      </c>
    </row>
    <row r="237" spans="2:6" x14ac:dyDescent="0.3">
      <c r="B237" s="827">
        <v>2033</v>
      </c>
      <c r="C237" s="828" t="s">
        <v>2269</v>
      </c>
      <c r="D237" s="828" t="s">
        <v>114</v>
      </c>
      <c r="E237" s="849">
        <v>2</v>
      </c>
      <c r="F237" s="850">
        <v>9.9439999999999997E-3</v>
      </c>
    </row>
    <row r="238" spans="2:6" x14ac:dyDescent="0.3">
      <c r="B238" s="827">
        <v>2033</v>
      </c>
      <c r="C238" s="828" t="s">
        <v>2269</v>
      </c>
      <c r="D238" s="828" t="s">
        <v>114</v>
      </c>
      <c r="E238" s="849">
        <v>3</v>
      </c>
      <c r="F238" s="850">
        <v>6.3140000000000002E-3</v>
      </c>
    </row>
    <row r="239" spans="2:6" x14ac:dyDescent="0.3">
      <c r="B239" s="827">
        <v>2033</v>
      </c>
      <c r="C239" s="828" t="s">
        <v>2269</v>
      </c>
      <c r="D239" s="828" t="s">
        <v>114</v>
      </c>
      <c r="E239" s="849">
        <v>4</v>
      </c>
      <c r="F239" s="850">
        <v>2.2499999999999998E-3</v>
      </c>
    </row>
    <row r="240" spans="2:6" x14ac:dyDescent="0.3">
      <c r="B240" s="827">
        <v>2033</v>
      </c>
      <c r="C240" s="828" t="s">
        <v>2269</v>
      </c>
      <c r="D240" s="828" t="s">
        <v>114</v>
      </c>
      <c r="E240" s="849">
        <v>5</v>
      </c>
      <c r="F240" s="850">
        <v>1.9872999999999998E-2</v>
      </c>
    </row>
    <row r="241" spans="2:6" x14ac:dyDescent="0.3">
      <c r="B241" s="827">
        <v>2033</v>
      </c>
      <c r="C241" s="828" t="s">
        <v>2269</v>
      </c>
      <c r="D241" s="828" t="s">
        <v>114</v>
      </c>
      <c r="E241" s="849">
        <v>6</v>
      </c>
      <c r="F241" s="850">
        <v>0.16378899999999999</v>
      </c>
    </row>
    <row r="242" spans="2:6" x14ac:dyDescent="0.3">
      <c r="B242" s="827">
        <v>2033</v>
      </c>
      <c r="C242" s="828" t="s">
        <v>2269</v>
      </c>
      <c r="D242" s="828" t="s">
        <v>114</v>
      </c>
      <c r="E242" s="849">
        <v>7</v>
      </c>
      <c r="F242" s="850">
        <v>7.6245999999999994E-2</v>
      </c>
    </row>
    <row r="243" spans="2:6" x14ac:dyDescent="0.3">
      <c r="B243" s="827">
        <v>2033</v>
      </c>
      <c r="C243" s="828" t="s">
        <v>2269</v>
      </c>
      <c r="D243" s="828" t="s">
        <v>114</v>
      </c>
      <c r="E243" s="849">
        <v>8</v>
      </c>
      <c r="F243" s="850">
        <v>2.2350999999999999E-2</v>
      </c>
    </row>
    <row r="244" spans="2:6" x14ac:dyDescent="0.3">
      <c r="B244" s="827">
        <v>2033</v>
      </c>
      <c r="C244" s="828" t="s">
        <v>2269</v>
      </c>
      <c r="D244" s="828" t="s">
        <v>114</v>
      </c>
      <c r="E244" s="849">
        <v>9</v>
      </c>
      <c r="F244" s="850">
        <v>0.150198</v>
      </c>
    </row>
    <row r="245" spans="2:6" x14ac:dyDescent="0.3">
      <c r="B245" s="827">
        <v>2033</v>
      </c>
      <c r="C245" s="828" t="s">
        <v>2269</v>
      </c>
      <c r="D245" s="828" t="s">
        <v>114</v>
      </c>
      <c r="E245" s="849">
        <v>10</v>
      </c>
      <c r="F245" s="850">
        <v>7.2936000000000001E-2</v>
      </c>
    </row>
    <row r="246" spans="2:6" x14ac:dyDescent="0.3">
      <c r="B246" s="827">
        <v>2033</v>
      </c>
      <c r="C246" s="828" t="s">
        <v>2269</v>
      </c>
      <c r="D246" s="828" t="s">
        <v>114</v>
      </c>
      <c r="E246" s="849">
        <v>11</v>
      </c>
      <c r="F246" s="850">
        <v>1.9743E-2</v>
      </c>
    </row>
    <row r="247" spans="2:6" x14ac:dyDescent="0.3">
      <c r="B247" s="827">
        <v>2033</v>
      </c>
      <c r="C247" s="828" t="s">
        <v>2269</v>
      </c>
      <c r="D247" s="828" t="s">
        <v>114</v>
      </c>
      <c r="E247" s="849">
        <v>12</v>
      </c>
      <c r="F247" s="850">
        <v>8.5303000000000004E-2</v>
      </c>
    </row>
    <row r="248" spans="2:6" x14ac:dyDescent="0.3">
      <c r="B248" s="827">
        <v>2033</v>
      </c>
      <c r="C248" s="828" t="s">
        <v>2269</v>
      </c>
      <c r="D248" s="828" t="s">
        <v>114</v>
      </c>
      <c r="E248" s="849">
        <v>13</v>
      </c>
      <c r="F248" s="850">
        <v>5.0383999999999998E-2</v>
      </c>
    </row>
    <row r="249" spans="2:6" x14ac:dyDescent="0.3">
      <c r="B249" s="827">
        <v>2033</v>
      </c>
      <c r="C249" s="828" t="s">
        <v>2269</v>
      </c>
      <c r="D249" s="828" t="s">
        <v>114</v>
      </c>
      <c r="E249" s="849">
        <v>14</v>
      </c>
      <c r="F249" s="850">
        <v>1.7742999999999998E-2</v>
      </c>
    </row>
    <row r="250" spans="2:6" x14ac:dyDescent="0.3">
      <c r="B250" s="827">
        <v>2033</v>
      </c>
      <c r="C250" s="828" t="s">
        <v>2269</v>
      </c>
      <c r="D250" s="828" t="s">
        <v>114</v>
      </c>
      <c r="E250" s="849">
        <v>15</v>
      </c>
      <c r="F250" s="850">
        <v>1.1900000000000001E-2</v>
      </c>
    </row>
    <row r="251" spans="2:6" x14ac:dyDescent="0.3">
      <c r="B251" s="827">
        <v>2033</v>
      </c>
      <c r="C251" s="828" t="s">
        <v>2269</v>
      </c>
      <c r="D251" s="828" t="s">
        <v>114</v>
      </c>
      <c r="E251" s="849">
        <v>16</v>
      </c>
      <c r="F251" s="850">
        <v>0.100054</v>
      </c>
    </row>
    <row r="252" spans="2:6" x14ac:dyDescent="0.3">
      <c r="B252" s="827">
        <v>2033</v>
      </c>
      <c r="C252" s="828" t="s">
        <v>2269</v>
      </c>
      <c r="D252" s="828" t="s">
        <v>114</v>
      </c>
      <c r="E252" s="849">
        <v>17</v>
      </c>
      <c r="F252" s="850">
        <v>5.6335999999999997E-2</v>
      </c>
    </row>
    <row r="253" spans="2:6" x14ac:dyDescent="0.3">
      <c r="B253" s="827">
        <v>2033</v>
      </c>
      <c r="C253" s="828" t="s">
        <v>2269</v>
      </c>
      <c r="D253" s="828" t="s">
        <v>114</v>
      </c>
      <c r="E253" s="849">
        <v>18</v>
      </c>
      <c r="F253" s="850">
        <v>1.7957000000000001E-2</v>
      </c>
    </row>
    <row r="254" spans="2:6" x14ac:dyDescent="0.3">
      <c r="B254" s="827">
        <v>2033</v>
      </c>
      <c r="C254" s="828" t="s">
        <v>2269</v>
      </c>
      <c r="D254" s="828" t="s">
        <v>114</v>
      </c>
      <c r="E254" s="849">
        <v>19</v>
      </c>
      <c r="F254" s="850">
        <v>7.2401999999999994E-2</v>
      </c>
    </row>
    <row r="255" spans="2:6" x14ac:dyDescent="0.3">
      <c r="B255" s="827">
        <v>2038</v>
      </c>
      <c r="C255" s="828" t="s">
        <v>2268</v>
      </c>
      <c r="D255" s="828" t="s">
        <v>326</v>
      </c>
      <c r="E255" s="849">
        <v>1</v>
      </c>
      <c r="F255" s="850">
        <v>2.7529000000000001E-2</v>
      </c>
    </row>
    <row r="256" spans="2:6" x14ac:dyDescent="0.3">
      <c r="B256" s="827">
        <v>2038</v>
      </c>
      <c r="C256" s="828" t="s">
        <v>2268</v>
      </c>
      <c r="D256" s="828" t="s">
        <v>326</v>
      </c>
      <c r="E256" s="849">
        <v>2</v>
      </c>
      <c r="F256" s="850">
        <v>5.4920000000000004E-3</v>
      </c>
    </row>
    <row r="257" spans="2:6" x14ac:dyDescent="0.3">
      <c r="B257" s="827">
        <v>2038</v>
      </c>
      <c r="C257" s="828" t="s">
        <v>2268</v>
      </c>
      <c r="D257" s="828" t="s">
        <v>326</v>
      </c>
      <c r="E257" s="849">
        <v>3</v>
      </c>
      <c r="F257" s="850">
        <v>3.2950000000000002E-3</v>
      </c>
    </row>
    <row r="258" spans="2:6" x14ac:dyDescent="0.3">
      <c r="B258" s="827">
        <v>2038</v>
      </c>
      <c r="C258" s="828" t="s">
        <v>2268</v>
      </c>
      <c r="D258" s="828" t="s">
        <v>326</v>
      </c>
      <c r="E258" s="849">
        <v>4</v>
      </c>
      <c r="F258" s="850">
        <v>7.7479999999999997E-3</v>
      </c>
    </row>
    <row r="259" spans="2:6" x14ac:dyDescent="0.3">
      <c r="B259" s="827">
        <v>2038</v>
      </c>
      <c r="C259" s="828" t="s">
        <v>2268</v>
      </c>
      <c r="D259" s="828" t="s">
        <v>326</v>
      </c>
      <c r="E259" s="849">
        <v>5</v>
      </c>
      <c r="F259" s="850">
        <v>1.3549E-2</v>
      </c>
    </row>
    <row r="260" spans="2:6" x14ac:dyDescent="0.3">
      <c r="B260" s="827">
        <v>2038</v>
      </c>
      <c r="C260" s="828" t="s">
        <v>2268</v>
      </c>
      <c r="D260" s="828" t="s">
        <v>326</v>
      </c>
      <c r="E260" s="849">
        <v>6</v>
      </c>
      <c r="F260" s="850">
        <v>0.196355</v>
      </c>
    </row>
    <row r="261" spans="2:6" x14ac:dyDescent="0.3">
      <c r="B261" s="827">
        <v>2038</v>
      </c>
      <c r="C261" s="828" t="s">
        <v>2268</v>
      </c>
      <c r="D261" s="828" t="s">
        <v>326</v>
      </c>
      <c r="E261" s="849">
        <v>7</v>
      </c>
      <c r="F261" s="850">
        <v>6.1425E-2</v>
      </c>
    </row>
    <row r="262" spans="2:6" x14ac:dyDescent="0.3">
      <c r="B262" s="827">
        <v>2038</v>
      </c>
      <c r="C262" s="828" t="s">
        <v>2268</v>
      </c>
      <c r="D262" s="828" t="s">
        <v>326</v>
      </c>
      <c r="E262" s="849">
        <v>8</v>
      </c>
      <c r="F262" s="850">
        <v>1.7059999999999999E-2</v>
      </c>
    </row>
    <row r="263" spans="2:6" x14ac:dyDescent="0.3">
      <c r="B263" s="827">
        <v>2038</v>
      </c>
      <c r="C263" s="828" t="s">
        <v>2268</v>
      </c>
      <c r="D263" s="828" t="s">
        <v>326</v>
      </c>
      <c r="E263" s="849">
        <v>9</v>
      </c>
      <c r="F263" s="850">
        <v>0.18909300000000001</v>
      </c>
    </row>
    <row r="264" spans="2:6" x14ac:dyDescent="0.3">
      <c r="B264" s="827">
        <v>2038</v>
      </c>
      <c r="C264" s="828" t="s">
        <v>2268</v>
      </c>
      <c r="D264" s="828" t="s">
        <v>326</v>
      </c>
      <c r="E264" s="849">
        <v>10</v>
      </c>
      <c r="F264" s="850">
        <v>6.0428000000000003E-2</v>
      </c>
    </row>
    <row r="265" spans="2:6" x14ac:dyDescent="0.3">
      <c r="B265" s="827">
        <v>2038</v>
      </c>
      <c r="C265" s="828" t="s">
        <v>2268</v>
      </c>
      <c r="D265" s="828" t="s">
        <v>326</v>
      </c>
      <c r="E265" s="849">
        <v>11</v>
      </c>
      <c r="F265" s="850">
        <v>1.6608000000000001E-2</v>
      </c>
    </row>
    <row r="266" spans="2:6" x14ac:dyDescent="0.3">
      <c r="B266" s="827">
        <v>2038</v>
      </c>
      <c r="C266" s="828" t="s">
        <v>2268</v>
      </c>
      <c r="D266" s="828" t="s">
        <v>326</v>
      </c>
      <c r="E266" s="849">
        <v>12</v>
      </c>
      <c r="F266" s="850">
        <v>9.9970000000000003E-2</v>
      </c>
    </row>
    <row r="267" spans="2:6" x14ac:dyDescent="0.3">
      <c r="B267" s="827">
        <v>2038</v>
      </c>
      <c r="C267" s="828" t="s">
        <v>2268</v>
      </c>
      <c r="D267" s="828" t="s">
        <v>326</v>
      </c>
      <c r="E267" s="849">
        <v>13</v>
      </c>
      <c r="F267" s="850">
        <v>3.9426000000000003E-2</v>
      </c>
    </row>
    <row r="268" spans="2:6" x14ac:dyDescent="0.3">
      <c r="B268" s="827">
        <v>2038</v>
      </c>
      <c r="C268" s="828" t="s">
        <v>2268</v>
      </c>
      <c r="D268" s="828" t="s">
        <v>326</v>
      </c>
      <c r="E268" s="849">
        <v>14</v>
      </c>
      <c r="F268" s="850">
        <v>1.3827000000000001E-2</v>
      </c>
    </row>
    <row r="269" spans="2:6" x14ac:dyDescent="0.3">
      <c r="B269" s="827">
        <v>2038</v>
      </c>
      <c r="C269" s="828" t="s">
        <v>2268</v>
      </c>
      <c r="D269" s="828" t="s">
        <v>326</v>
      </c>
      <c r="E269" s="849">
        <v>15</v>
      </c>
      <c r="F269" s="850">
        <v>8.2059999999999998E-3</v>
      </c>
    </row>
    <row r="270" spans="2:6" x14ac:dyDescent="0.3">
      <c r="B270" s="827">
        <v>2038</v>
      </c>
      <c r="C270" s="828" t="s">
        <v>2268</v>
      </c>
      <c r="D270" s="828" t="s">
        <v>326</v>
      </c>
      <c r="E270" s="849">
        <v>16</v>
      </c>
      <c r="F270" s="850">
        <v>0.118782</v>
      </c>
    </row>
    <row r="271" spans="2:6" x14ac:dyDescent="0.3">
      <c r="B271" s="827">
        <v>2038</v>
      </c>
      <c r="C271" s="828" t="s">
        <v>2268</v>
      </c>
      <c r="D271" s="828" t="s">
        <v>326</v>
      </c>
      <c r="E271" s="849">
        <v>17</v>
      </c>
      <c r="F271" s="850">
        <v>4.4621000000000001E-2</v>
      </c>
    </row>
    <row r="272" spans="2:6" x14ac:dyDescent="0.3">
      <c r="B272" s="827">
        <v>2038</v>
      </c>
      <c r="C272" s="828" t="s">
        <v>2268</v>
      </c>
      <c r="D272" s="828" t="s">
        <v>326</v>
      </c>
      <c r="E272" s="849">
        <v>18</v>
      </c>
      <c r="F272" s="850">
        <v>1.4652E-2</v>
      </c>
    </row>
    <row r="273" spans="2:6" x14ac:dyDescent="0.3">
      <c r="B273" s="827">
        <v>2038</v>
      </c>
      <c r="C273" s="828" t="s">
        <v>2268</v>
      </c>
      <c r="D273" s="828" t="s">
        <v>326</v>
      </c>
      <c r="E273" s="849">
        <v>19</v>
      </c>
      <c r="F273" s="850">
        <v>6.1932000000000001E-2</v>
      </c>
    </row>
    <row r="274" spans="2:6" x14ac:dyDescent="0.3">
      <c r="B274" s="827">
        <v>2038</v>
      </c>
      <c r="C274" s="828" t="s">
        <v>2268</v>
      </c>
      <c r="D274" s="828" t="s">
        <v>114</v>
      </c>
      <c r="E274" s="849">
        <v>1</v>
      </c>
      <c r="F274" s="850">
        <v>5.3906999999999997E-2</v>
      </c>
    </row>
    <row r="275" spans="2:6" x14ac:dyDescent="0.3">
      <c r="B275" s="827">
        <v>2038</v>
      </c>
      <c r="C275" s="828" t="s">
        <v>2268</v>
      </c>
      <c r="D275" s="828" t="s">
        <v>114</v>
      </c>
      <c r="E275" s="849">
        <v>2</v>
      </c>
      <c r="F275" s="850">
        <v>1.0685999999999999E-2</v>
      </c>
    </row>
    <row r="276" spans="2:6" x14ac:dyDescent="0.3">
      <c r="B276" s="827">
        <v>2038</v>
      </c>
      <c r="C276" s="828" t="s">
        <v>2268</v>
      </c>
      <c r="D276" s="828" t="s">
        <v>114</v>
      </c>
      <c r="E276" s="849">
        <v>3</v>
      </c>
      <c r="F276" s="850">
        <v>6.0460000000000002E-3</v>
      </c>
    </row>
    <row r="277" spans="2:6" x14ac:dyDescent="0.3">
      <c r="B277" s="827">
        <v>2038</v>
      </c>
      <c r="C277" s="828" t="s">
        <v>2268</v>
      </c>
      <c r="D277" s="828" t="s">
        <v>114</v>
      </c>
      <c r="E277" s="849">
        <v>4</v>
      </c>
      <c r="F277" s="850">
        <v>2.8029999999999999E-3</v>
      </c>
    </row>
    <row r="278" spans="2:6" x14ac:dyDescent="0.3">
      <c r="B278" s="827">
        <v>2038</v>
      </c>
      <c r="C278" s="828" t="s">
        <v>2268</v>
      </c>
      <c r="D278" s="828" t="s">
        <v>114</v>
      </c>
      <c r="E278" s="849">
        <v>5</v>
      </c>
      <c r="F278" s="850">
        <v>2.0028000000000001E-2</v>
      </c>
    </row>
    <row r="279" spans="2:6" x14ac:dyDescent="0.3">
      <c r="B279" s="827">
        <v>2038</v>
      </c>
      <c r="C279" s="828" t="s">
        <v>2268</v>
      </c>
      <c r="D279" s="828" t="s">
        <v>114</v>
      </c>
      <c r="E279" s="849">
        <v>6</v>
      </c>
      <c r="F279" s="850">
        <v>0.15910099999999999</v>
      </c>
    </row>
    <row r="280" spans="2:6" x14ac:dyDescent="0.3">
      <c r="B280" s="827">
        <v>2038</v>
      </c>
      <c r="C280" s="828" t="s">
        <v>2268</v>
      </c>
      <c r="D280" s="828" t="s">
        <v>114</v>
      </c>
      <c r="E280" s="849">
        <v>7</v>
      </c>
      <c r="F280" s="850">
        <v>8.1418000000000004E-2</v>
      </c>
    </row>
    <row r="281" spans="2:6" x14ac:dyDescent="0.3">
      <c r="B281" s="827">
        <v>2038</v>
      </c>
      <c r="C281" s="828" t="s">
        <v>2268</v>
      </c>
      <c r="D281" s="828" t="s">
        <v>114</v>
      </c>
      <c r="E281" s="849">
        <v>8</v>
      </c>
      <c r="F281" s="850">
        <v>2.1042999999999999E-2</v>
      </c>
    </row>
    <row r="282" spans="2:6" x14ac:dyDescent="0.3">
      <c r="B282" s="827">
        <v>2038</v>
      </c>
      <c r="C282" s="828" t="s">
        <v>2268</v>
      </c>
      <c r="D282" s="828" t="s">
        <v>114</v>
      </c>
      <c r="E282" s="849">
        <v>9</v>
      </c>
      <c r="F282" s="850">
        <v>0.145402</v>
      </c>
    </row>
    <row r="283" spans="2:6" x14ac:dyDescent="0.3">
      <c r="B283" s="827">
        <v>2038</v>
      </c>
      <c r="C283" s="828" t="s">
        <v>2268</v>
      </c>
      <c r="D283" s="828" t="s">
        <v>114</v>
      </c>
      <c r="E283" s="849">
        <v>10</v>
      </c>
      <c r="F283" s="850">
        <v>7.7259999999999995E-2</v>
      </c>
    </row>
    <row r="284" spans="2:6" x14ac:dyDescent="0.3">
      <c r="B284" s="827">
        <v>2038</v>
      </c>
      <c r="C284" s="828" t="s">
        <v>2268</v>
      </c>
      <c r="D284" s="828" t="s">
        <v>114</v>
      </c>
      <c r="E284" s="849">
        <v>11</v>
      </c>
      <c r="F284" s="850">
        <v>1.9474000000000002E-2</v>
      </c>
    </row>
    <row r="285" spans="2:6" x14ac:dyDescent="0.3">
      <c r="B285" s="827">
        <v>2038</v>
      </c>
      <c r="C285" s="828" t="s">
        <v>2268</v>
      </c>
      <c r="D285" s="828" t="s">
        <v>114</v>
      </c>
      <c r="E285" s="849">
        <v>12</v>
      </c>
      <c r="F285" s="850">
        <v>7.7966999999999995E-2</v>
      </c>
    </row>
    <row r="286" spans="2:6" x14ac:dyDescent="0.3">
      <c r="B286" s="827">
        <v>2038</v>
      </c>
      <c r="C286" s="828" t="s">
        <v>2268</v>
      </c>
      <c r="D286" s="828" t="s">
        <v>114</v>
      </c>
      <c r="E286" s="849">
        <v>13</v>
      </c>
      <c r="F286" s="850">
        <v>5.1137000000000002E-2</v>
      </c>
    </row>
    <row r="287" spans="2:6" x14ac:dyDescent="0.3">
      <c r="B287" s="827">
        <v>2038</v>
      </c>
      <c r="C287" s="828" t="s">
        <v>2268</v>
      </c>
      <c r="D287" s="828" t="s">
        <v>114</v>
      </c>
      <c r="E287" s="849">
        <v>14</v>
      </c>
      <c r="F287" s="850">
        <v>1.5497E-2</v>
      </c>
    </row>
    <row r="288" spans="2:6" x14ac:dyDescent="0.3">
      <c r="B288" s="827">
        <v>2038</v>
      </c>
      <c r="C288" s="828" t="s">
        <v>2268</v>
      </c>
      <c r="D288" s="828" t="s">
        <v>114</v>
      </c>
      <c r="E288" s="849">
        <v>15</v>
      </c>
      <c r="F288" s="850">
        <v>9.2650000000000007E-3</v>
      </c>
    </row>
    <row r="289" spans="2:6" x14ac:dyDescent="0.3">
      <c r="B289" s="827">
        <v>2038</v>
      </c>
      <c r="C289" s="828" t="s">
        <v>2268</v>
      </c>
      <c r="D289" s="828" t="s">
        <v>114</v>
      </c>
      <c r="E289" s="849">
        <v>16</v>
      </c>
      <c r="F289" s="850">
        <v>9.2208999999999999E-2</v>
      </c>
    </row>
    <row r="290" spans="2:6" x14ac:dyDescent="0.3">
      <c r="B290" s="827">
        <v>2038</v>
      </c>
      <c r="C290" s="828" t="s">
        <v>2268</v>
      </c>
      <c r="D290" s="828" t="s">
        <v>114</v>
      </c>
      <c r="E290" s="849">
        <v>17</v>
      </c>
      <c r="F290" s="850">
        <v>5.7626999999999998E-2</v>
      </c>
    </row>
    <row r="291" spans="2:6" x14ac:dyDescent="0.3">
      <c r="B291" s="827">
        <v>2038</v>
      </c>
      <c r="C291" s="828" t="s">
        <v>2268</v>
      </c>
      <c r="D291" s="828" t="s">
        <v>114</v>
      </c>
      <c r="E291" s="849">
        <v>18</v>
      </c>
      <c r="F291" s="850">
        <v>1.6409E-2</v>
      </c>
    </row>
    <row r="292" spans="2:6" x14ac:dyDescent="0.3">
      <c r="B292" s="827">
        <v>2038</v>
      </c>
      <c r="C292" s="828" t="s">
        <v>2268</v>
      </c>
      <c r="D292" s="828" t="s">
        <v>114</v>
      </c>
      <c r="E292" s="849">
        <v>19</v>
      </c>
      <c r="F292" s="850">
        <v>8.2721000000000003E-2</v>
      </c>
    </row>
  </sheetData>
  <sheetProtection algorithmName="SHA-512" hashValue="QsgoCLEomr6ZJ/xjoqLAgn2mEXuSJyPwDpBqJ8kepIB16n8rPFUTvw+/JH/uDFcFJC17UxPcwWl0pCVdCp/7nA==" saltValue="jvI17QP/v9Sw+V0fIx+/+g==" spinCount="100000" sheet="1" objects="1" scenarios="1" selectLockedCells="1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191F1C-3233-4006-94F3-28249DE4567F}">
          <x14:formula1>
            <xm:f>Internal!$AE$2:$AE$3</xm:f>
          </x14:formula1>
          <xm:sqref>I3</xm:sqref>
        </x14:dataValidation>
        <x14:dataValidation type="list" allowBlank="1" showInputMessage="1" showErrorMessage="1" xr:uid="{2B88D6EF-B024-47EC-B864-1C5558A1CB03}">
          <x14:formula1>
            <xm:f>Internal!$S$2:$S$20</xm:f>
          </x14:formula1>
          <xm:sqref>I4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D5416-420D-4A9B-9159-BBAA7F1C08A0}">
  <sheetPr codeName="Sheet93">
    <tabColor theme="5"/>
  </sheetPr>
  <dimension ref="A1:N292"/>
  <sheetViews>
    <sheetView showGridLines="0" showRowColHeaders="0" workbookViewId="0">
      <selection activeCell="G26" sqref="G26"/>
    </sheetView>
  </sheetViews>
  <sheetFormatPr defaultColWidth="12.77734375" defaultRowHeight="14.4" x14ac:dyDescent="0.3"/>
  <cols>
    <col min="1" max="1" width="3.77734375" style="191" customWidth="1"/>
    <col min="2" max="2" width="10" style="832" bestFit="1" customWidth="1"/>
    <col min="3" max="3" width="10.5546875" style="828" bestFit="1" customWidth="1"/>
    <col min="4" max="4" width="12.33203125" style="828" bestFit="1" customWidth="1"/>
    <col min="5" max="5" width="12.88671875" style="828" bestFit="1" customWidth="1"/>
    <col min="6" max="6" width="15.6640625" style="849" bestFit="1" customWidth="1"/>
    <col min="7" max="7" width="19.33203125" style="851" bestFit="1" customWidth="1"/>
    <col min="8" max="8" width="4.77734375" style="191" customWidth="1"/>
    <col min="9" max="9" width="16.77734375" style="842" customWidth="1"/>
    <col min="10" max="10" width="4.77734375" style="842" customWidth="1"/>
    <col min="11" max="11" width="11.44140625" style="842" bestFit="1" customWidth="1"/>
    <col min="12" max="12" width="8.44140625" style="842" bestFit="1" customWidth="1"/>
    <col min="13" max="13" width="11.44140625" style="843" bestFit="1" customWidth="1"/>
    <col min="14" max="14" width="11.44140625" style="191" bestFit="1" customWidth="1"/>
    <col min="15" max="16384" width="12.77734375" style="191"/>
  </cols>
  <sheetData>
    <row r="1" spans="1:7" s="192" customFormat="1" ht="70.2" customHeight="1" thickBot="1" x14ac:dyDescent="0.6">
      <c r="A1" s="193" t="s">
        <v>2286</v>
      </c>
      <c r="B1" s="810"/>
      <c r="C1" s="810"/>
      <c r="D1" s="810"/>
      <c r="E1" s="810"/>
      <c r="F1" s="813"/>
      <c r="G1" s="813"/>
    </row>
    <row r="2" spans="1:7" s="809" customFormat="1" ht="15" thickTop="1" x14ac:dyDescent="0.3">
      <c r="B2" s="811"/>
      <c r="C2" s="811"/>
      <c r="D2" s="811"/>
      <c r="E2" s="811"/>
      <c r="F2" s="814"/>
      <c r="G2" s="814"/>
    </row>
    <row r="3" spans="1:7" s="809" customFormat="1" x14ac:dyDescent="0.3">
      <c r="B3" s="811"/>
      <c r="C3" s="811"/>
      <c r="D3" s="811"/>
      <c r="E3" s="811"/>
      <c r="F3" s="814"/>
      <c r="G3" s="814"/>
    </row>
    <row r="4" spans="1:7" s="809" customFormat="1" x14ac:dyDescent="0.3">
      <c r="B4" s="811"/>
      <c r="C4" s="811"/>
      <c r="D4" s="811"/>
      <c r="E4" s="811"/>
      <c r="F4" s="814"/>
      <c r="G4" s="814"/>
    </row>
    <row r="5" spans="1:7" s="809" customFormat="1" x14ac:dyDescent="0.3">
      <c r="B5" s="811"/>
      <c r="C5" s="811"/>
      <c r="D5" s="811"/>
      <c r="E5" s="811"/>
      <c r="F5" s="814"/>
      <c r="G5" s="814"/>
    </row>
    <row r="6" spans="1:7" s="809" customFormat="1" x14ac:dyDescent="0.3">
      <c r="B6" s="811"/>
      <c r="C6" s="811"/>
      <c r="D6" s="811"/>
      <c r="E6" s="811"/>
      <c r="F6" s="814"/>
      <c r="G6" s="814"/>
    </row>
    <row r="7" spans="1:7" s="809" customFormat="1" x14ac:dyDescent="0.3">
      <c r="B7" s="811"/>
      <c r="C7" s="811"/>
      <c r="D7" s="811"/>
      <c r="E7" s="811"/>
      <c r="F7" s="814"/>
      <c r="G7" s="814"/>
    </row>
    <row r="8" spans="1:7" s="809" customFormat="1" x14ac:dyDescent="0.3">
      <c r="B8" s="811"/>
      <c r="C8" s="811"/>
      <c r="D8" s="811"/>
      <c r="E8" s="811"/>
      <c r="F8" s="814"/>
      <c r="G8" s="814"/>
    </row>
    <row r="9" spans="1:7" s="809" customFormat="1" x14ac:dyDescent="0.3">
      <c r="B9" s="811"/>
      <c r="C9" s="811"/>
      <c r="D9" s="811"/>
      <c r="E9" s="811"/>
      <c r="F9" s="814"/>
      <c r="G9" s="814"/>
    </row>
    <row r="10" spans="1:7" s="809" customFormat="1" x14ac:dyDescent="0.3">
      <c r="B10" s="811"/>
      <c r="C10" s="811"/>
      <c r="D10" s="811"/>
      <c r="E10" s="811"/>
      <c r="F10" s="814"/>
      <c r="G10" s="814"/>
    </row>
    <row r="11" spans="1:7" s="809" customFormat="1" x14ac:dyDescent="0.3">
      <c r="B11" s="811"/>
      <c r="C11" s="811"/>
      <c r="D11" s="811"/>
      <c r="E11" s="811"/>
      <c r="F11" s="814"/>
      <c r="G11" s="814"/>
    </row>
    <row r="12" spans="1:7" s="809" customFormat="1" x14ac:dyDescent="0.3">
      <c r="B12" s="811"/>
      <c r="C12" s="811"/>
      <c r="D12" s="811"/>
      <c r="E12" s="811"/>
      <c r="F12" s="814"/>
      <c r="G12" s="814"/>
    </row>
    <row r="13" spans="1:7" s="809" customFormat="1" x14ac:dyDescent="0.3">
      <c r="B13" s="811"/>
      <c r="C13" s="811"/>
      <c r="D13" s="811"/>
      <c r="E13" s="811"/>
      <c r="F13" s="814"/>
      <c r="G13" s="814"/>
    </row>
    <row r="14" spans="1:7" s="809" customFormat="1" x14ac:dyDescent="0.3">
      <c r="B14" s="811"/>
      <c r="C14" s="811"/>
      <c r="D14" s="811"/>
      <c r="E14" s="811"/>
      <c r="F14" s="814"/>
      <c r="G14" s="814"/>
    </row>
    <row r="15" spans="1:7" s="809" customFormat="1" x14ac:dyDescent="0.3">
      <c r="B15" s="811"/>
      <c r="C15" s="811"/>
      <c r="D15" s="811"/>
      <c r="E15" s="811"/>
      <c r="F15" s="814"/>
      <c r="G15" s="814"/>
    </row>
    <row r="16" spans="1:7" s="809" customFormat="1" x14ac:dyDescent="0.3">
      <c r="B16" s="811"/>
      <c r="C16" s="811"/>
      <c r="D16" s="811"/>
      <c r="E16" s="811"/>
      <c r="F16" s="814"/>
      <c r="G16" s="814"/>
    </row>
    <row r="17" spans="2:14" s="809" customFormat="1" x14ac:dyDescent="0.3">
      <c r="B17" s="811"/>
      <c r="C17" s="811"/>
      <c r="D17" s="811"/>
      <c r="E17" s="811"/>
      <c r="F17" s="814"/>
      <c r="G17" s="814"/>
    </row>
    <row r="18" spans="2:14" s="809" customFormat="1" x14ac:dyDescent="0.3">
      <c r="B18" s="811"/>
      <c r="C18" s="811"/>
      <c r="D18" s="811"/>
      <c r="E18" s="811"/>
      <c r="F18" s="814"/>
      <c r="G18" s="814"/>
    </row>
    <row r="19" spans="2:14" s="809" customFormat="1" x14ac:dyDescent="0.3">
      <c r="B19" s="811"/>
      <c r="C19" s="811"/>
      <c r="D19" s="811"/>
      <c r="E19" s="811"/>
      <c r="F19" s="814"/>
      <c r="G19" s="814"/>
    </row>
    <row r="20" spans="2:14" s="809" customFormat="1" x14ac:dyDescent="0.3">
      <c r="B20" s="811"/>
      <c r="C20" s="811"/>
      <c r="D20" s="811"/>
      <c r="E20" s="811"/>
      <c r="F20" s="814"/>
      <c r="G20" s="814"/>
    </row>
    <row r="21" spans="2:14" s="809" customFormat="1" x14ac:dyDescent="0.3">
      <c r="B21" s="811"/>
      <c r="C21" s="811"/>
      <c r="D21" s="811"/>
      <c r="E21" s="811"/>
      <c r="F21" s="814"/>
      <c r="G21" s="814"/>
    </row>
    <row r="22" spans="2:14" s="809" customFormat="1" x14ac:dyDescent="0.3">
      <c r="B22" s="811"/>
      <c r="C22" s="811"/>
      <c r="D22" s="811"/>
      <c r="E22" s="811"/>
      <c r="F22" s="814"/>
      <c r="G22" s="814"/>
    </row>
    <row r="23" spans="2:14" s="809" customFormat="1" x14ac:dyDescent="0.3">
      <c r="B23" s="811"/>
      <c r="C23" s="811"/>
      <c r="D23" s="811"/>
      <c r="E23" s="811"/>
      <c r="F23" s="814"/>
      <c r="G23" s="814"/>
    </row>
    <row r="24" spans="2:14" s="809" customFormat="1" x14ac:dyDescent="0.3">
      <c r="B24" s="811"/>
      <c r="C24" s="811"/>
      <c r="D24" s="811"/>
      <c r="E24" s="811"/>
      <c r="F24" s="814"/>
      <c r="G24" s="814"/>
    </row>
    <row r="25" spans="2:14" x14ac:dyDescent="0.3">
      <c r="B25" s="812"/>
      <c r="C25" s="812"/>
      <c r="D25" s="812"/>
      <c r="E25" s="812"/>
      <c r="F25" s="815"/>
      <c r="G25" s="815"/>
      <c r="I25" s="191"/>
      <c r="J25" s="191"/>
      <c r="K25" s="191"/>
      <c r="L25" s="191"/>
      <c r="M25" s="191"/>
    </row>
    <row r="26" spans="2:14" ht="16.2" thickBot="1" x14ac:dyDescent="0.35">
      <c r="B26" s="844" t="s">
        <v>1997</v>
      </c>
      <c r="C26" s="845" t="s">
        <v>2262</v>
      </c>
      <c r="D26" s="845" t="s">
        <v>1261</v>
      </c>
      <c r="E26" s="845" t="s">
        <v>2284</v>
      </c>
      <c r="F26" s="845" t="s">
        <v>1241</v>
      </c>
      <c r="G26" s="846" t="s">
        <v>1279</v>
      </c>
      <c r="H26"/>
      <c r="I26" s="842" t="s">
        <v>1997</v>
      </c>
      <c r="J26" s="842" t="s">
        <v>2262</v>
      </c>
      <c r="K26" s="842" t="s">
        <v>2263</v>
      </c>
      <c r="L26" s="842" t="s">
        <v>2271</v>
      </c>
      <c r="M26" s="842" t="s">
        <v>1104</v>
      </c>
      <c r="N26"/>
    </row>
    <row r="27" spans="2:14" x14ac:dyDescent="0.3">
      <c r="B27" s="854">
        <v>2025</v>
      </c>
      <c r="C27" s="824" t="s">
        <v>2268</v>
      </c>
      <c r="D27" s="824">
        <v>1</v>
      </c>
      <c r="E27" s="824">
        <v>1</v>
      </c>
      <c r="F27" s="824">
        <v>1</v>
      </c>
      <c r="G27" s="852">
        <v>1</v>
      </c>
      <c r="H27"/>
      <c r="N27"/>
    </row>
    <row r="28" spans="2:14" x14ac:dyDescent="0.3">
      <c r="B28" s="855">
        <v>2025</v>
      </c>
      <c r="C28" s="829" t="s">
        <v>2269</v>
      </c>
      <c r="D28" s="829">
        <v>0.995</v>
      </c>
      <c r="E28" s="829">
        <v>1.004</v>
      </c>
      <c r="F28" s="829">
        <v>1.03</v>
      </c>
      <c r="G28" s="853">
        <v>0.98299999999999998</v>
      </c>
      <c r="H28"/>
      <c r="N28"/>
    </row>
    <row r="29" spans="2:14" x14ac:dyDescent="0.3">
      <c r="B29" s="855">
        <v>2030</v>
      </c>
      <c r="C29" s="829" t="s">
        <v>2268</v>
      </c>
      <c r="D29" s="829">
        <v>1.038</v>
      </c>
      <c r="E29" s="829">
        <v>1.103</v>
      </c>
      <c r="F29" s="829">
        <v>1.0169999999999999</v>
      </c>
      <c r="G29" s="853">
        <v>0.93</v>
      </c>
    </row>
    <row r="30" spans="2:14" x14ac:dyDescent="0.3">
      <c r="B30" s="855">
        <v>2030</v>
      </c>
      <c r="C30" s="829" t="s">
        <v>2269</v>
      </c>
      <c r="D30" s="829">
        <v>1.0369999999999999</v>
      </c>
      <c r="E30" s="829">
        <v>1.155</v>
      </c>
      <c r="F30" s="829">
        <v>1.0509999999999999</v>
      </c>
      <c r="G30" s="853">
        <v>0.95599999999999996</v>
      </c>
    </row>
    <row r="31" spans="2:14" x14ac:dyDescent="0.3">
      <c r="B31" s="855">
        <v>2033</v>
      </c>
      <c r="C31" s="829" t="s">
        <v>2268</v>
      </c>
      <c r="D31" s="829">
        <v>1.103</v>
      </c>
      <c r="E31" s="829">
        <v>1.2150000000000001</v>
      </c>
      <c r="F31" s="829">
        <v>1.1020000000000001</v>
      </c>
      <c r="G31" s="853">
        <v>1.012</v>
      </c>
    </row>
    <row r="32" spans="2:14" x14ac:dyDescent="0.3">
      <c r="B32" s="855">
        <v>2033</v>
      </c>
      <c r="C32" s="829" t="s">
        <v>2269</v>
      </c>
      <c r="D32" s="829">
        <v>1.133</v>
      </c>
      <c r="E32" s="829">
        <v>1.3240000000000001</v>
      </c>
      <c r="F32" s="829">
        <v>1.254</v>
      </c>
      <c r="G32" s="853">
        <v>1.1930000000000001</v>
      </c>
    </row>
    <row r="33" spans="2:7" x14ac:dyDescent="0.3">
      <c r="B33" s="855">
        <v>2038</v>
      </c>
      <c r="C33" s="829" t="s">
        <v>2268</v>
      </c>
      <c r="D33" s="829">
        <v>1.3080000000000001</v>
      </c>
      <c r="E33" s="829">
        <v>1.4950000000000001</v>
      </c>
      <c r="F33" s="829">
        <v>1.4279999999999999</v>
      </c>
      <c r="G33" s="853">
        <v>1.3779999999999999</v>
      </c>
    </row>
    <row r="34" spans="2:7" x14ac:dyDescent="0.3">
      <c r="B34" s="855"/>
      <c r="C34" s="829"/>
      <c r="D34" s="829"/>
      <c r="E34" s="829"/>
      <c r="F34" s="829"/>
      <c r="G34" s="853"/>
    </row>
    <row r="35" spans="2:7" x14ac:dyDescent="0.3">
      <c r="B35" s="855"/>
      <c r="C35" s="829"/>
      <c r="D35" s="829"/>
      <c r="E35" s="829"/>
      <c r="F35" s="829"/>
      <c r="G35" s="853"/>
    </row>
    <row r="36" spans="2:7" x14ac:dyDescent="0.3">
      <c r="B36" s="855"/>
      <c r="C36" s="829"/>
      <c r="D36" s="829"/>
      <c r="E36" s="829"/>
      <c r="F36" s="829"/>
      <c r="G36" s="853"/>
    </row>
    <row r="37" spans="2:7" x14ac:dyDescent="0.3">
      <c r="B37" s="855"/>
      <c r="C37" s="829"/>
      <c r="D37" s="829"/>
      <c r="E37" s="829"/>
      <c r="F37" s="829"/>
      <c r="G37" s="853"/>
    </row>
    <row r="38" spans="2:7" x14ac:dyDescent="0.3">
      <c r="B38" s="855"/>
      <c r="C38" s="829"/>
      <c r="D38" s="829"/>
      <c r="E38" s="829"/>
      <c r="F38" s="829"/>
      <c r="G38" s="853"/>
    </row>
    <row r="39" spans="2:7" x14ac:dyDescent="0.3">
      <c r="B39" s="855"/>
      <c r="C39" s="829"/>
      <c r="D39" s="829"/>
      <c r="E39" s="829"/>
      <c r="F39" s="829"/>
      <c r="G39" s="853"/>
    </row>
    <row r="40" spans="2:7" x14ac:dyDescent="0.3">
      <c r="B40" s="855"/>
      <c r="C40" s="829"/>
      <c r="D40" s="829"/>
      <c r="E40" s="829"/>
      <c r="F40" s="829"/>
      <c r="G40" s="853"/>
    </row>
    <row r="41" spans="2:7" x14ac:dyDescent="0.3">
      <c r="B41" s="855"/>
      <c r="C41" s="829"/>
      <c r="D41" s="829"/>
      <c r="E41" s="829"/>
      <c r="F41" s="829"/>
      <c r="G41" s="853"/>
    </row>
    <row r="42" spans="2:7" x14ac:dyDescent="0.3">
      <c r="B42" s="855"/>
      <c r="C42" s="829"/>
      <c r="D42" s="829"/>
      <c r="E42" s="829"/>
      <c r="F42" s="829"/>
      <c r="G42" s="853"/>
    </row>
    <row r="43" spans="2:7" x14ac:dyDescent="0.3">
      <c r="B43" s="855"/>
      <c r="C43" s="829"/>
      <c r="D43" s="829"/>
      <c r="E43" s="829"/>
      <c r="F43" s="829"/>
      <c r="G43" s="853"/>
    </row>
    <row r="44" spans="2:7" x14ac:dyDescent="0.3">
      <c r="B44" s="855"/>
      <c r="C44" s="829"/>
      <c r="D44" s="829"/>
      <c r="E44" s="829"/>
      <c r="F44" s="829"/>
      <c r="G44" s="853"/>
    </row>
    <row r="45" spans="2:7" x14ac:dyDescent="0.3">
      <c r="B45" s="855"/>
      <c r="C45" s="829"/>
      <c r="D45" s="829"/>
      <c r="E45" s="829"/>
      <c r="F45" s="829"/>
      <c r="G45" s="853"/>
    </row>
    <row r="46" spans="2:7" x14ac:dyDescent="0.3">
      <c r="B46" s="855"/>
      <c r="C46" s="829"/>
      <c r="D46" s="829"/>
      <c r="E46" s="829"/>
      <c r="F46" s="829"/>
      <c r="G46" s="853"/>
    </row>
    <row r="47" spans="2:7" x14ac:dyDescent="0.3">
      <c r="B47" s="855"/>
      <c r="C47" s="829"/>
      <c r="D47" s="829"/>
      <c r="E47" s="829"/>
      <c r="F47" s="829"/>
      <c r="G47" s="853"/>
    </row>
    <row r="48" spans="2:7" x14ac:dyDescent="0.3">
      <c r="B48" s="855"/>
      <c r="C48" s="829"/>
      <c r="D48" s="829"/>
      <c r="E48" s="829"/>
      <c r="F48" s="829"/>
      <c r="G48" s="853"/>
    </row>
    <row r="49" spans="2:7" x14ac:dyDescent="0.3">
      <c r="B49" s="855"/>
      <c r="C49" s="829"/>
      <c r="D49" s="829"/>
      <c r="E49" s="829"/>
      <c r="F49" s="829"/>
      <c r="G49" s="853"/>
    </row>
    <row r="50" spans="2:7" x14ac:dyDescent="0.3">
      <c r="B50" s="855"/>
      <c r="C50" s="829"/>
      <c r="D50" s="829"/>
      <c r="E50" s="829"/>
      <c r="F50" s="829"/>
      <c r="G50" s="853"/>
    </row>
    <row r="51" spans="2:7" x14ac:dyDescent="0.3">
      <c r="B51" s="855"/>
      <c r="C51" s="829"/>
      <c r="D51" s="829"/>
      <c r="E51" s="829"/>
      <c r="F51" s="829"/>
      <c r="G51" s="853"/>
    </row>
    <row r="52" spans="2:7" x14ac:dyDescent="0.3">
      <c r="B52" s="855"/>
      <c r="C52" s="829"/>
      <c r="D52" s="829"/>
      <c r="E52" s="829"/>
      <c r="F52" s="829"/>
      <c r="G52" s="853"/>
    </row>
    <row r="53" spans="2:7" x14ac:dyDescent="0.3">
      <c r="B53" s="855"/>
      <c r="C53" s="829"/>
      <c r="D53" s="829"/>
      <c r="E53" s="829"/>
      <c r="F53" s="829"/>
      <c r="G53" s="853"/>
    </row>
    <row r="54" spans="2:7" x14ac:dyDescent="0.3">
      <c r="B54" s="855"/>
      <c r="C54" s="829"/>
      <c r="D54" s="829"/>
      <c r="E54" s="829"/>
      <c r="F54" s="829"/>
      <c r="G54" s="853"/>
    </row>
    <row r="55" spans="2:7" x14ac:dyDescent="0.3">
      <c r="B55" s="855"/>
      <c r="C55" s="829"/>
      <c r="D55" s="829"/>
      <c r="E55" s="829"/>
      <c r="F55" s="829"/>
      <c r="G55" s="853"/>
    </row>
    <row r="56" spans="2:7" x14ac:dyDescent="0.3">
      <c r="B56" s="855"/>
      <c r="C56" s="829"/>
      <c r="D56" s="829"/>
      <c r="E56" s="829"/>
      <c r="F56" s="829"/>
      <c r="G56" s="853"/>
    </row>
    <row r="57" spans="2:7" x14ac:dyDescent="0.3">
      <c r="B57" s="855"/>
      <c r="C57" s="829"/>
      <c r="D57" s="829"/>
      <c r="E57" s="829"/>
      <c r="F57" s="829"/>
      <c r="G57" s="853"/>
    </row>
    <row r="58" spans="2:7" x14ac:dyDescent="0.3">
      <c r="B58" s="855"/>
      <c r="C58" s="829"/>
      <c r="D58" s="829"/>
      <c r="E58" s="829"/>
      <c r="F58" s="829"/>
      <c r="G58" s="853"/>
    </row>
    <row r="59" spans="2:7" x14ac:dyDescent="0.3">
      <c r="B59" s="855"/>
      <c r="C59" s="829"/>
      <c r="D59" s="829"/>
      <c r="E59" s="829"/>
      <c r="F59" s="829"/>
      <c r="G59" s="853"/>
    </row>
    <row r="60" spans="2:7" x14ac:dyDescent="0.3">
      <c r="B60" s="855"/>
      <c r="C60" s="829"/>
      <c r="D60" s="829"/>
      <c r="E60" s="829"/>
      <c r="F60" s="829"/>
      <c r="G60" s="853"/>
    </row>
    <row r="61" spans="2:7" x14ac:dyDescent="0.3">
      <c r="B61" s="855"/>
      <c r="C61" s="829"/>
      <c r="D61" s="829"/>
      <c r="E61" s="829"/>
      <c r="F61" s="829"/>
      <c r="G61" s="853"/>
    </row>
    <row r="62" spans="2:7" x14ac:dyDescent="0.3">
      <c r="B62" s="855"/>
      <c r="C62" s="829"/>
      <c r="D62" s="829"/>
      <c r="E62" s="829"/>
      <c r="F62" s="829"/>
      <c r="G62" s="853"/>
    </row>
    <row r="63" spans="2:7" x14ac:dyDescent="0.3">
      <c r="B63" s="855"/>
      <c r="C63" s="829"/>
      <c r="D63" s="829"/>
      <c r="E63" s="829"/>
      <c r="F63" s="829"/>
      <c r="G63" s="853"/>
    </row>
    <row r="64" spans="2:7" x14ac:dyDescent="0.3">
      <c r="B64" s="855"/>
      <c r="C64" s="829"/>
      <c r="D64" s="829"/>
      <c r="E64" s="829"/>
      <c r="F64" s="829"/>
      <c r="G64" s="853"/>
    </row>
    <row r="65" spans="2:7" x14ac:dyDescent="0.3">
      <c r="B65" s="855"/>
      <c r="C65" s="829"/>
      <c r="D65" s="829"/>
      <c r="E65" s="829"/>
      <c r="F65" s="829"/>
      <c r="G65" s="853"/>
    </row>
    <row r="66" spans="2:7" x14ac:dyDescent="0.3">
      <c r="B66" s="855"/>
      <c r="C66" s="829"/>
      <c r="D66" s="829"/>
      <c r="E66" s="829"/>
      <c r="F66" s="829"/>
      <c r="G66" s="853"/>
    </row>
    <row r="67" spans="2:7" x14ac:dyDescent="0.3">
      <c r="B67" s="855"/>
      <c r="C67" s="829"/>
      <c r="D67" s="829"/>
      <c r="E67" s="829"/>
      <c r="F67" s="829"/>
      <c r="G67" s="853"/>
    </row>
    <row r="68" spans="2:7" x14ac:dyDescent="0.3">
      <c r="B68" s="855"/>
      <c r="C68" s="829"/>
      <c r="D68" s="829"/>
      <c r="E68" s="829"/>
      <c r="F68" s="829"/>
      <c r="G68" s="853"/>
    </row>
    <row r="69" spans="2:7" x14ac:dyDescent="0.3">
      <c r="B69" s="855"/>
      <c r="C69" s="829"/>
      <c r="D69" s="829"/>
      <c r="E69" s="829"/>
      <c r="F69" s="829"/>
      <c r="G69" s="853"/>
    </row>
    <row r="70" spans="2:7" x14ac:dyDescent="0.3">
      <c r="B70" s="855"/>
      <c r="C70" s="829"/>
      <c r="D70" s="829"/>
      <c r="E70" s="829"/>
      <c r="F70" s="829"/>
      <c r="G70" s="853"/>
    </row>
    <row r="71" spans="2:7" x14ac:dyDescent="0.3">
      <c r="B71" s="855"/>
      <c r="C71" s="829"/>
      <c r="D71" s="829"/>
      <c r="E71" s="829"/>
      <c r="F71" s="829"/>
      <c r="G71" s="853"/>
    </row>
    <row r="72" spans="2:7" x14ac:dyDescent="0.3">
      <c r="B72" s="855"/>
      <c r="C72" s="829"/>
      <c r="D72" s="829"/>
      <c r="E72" s="829"/>
      <c r="F72" s="829"/>
      <c r="G72" s="853"/>
    </row>
    <row r="73" spans="2:7" x14ac:dyDescent="0.3">
      <c r="B73" s="855"/>
      <c r="C73" s="829"/>
      <c r="D73" s="829"/>
      <c r="E73" s="829"/>
      <c r="F73" s="829"/>
      <c r="G73" s="853"/>
    </row>
    <row r="74" spans="2:7" x14ac:dyDescent="0.3">
      <c r="B74" s="855"/>
      <c r="C74" s="829"/>
      <c r="D74" s="829"/>
      <c r="E74" s="829"/>
      <c r="F74" s="829"/>
      <c r="G74" s="853"/>
    </row>
    <row r="75" spans="2:7" x14ac:dyDescent="0.3">
      <c r="B75" s="855"/>
      <c r="C75" s="829"/>
      <c r="D75" s="829"/>
      <c r="E75" s="829"/>
      <c r="F75" s="829"/>
      <c r="G75" s="853"/>
    </row>
    <row r="76" spans="2:7" x14ac:dyDescent="0.3">
      <c r="B76" s="855"/>
      <c r="C76" s="829"/>
      <c r="D76" s="829"/>
      <c r="E76" s="829"/>
      <c r="F76" s="829"/>
      <c r="G76" s="853"/>
    </row>
    <row r="77" spans="2:7" x14ac:dyDescent="0.3">
      <c r="B77" s="855"/>
      <c r="C77" s="829"/>
      <c r="D77" s="829"/>
      <c r="E77" s="829"/>
      <c r="F77" s="829"/>
      <c r="G77" s="853"/>
    </row>
    <row r="78" spans="2:7" x14ac:dyDescent="0.3">
      <c r="B78" s="855"/>
      <c r="C78" s="829"/>
      <c r="D78" s="829"/>
      <c r="E78" s="829"/>
      <c r="F78" s="829"/>
      <c r="G78" s="853"/>
    </row>
    <row r="79" spans="2:7" x14ac:dyDescent="0.3">
      <c r="B79" s="855"/>
      <c r="C79" s="829"/>
      <c r="D79" s="829"/>
      <c r="E79" s="829"/>
      <c r="F79" s="829"/>
      <c r="G79" s="853"/>
    </row>
    <row r="80" spans="2:7" x14ac:dyDescent="0.3">
      <c r="B80" s="855"/>
      <c r="C80" s="829"/>
      <c r="D80" s="829"/>
      <c r="E80" s="829"/>
      <c r="F80" s="829"/>
      <c r="G80" s="853"/>
    </row>
    <row r="81" spans="2:7" x14ac:dyDescent="0.3">
      <c r="B81" s="855"/>
      <c r="C81" s="829"/>
      <c r="D81" s="829"/>
      <c r="E81" s="829"/>
      <c r="F81" s="829"/>
      <c r="G81" s="853"/>
    </row>
    <row r="82" spans="2:7" x14ac:dyDescent="0.3">
      <c r="B82" s="855"/>
      <c r="C82" s="829"/>
      <c r="D82" s="829"/>
      <c r="E82" s="829"/>
      <c r="F82" s="829"/>
      <c r="G82" s="853"/>
    </row>
    <row r="83" spans="2:7" x14ac:dyDescent="0.3">
      <c r="B83" s="855"/>
      <c r="C83" s="829"/>
      <c r="D83" s="829"/>
      <c r="E83" s="829"/>
      <c r="F83" s="829"/>
      <c r="G83" s="853"/>
    </row>
    <row r="84" spans="2:7" x14ac:dyDescent="0.3">
      <c r="B84" s="855"/>
      <c r="C84" s="829"/>
      <c r="D84" s="829"/>
      <c r="E84" s="829"/>
      <c r="F84" s="829"/>
      <c r="G84" s="853"/>
    </row>
    <row r="85" spans="2:7" x14ac:dyDescent="0.3">
      <c r="B85" s="855"/>
      <c r="C85" s="829"/>
      <c r="D85" s="829"/>
      <c r="E85" s="829"/>
      <c r="F85" s="829"/>
      <c r="G85" s="853"/>
    </row>
    <row r="86" spans="2:7" x14ac:dyDescent="0.3">
      <c r="B86" s="855"/>
      <c r="C86" s="829"/>
      <c r="D86" s="829"/>
      <c r="E86" s="829"/>
      <c r="F86" s="829"/>
      <c r="G86" s="853"/>
    </row>
    <row r="87" spans="2:7" x14ac:dyDescent="0.3">
      <c r="B87" s="855"/>
      <c r="C87" s="829"/>
      <c r="D87" s="829"/>
      <c r="E87" s="829"/>
      <c r="F87" s="829"/>
      <c r="G87" s="853"/>
    </row>
    <row r="88" spans="2:7" x14ac:dyDescent="0.3">
      <c r="B88" s="855"/>
      <c r="C88" s="829"/>
      <c r="D88" s="829"/>
      <c r="E88" s="829"/>
      <c r="F88" s="829"/>
      <c r="G88" s="853"/>
    </row>
    <row r="89" spans="2:7" x14ac:dyDescent="0.3">
      <c r="B89" s="855"/>
      <c r="C89" s="829"/>
      <c r="D89" s="829"/>
      <c r="E89" s="829"/>
      <c r="F89" s="829"/>
      <c r="G89" s="853"/>
    </row>
    <row r="90" spans="2:7" x14ac:dyDescent="0.3">
      <c r="B90" s="855"/>
      <c r="C90" s="829"/>
      <c r="D90" s="829"/>
      <c r="E90" s="829"/>
      <c r="F90" s="829"/>
      <c r="G90" s="853"/>
    </row>
    <row r="91" spans="2:7" x14ac:dyDescent="0.3">
      <c r="B91" s="855"/>
      <c r="C91" s="829"/>
      <c r="D91" s="829"/>
      <c r="E91" s="829"/>
      <c r="F91" s="829"/>
      <c r="G91" s="853"/>
    </row>
    <row r="92" spans="2:7" x14ac:dyDescent="0.3">
      <c r="B92" s="855"/>
      <c r="C92" s="829"/>
      <c r="D92" s="829"/>
      <c r="E92" s="829"/>
      <c r="F92" s="829"/>
      <c r="G92" s="853"/>
    </row>
    <row r="93" spans="2:7" x14ac:dyDescent="0.3">
      <c r="B93" s="855"/>
      <c r="C93" s="829"/>
      <c r="D93" s="829"/>
      <c r="E93" s="829"/>
      <c r="F93" s="829"/>
      <c r="G93" s="853"/>
    </row>
    <row r="94" spans="2:7" x14ac:dyDescent="0.3">
      <c r="B94" s="855"/>
      <c r="C94" s="829"/>
      <c r="D94" s="829"/>
      <c r="E94" s="829"/>
      <c r="F94" s="829"/>
      <c r="G94" s="853"/>
    </row>
    <row r="95" spans="2:7" x14ac:dyDescent="0.3">
      <c r="B95" s="855"/>
      <c r="C95" s="829"/>
      <c r="D95" s="829"/>
      <c r="E95" s="829"/>
      <c r="F95" s="829"/>
      <c r="G95" s="853"/>
    </row>
    <row r="96" spans="2:7" x14ac:dyDescent="0.3">
      <c r="B96" s="855"/>
      <c r="C96" s="829"/>
      <c r="D96" s="829"/>
      <c r="E96" s="829"/>
      <c r="F96" s="829"/>
      <c r="G96" s="853"/>
    </row>
    <row r="97" spans="2:7" x14ac:dyDescent="0.3">
      <c r="B97" s="855"/>
      <c r="C97" s="829"/>
      <c r="D97" s="829"/>
      <c r="E97" s="829"/>
      <c r="F97" s="829"/>
      <c r="G97" s="853"/>
    </row>
    <row r="98" spans="2:7" x14ac:dyDescent="0.3">
      <c r="B98" s="855"/>
      <c r="C98" s="829"/>
      <c r="D98" s="829"/>
      <c r="E98" s="829"/>
      <c r="F98" s="829"/>
      <c r="G98" s="853"/>
    </row>
    <row r="99" spans="2:7" x14ac:dyDescent="0.3">
      <c r="B99" s="855"/>
      <c r="C99" s="829"/>
      <c r="D99" s="829"/>
      <c r="E99" s="829"/>
      <c r="F99" s="829"/>
      <c r="G99" s="853"/>
    </row>
    <row r="100" spans="2:7" x14ac:dyDescent="0.3">
      <c r="B100" s="855"/>
      <c r="C100" s="829"/>
      <c r="D100" s="829"/>
      <c r="E100" s="829"/>
      <c r="F100" s="829"/>
      <c r="G100" s="853"/>
    </row>
    <row r="101" spans="2:7" x14ac:dyDescent="0.3">
      <c r="B101" s="855"/>
      <c r="C101" s="829"/>
      <c r="D101" s="829"/>
      <c r="E101" s="829"/>
      <c r="F101" s="829"/>
      <c r="G101" s="853"/>
    </row>
    <row r="102" spans="2:7" x14ac:dyDescent="0.3">
      <c r="B102" s="855"/>
      <c r="C102" s="829"/>
      <c r="D102" s="829"/>
      <c r="E102" s="829"/>
      <c r="F102" s="829"/>
      <c r="G102" s="853"/>
    </row>
    <row r="103" spans="2:7" x14ac:dyDescent="0.3">
      <c r="B103" s="855"/>
      <c r="C103" s="829"/>
      <c r="D103" s="829"/>
      <c r="E103" s="829"/>
      <c r="F103" s="829"/>
      <c r="G103" s="853"/>
    </row>
    <row r="104" spans="2:7" x14ac:dyDescent="0.3">
      <c r="B104" s="855"/>
      <c r="C104" s="829"/>
      <c r="D104" s="829"/>
      <c r="E104" s="829"/>
      <c r="F104" s="829"/>
      <c r="G104" s="853"/>
    </row>
    <row r="105" spans="2:7" x14ac:dyDescent="0.3">
      <c r="B105" s="855"/>
      <c r="C105" s="829"/>
      <c r="D105" s="829"/>
      <c r="E105" s="829"/>
      <c r="F105" s="829"/>
      <c r="G105" s="853"/>
    </row>
    <row r="106" spans="2:7" x14ac:dyDescent="0.3">
      <c r="B106" s="855"/>
      <c r="C106" s="829"/>
      <c r="D106" s="829"/>
      <c r="E106" s="829"/>
      <c r="F106" s="829"/>
      <c r="G106" s="853"/>
    </row>
    <row r="107" spans="2:7" x14ac:dyDescent="0.3">
      <c r="B107" s="855"/>
      <c r="C107" s="829"/>
      <c r="D107" s="829"/>
      <c r="E107" s="829"/>
      <c r="F107" s="829"/>
      <c r="G107" s="853"/>
    </row>
    <row r="108" spans="2:7" x14ac:dyDescent="0.3">
      <c r="B108" s="855"/>
      <c r="C108" s="829"/>
      <c r="D108" s="829"/>
      <c r="E108" s="829"/>
      <c r="F108" s="829"/>
      <c r="G108" s="853"/>
    </row>
    <row r="109" spans="2:7" x14ac:dyDescent="0.3">
      <c r="B109" s="855"/>
      <c r="C109" s="829"/>
      <c r="D109" s="829"/>
      <c r="E109" s="829"/>
      <c r="F109" s="829"/>
      <c r="G109" s="853"/>
    </row>
    <row r="110" spans="2:7" x14ac:dyDescent="0.3">
      <c r="B110" s="855"/>
      <c r="C110" s="829"/>
      <c r="D110" s="829"/>
      <c r="E110" s="829"/>
      <c r="F110" s="829"/>
      <c r="G110" s="853"/>
    </row>
    <row r="111" spans="2:7" x14ac:dyDescent="0.3">
      <c r="B111" s="855"/>
      <c r="C111" s="829"/>
      <c r="D111" s="829"/>
      <c r="E111" s="829"/>
      <c r="F111" s="829"/>
      <c r="G111" s="853"/>
    </row>
    <row r="112" spans="2:7" x14ac:dyDescent="0.3">
      <c r="B112" s="855"/>
      <c r="C112" s="829"/>
      <c r="D112" s="829"/>
      <c r="E112" s="829"/>
      <c r="F112" s="829"/>
      <c r="G112" s="853"/>
    </row>
    <row r="113" spans="2:7" x14ac:dyDescent="0.3">
      <c r="B113" s="855"/>
      <c r="C113" s="829"/>
      <c r="D113" s="829"/>
      <c r="E113" s="829"/>
      <c r="F113" s="829"/>
      <c r="G113" s="853"/>
    </row>
    <row r="114" spans="2:7" x14ac:dyDescent="0.3">
      <c r="B114" s="855"/>
      <c r="C114" s="829"/>
      <c r="D114" s="829"/>
      <c r="E114" s="829"/>
      <c r="F114" s="829"/>
      <c r="G114" s="853"/>
    </row>
    <row r="115" spans="2:7" x14ac:dyDescent="0.3">
      <c r="B115" s="855"/>
      <c r="C115" s="829"/>
      <c r="D115" s="829"/>
      <c r="E115" s="829"/>
      <c r="F115" s="829"/>
      <c r="G115" s="853"/>
    </row>
    <row r="116" spans="2:7" x14ac:dyDescent="0.3">
      <c r="B116" s="855"/>
      <c r="C116" s="829"/>
      <c r="D116" s="829"/>
      <c r="E116" s="829"/>
      <c r="F116" s="829"/>
      <c r="G116" s="853"/>
    </row>
    <row r="117" spans="2:7" x14ac:dyDescent="0.3">
      <c r="B117" s="855"/>
      <c r="C117" s="829"/>
      <c r="D117" s="829"/>
      <c r="E117" s="829"/>
      <c r="F117" s="829"/>
      <c r="G117" s="853"/>
    </row>
    <row r="118" spans="2:7" x14ac:dyDescent="0.3">
      <c r="B118" s="855"/>
      <c r="C118" s="829"/>
      <c r="D118" s="829"/>
      <c r="E118" s="829"/>
      <c r="F118" s="829"/>
      <c r="G118" s="853"/>
    </row>
    <row r="119" spans="2:7" x14ac:dyDescent="0.3">
      <c r="B119" s="855"/>
      <c r="C119" s="829"/>
      <c r="D119" s="829"/>
      <c r="E119" s="829"/>
      <c r="F119" s="829"/>
      <c r="G119" s="853"/>
    </row>
    <row r="120" spans="2:7" x14ac:dyDescent="0.3">
      <c r="B120" s="855"/>
      <c r="C120" s="829"/>
      <c r="D120" s="829"/>
      <c r="E120" s="829"/>
      <c r="F120" s="829"/>
      <c r="G120" s="853"/>
    </row>
    <row r="121" spans="2:7" x14ac:dyDescent="0.3">
      <c r="B121" s="855"/>
      <c r="C121" s="829"/>
      <c r="D121" s="829"/>
      <c r="E121" s="829"/>
      <c r="F121" s="829"/>
      <c r="G121" s="853"/>
    </row>
    <row r="122" spans="2:7" x14ac:dyDescent="0.3">
      <c r="B122" s="855"/>
      <c r="C122" s="829"/>
      <c r="D122" s="829"/>
      <c r="E122" s="829"/>
      <c r="F122" s="829"/>
      <c r="G122" s="853"/>
    </row>
    <row r="123" spans="2:7" x14ac:dyDescent="0.3">
      <c r="B123" s="855"/>
      <c r="C123" s="829"/>
      <c r="D123" s="829"/>
      <c r="E123" s="829"/>
      <c r="F123" s="829"/>
      <c r="G123" s="853"/>
    </row>
    <row r="124" spans="2:7" x14ac:dyDescent="0.3">
      <c r="B124" s="855"/>
      <c r="C124" s="829"/>
      <c r="D124" s="829"/>
      <c r="E124" s="829"/>
      <c r="F124" s="829"/>
      <c r="G124" s="853"/>
    </row>
    <row r="125" spans="2:7" x14ac:dyDescent="0.3">
      <c r="B125" s="855"/>
      <c r="C125" s="829"/>
      <c r="D125" s="829"/>
      <c r="E125" s="829"/>
      <c r="F125" s="829"/>
      <c r="G125" s="853"/>
    </row>
    <row r="126" spans="2:7" x14ac:dyDescent="0.3">
      <c r="B126" s="855"/>
      <c r="C126" s="829"/>
      <c r="D126" s="829"/>
      <c r="E126" s="829"/>
      <c r="F126" s="829"/>
      <c r="G126" s="853"/>
    </row>
    <row r="127" spans="2:7" x14ac:dyDescent="0.3">
      <c r="B127" s="855"/>
      <c r="C127" s="829"/>
      <c r="D127" s="829"/>
      <c r="E127" s="829"/>
      <c r="F127" s="829"/>
      <c r="G127" s="853"/>
    </row>
    <row r="128" spans="2:7" x14ac:dyDescent="0.3">
      <c r="B128" s="855"/>
      <c r="C128" s="829"/>
      <c r="D128" s="829"/>
      <c r="E128" s="829"/>
      <c r="F128" s="829"/>
      <c r="G128" s="853"/>
    </row>
    <row r="129" spans="2:7" x14ac:dyDescent="0.3">
      <c r="B129" s="855"/>
      <c r="C129" s="829"/>
      <c r="D129" s="829"/>
      <c r="E129" s="829"/>
      <c r="F129" s="829"/>
      <c r="G129" s="853"/>
    </row>
    <row r="130" spans="2:7" x14ac:dyDescent="0.3">
      <c r="B130" s="855"/>
      <c r="C130" s="829"/>
      <c r="D130" s="829"/>
      <c r="E130" s="829"/>
      <c r="F130" s="829"/>
      <c r="G130" s="853"/>
    </row>
    <row r="131" spans="2:7" x14ac:dyDescent="0.3">
      <c r="B131" s="855"/>
      <c r="C131" s="829"/>
      <c r="D131" s="829"/>
      <c r="E131" s="829"/>
      <c r="F131" s="829"/>
      <c r="G131" s="853"/>
    </row>
    <row r="132" spans="2:7" x14ac:dyDescent="0.3">
      <c r="B132" s="855"/>
      <c r="C132" s="829"/>
      <c r="D132" s="829"/>
      <c r="E132" s="829"/>
      <c r="F132" s="829"/>
      <c r="G132" s="853"/>
    </row>
    <row r="133" spans="2:7" x14ac:dyDescent="0.3">
      <c r="B133" s="855"/>
      <c r="C133" s="829"/>
      <c r="D133" s="829"/>
      <c r="E133" s="829"/>
      <c r="F133" s="829"/>
      <c r="G133" s="853"/>
    </row>
    <row r="134" spans="2:7" x14ac:dyDescent="0.3">
      <c r="B134" s="855"/>
      <c r="C134" s="829"/>
      <c r="D134" s="829"/>
      <c r="E134" s="829"/>
      <c r="F134" s="829"/>
      <c r="G134" s="853"/>
    </row>
    <row r="135" spans="2:7" x14ac:dyDescent="0.3">
      <c r="B135" s="855"/>
      <c r="C135" s="829"/>
      <c r="D135" s="829"/>
      <c r="E135" s="829"/>
      <c r="F135" s="829"/>
      <c r="G135" s="853"/>
    </row>
    <row r="136" spans="2:7" x14ac:dyDescent="0.3">
      <c r="B136" s="855"/>
      <c r="C136" s="829"/>
      <c r="D136" s="829"/>
      <c r="E136" s="829"/>
      <c r="F136" s="829"/>
      <c r="G136" s="853"/>
    </row>
    <row r="137" spans="2:7" x14ac:dyDescent="0.3">
      <c r="B137" s="855"/>
      <c r="C137" s="829"/>
      <c r="D137" s="829"/>
      <c r="E137" s="829"/>
      <c r="F137" s="829"/>
      <c r="G137" s="853"/>
    </row>
    <row r="138" spans="2:7" x14ac:dyDescent="0.3">
      <c r="B138" s="855"/>
      <c r="C138" s="829"/>
      <c r="D138" s="829"/>
      <c r="E138" s="829"/>
      <c r="F138" s="829"/>
      <c r="G138" s="853"/>
    </row>
    <row r="139" spans="2:7" x14ac:dyDescent="0.3">
      <c r="B139" s="855"/>
      <c r="C139" s="829"/>
      <c r="D139" s="829"/>
      <c r="E139" s="829"/>
      <c r="F139" s="829"/>
      <c r="G139" s="853"/>
    </row>
    <row r="140" spans="2:7" x14ac:dyDescent="0.3">
      <c r="B140" s="855"/>
      <c r="C140" s="829"/>
      <c r="D140" s="829"/>
      <c r="E140" s="829"/>
      <c r="F140" s="829"/>
      <c r="G140" s="853"/>
    </row>
    <row r="141" spans="2:7" x14ac:dyDescent="0.3">
      <c r="B141" s="855"/>
      <c r="C141" s="829"/>
      <c r="D141" s="829"/>
      <c r="E141" s="829"/>
      <c r="F141" s="829"/>
      <c r="G141" s="853"/>
    </row>
    <row r="142" spans="2:7" x14ac:dyDescent="0.3">
      <c r="B142" s="855"/>
      <c r="C142" s="829"/>
      <c r="D142" s="829"/>
      <c r="E142" s="829"/>
      <c r="F142" s="829"/>
      <c r="G142" s="853"/>
    </row>
    <row r="143" spans="2:7" x14ac:dyDescent="0.3">
      <c r="B143" s="855"/>
      <c r="C143" s="829"/>
      <c r="D143" s="829"/>
      <c r="E143" s="829"/>
      <c r="F143" s="829"/>
      <c r="G143" s="853"/>
    </row>
    <row r="144" spans="2:7" x14ac:dyDescent="0.3">
      <c r="B144" s="855"/>
      <c r="C144" s="829"/>
      <c r="D144" s="829"/>
      <c r="E144" s="829"/>
      <c r="F144" s="829"/>
      <c r="G144" s="853"/>
    </row>
    <row r="145" spans="2:7" x14ac:dyDescent="0.3">
      <c r="B145" s="855"/>
      <c r="C145" s="829"/>
      <c r="D145" s="829"/>
      <c r="E145" s="829"/>
      <c r="F145" s="829"/>
      <c r="G145" s="853"/>
    </row>
    <row r="146" spans="2:7" x14ac:dyDescent="0.3">
      <c r="B146" s="855"/>
      <c r="C146" s="829"/>
      <c r="D146" s="829"/>
      <c r="E146" s="829"/>
      <c r="F146" s="829"/>
      <c r="G146" s="853"/>
    </row>
    <row r="147" spans="2:7" x14ac:dyDescent="0.3">
      <c r="B147" s="855"/>
      <c r="C147" s="829"/>
      <c r="D147" s="829"/>
      <c r="E147" s="829"/>
      <c r="F147" s="829"/>
      <c r="G147" s="853"/>
    </row>
    <row r="148" spans="2:7" x14ac:dyDescent="0.3">
      <c r="B148" s="855"/>
      <c r="C148" s="829"/>
      <c r="D148" s="829"/>
      <c r="E148" s="829"/>
      <c r="F148" s="829"/>
      <c r="G148" s="853"/>
    </row>
    <row r="149" spans="2:7" x14ac:dyDescent="0.3">
      <c r="B149" s="855"/>
      <c r="C149" s="829"/>
      <c r="D149" s="829"/>
      <c r="E149" s="829"/>
      <c r="F149" s="829"/>
      <c r="G149" s="853"/>
    </row>
    <row r="150" spans="2:7" x14ac:dyDescent="0.3">
      <c r="B150" s="855"/>
      <c r="C150" s="829"/>
      <c r="D150" s="829"/>
      <c r="E150" s="829"/>
      <c r="F150" s="829"/>
      <c r="G150" s="853"/>
    </row>
    <row r="151" spans="2:7" x14ac:dyDescent="0.3">
      <c r="B151" s="855"/>
      <c r="C151" s="829"/>
      <c r="D151" s="829"/>
      <c r="E151" s="829"/>
      <c r="F151" s="829"/>
      <c r="G151" s="853"/>
    </row>
    <row r="152" spans="2:7" x14ac:dyDescent="0.3">
      <c r="B152" s="855"/>
      <c r="C152" s="829"/>
      <c r="D152" s="829"/>
      <c r="E152" s="829"/>
      <c r="F152" s="829"/>
      <c r="G152" s="853"/>
    </row>
    <row r="153" spans="2:7" x14ac:dyDescent="0.3">
      <c r="B153" s="855"/>
      <c r="C153" s="829"/>
      <c r="D153" s="829"/>
      <c r="E153" s="829"/>
      <c r="F153" s="829"/>
      <c r="G153" s="853"/>
    </row>
    <row r="154" spans="2:7" x14ac:dyDescent="0.3">
      <c r="B154" s="855"/>
      <c r="C154" s="829"/>
      <c r="D154" s="829"/>
      <c r="E154" s="829"/>
      <c r="F154" s="829"/>
      <c r="G154" s="853"/>
    </row>
    <row r="155" spans="2:7" x14ac:dyDescent="0.3">
      <c r="B155" s="855"/>
      <c r="C155" s="829"/>
      <c r="D155" s="829"/>
      <c r="E155" s="829"/>
      <c r="F155" s="829"/>
      <c r="G155" s="853"/>
    </row>
    <row r="156" spans="2:7" x14ac:dyDescent="0.3">
      <c r="B156" s="855"/>
      <c r="C156" s="829"/>
      <c r="D156" s="829"/>
      <c r="E156" s="829"/>
      <c r="F156" s="829"/>
      <c r="G156" s="853"/>
    </row>
    <row r="157" spans="2:7" x14ac:dyDescent="0.3">
      <c r="B157" s="855"/>
      <c r="C157" s="829"/>
      <c r="D157" s="829"/>
      <c r="E157" s="829"/>
      <c r="F157" s="829"/>
      <c r="G157" s="853"/>
    </row>
    <row r="158" spans="2:7" x14ac:dyDescent="0.3">
      <c r="B158" s="855"/>
      <c r="C158" s="829"/>
      <c r="D158" s="829"/>
      <c r="E158" s="829"/>
      <c r="F158" s="829"/>
      <c r="G158" s="853"/>
    </row>
    <row r="159" spans="2:7" x14ac:dyDescent="0.3">
      <c r="B159" s="855"/>
      <c r="C159" s="829"/>
      <c r="D159" s="829"/>
      <c r="E159" s="829"/>
      <c r="F159" s="829"/>
      <c r="G159" s="853"/>
    </row>
    <row r="160" spans="2:7" x14ac:dyDescent="0.3">
      <c r="B160" s="855"/>
      <c r="C160" s="829"/>
      <c r="D160" s="829"/>
      <c r="E160" s="829"/>
      <c r="F160" s="829"/>
      <c r="G160" s="853"/>
    </row>
    <row r="161" spans="2:7" x14ac:dyDescent="0.3">
      <c r="B161" s="855"/>
      <c r="C161" s="829"/>
      <c r="D161" s="829"/>
      <c r="E161" s="829"/>
      <c r="F161" s="829"/>
      <c r="G161" s="853"/>
    </row>
    <row r="162" spans="2:7" x14ac:dyDescent="0.3">
      <c r="B162" s="855"/>
      <c r="C162" s="829"/>
      <c r="D162" s="829"/>
      <c r="E162" s="829"/>
      <c r="F162" s="829"/>
      <c r="G162" s="853"/>
    </row>
    <row r="163" spans="2:7" x14ac:dyDescent="0.3">
      <c r="B163" s="855"/>
      <c r="C163" s="829"/>
      <c r="D163" s="829"/>
      <c r="E163" s="829"/>
      <c r="F163" s="829"/>
      <c r="G163" s="853"/>
    </row>
    <row r="164" spans="2:7" x14ac:dyDescent="0.3">
      <c r="B164" s="855"/>
      <c r="C164" s="829"/>
      <c r="D164" s="829"/>
      <c r="E164" s="829"/>
      <c r="F164" s="829"/>
      <c r="G164" s="853"/>
    </row>
    <row r="165" spans="2:7" x14ac:dyDescent="0.3">
      <c r="B165" s="855"/>
      <c r="C165" s="829"/>
      <c r="D165" s="829"/>
      <c r="E165" s="829"/>
      <c r="F165" s="829"/>
      <c r="G165" s="853"/>
    </row>
    <row r="166" spans="2:7" x14ac:dyDescent="0.3">
      <c r="B166" s="855"/>
      <c r="C166" s="829"/>
      <c r="D166" s="829"/>
      <c r="E166" s="829"/>
      <c r="F166" s="829"/>
      <c r="G166" s="853"/>
    </row>
    <row r="167" spans="2:7" x14ac:dyDescent="0.3">
      <c r="B167" s="855"/>
      <c r="C167" s="829"/>
      <c r="D167" s="829"/>
      <c r="E167" s="829"/>
      <c r="F167" s="829"/>
      <c r="G167" s="853"/>
    </row>
    <row r="168" spans="2:7" x14ac:dyDescent="0.3">
      <c r="B168" s="855"/>
      <c r="C168" s="829"/>
      <c r="D168" s="829"/>
      <c r="E168" s="829"/>
      <c r="F168" s="829"/>
      <c r="G168" s="853"/>
    </row>
    <row r="169" spans="2:7" x14ac:dyDescent="0.3">
      <c r="B169" s="855"/>
      <c r="C169" s="829"/>
      <c r="D169" s="829"/>
      <c r="E169" s="829"/>
      <c r="F169" s="829"/>
      <c r="G169" s="853"/>
    </row>
    <row r="170" spans="2:7" x14ac:dyDescent="0.3">
      <c r="B170" s="855"/>
      <c r="C170" s="829"/>
      <c r="D170" s="829"/>
      <c r="E170" s="829"/>
      <c r="F170" s="829"/>
      <c r="G170" s="853"/>
    </row>
    <row r="171" spans="2:7" x14ac:dyDescent="0.3">
      <c r="B171" s="855"/>
      <c r="C171" s="829"/>
      <c r="D171" s="829"/>
      <c r="E171" s="829"/>
      <c r="F171" s="829"/>
      <c r="G171" s="853"/>
    </row>
    <row r="172" spans="2:7" x14ac:dyDescent="0.3">
      <c r="B172" s="855"/>
      <c r="C172" s="829"/>
      <c r="D172" s="829"/>
      <c r="E172" s="829"/>
      <c r="F172" s="829"/>
      <c r="G172" s="853"/>
    </row>
    <row r="173" spans="2:7" x14ac:dyDescent="0.3">
      <c r="B173" s="855"/>
      <c r="C173" s="829"/>
      <c r="D173" s="829"/>
      <c r="E173" s="829"/>
      <c r="F173" s="829"/>
      <c r="G173" s="853"/>
    </row>
    <row r="174" spans="2:7" x14ac:dyDescent="0.3">
      <c r="B174" s="855"/>
      <c r="C174" s="829"/>
      <c r="D174" s="829"/>
      <c r="E174" s="829"/>
      <c r="F174" s="829"/>
      <c r="G174" s="853"/>
    </row>
    <row r="175" spans="2:7" x14ac:dyDescent="0.3">
      <c r="B175" s="855"/>
      <c r="C175" s="829"/>
      <c r="D175" s="829"/>
      <c r="E175" s="829"/>
      <c r="F175" s="829"/>
      <c r="G175" s="853"/>
    </row>
    <row r="176" spans="2:7" x14ac:dyDescent="0.3">
      <c r="B176" s="855"/>
      <c r="C176" s="829"/>
      <c r="D176" s="829"/>
      <c r="E176" s="829"/>
      <c r="F176" s="829"/>
      <c r="G176" s="853"/>
    </row>
    <row r="177" spans="2:7" x14ac:dyDescent="0.3">
      <c r="B177" s="855"/>
      <c r="C177" s="829"/>
      <c r="D177" s="829"/>
      <c r="E177" s="829"/>
      <c r="F177" s="829"/>
      <c r="G177" s="853"/>
    </row>
    <row r="178" spans="2:7" x14ac:dyDescent="0.3">
      <c r="B178" s="855"/>
      <c r="C178" s="829"/>
      <c r="D178" s="829"/>
      <c r="E178" s="829"/>
      <c r="F178" s="829"/>
      <c r="G178" s="853"/>
    </row>
    <row r="179" spans="2:7" x14ac:dyDescent="0.3">
      <c r="B179" s="855"/>
      <c r="C179" s="829"/>
      <c r="D179" s="829"/>
      <c r="E179" s="829"/>
      <c r="F179" s="829"/>
      <c r="G179" s="853"/>
    </row>
    <row r="180" spans="2:7" x14ac:dyDescent="0.3">
      <c r="B180" s="855"/>
      <c r="C180" s="829"/>
      <c r="D180" s="829"/>
      <c r="E180" s="829"/>
      <c r="F180" s="829"/>
      <c r="G180" s="853"/>
    </row>
    <row r="181" spans="2:7" x14ac:dyDescent="0.3">
      <c r="B181" s="855"/>
      <c r="C181" s="829"/>
      <c r="D181" s="829"/>
      <c r="E181" s="829"/>
      <c r="F181" s="829"/>
      <c r="G181" s="853"/>
    </row>
    <row r="182" spans="2:7" x14ac:dyDescent="0.3">
      <c r="B182" s="855"/>
      <c r="C182" s="829"/>
      <c r="D182" s="829"/>
      <c r="E182" s="829"/>
      <c r="F182" s="829"/>
      <c r="G182" s="853"/>
    </row>
    <row r="183" spans="2:7" x14ac:dyDescent="0.3">
      <c r="B183" s="855"/>
      <c r="C183" s="829"/>
      <c r="D183" s="829"/>
      <c r="E183" s="829"/>
      <c r="F183" s="829"/>
      <c r="G183" s="853"/>
    </row>
    <row r="184" spans="2:7" x14ac:dyDescent="0.3">
      <c r="B184" s="855"/>
      <c r="C184" s="829"/>
      <c r="D184" s="829"/>
      <c r="E184" s="829"/>
      <c r="F184" s="829"/>
      <c r="G184" s="853"/>
    </row>
    <row r="185" spans="2:7" x14ac:dyDescent="0.3">
      <c r="B185" s="855"/>
      <c r="C185" s="829"/>
      <c r="D185" s="829"/>
      <c r="E185" s="829"/>
      <c r="F185" s="829"/>
      <c r="G185" s="853"/>
    </row>
    <row r="186" spans="2:7" x14ac:dyDescent="0.3">
      <c r="B186" s="855"/>
      <c r="C186" s="829"/>
      <c r="D186" s="829"/>
      <c r="E186" s="829"/>
      <c r="F186" s="829"/>
      <c r="G186" s="853"/>
    </row>
    <row r="187" spans="2:7" x14ac:dyDescent="0.3">
      <c r="B187" s="855"/>
      <c r="C187" s="829"/>
      <c r="D187" s="829"/>
      <c r="E187" s="829"/>
      <c r="F187" s="829"/>
      <c r="G187" s="853"/>
    </row>
    <row r="188" spans="2:7" x14ac:dyDescent="0.3">
      <c r="B188" s="855"/>
      <c r="C188" s="829"/>
      <c r="D188" s="829"/>
      <c r="E188" s="829"/>
      <c r="F188" s="829"/>
      <c r="G188" s="853"/>
    </row>
    <row r="189" spans="2:7" x14ac:dyDescent="0.3">
      <c r="B189" s="855"/>
      <c r="C189" s="829"/>
      <c r="D189" s="829"/>
      <c r="E189" s="829"/>
      <c r="F189" s="829"/>
      <c r="G189" s="853"/>
    </row>
    <row r="190" spans="2:7" x14ac:dyDescent="0.3">
      <c r="B190" s="855"/>
      <c r="C190" s="829"/>
      <c r="D190" s="829"/>
      <c r="E190" s="829"/>
      <c r="F190" s="829"/>
      <c r="G190" s="853"/>
    </row>
    <row r="191" spans="2:7" x14ac:dyDescent="0.3">
      <c r="B191" s="855"/>
      <c r="C191" s="829"/>
      <c r="D191" s="829"/>
      <c r="E191" s="829"/>
      <c r="F191" s="829"/>
      <c r="G191" s="853"/>
    </row>
    <row r="192" spans="2:7" x14ac:dyDescent="0.3">
      <c r="B192" s="855"/>
      <c r="C192" s="829"/>
      <c r="D192" s="829"/>
      <c r="E192" s="829"/>
      <c r="F192" s="829"/>
      <c r="G192" s="853"/>
    </row>
    <row r="193" spans="2:7" x14ac:dyDescent="0.3">
      <c r="B193" s="855"/>
      <c r="C193" s="829"/>
      <c r="D193" s="829"/>
      <c r="E193" s="829"/>
      <c r="F193" s="829"/>
      <c r="G193" s="853"/>
    </row>
    <row r="194" spans="2:7" x14ac:dyDescent="0.3">
      <c r="B194" s="855"/>
      <c r="C194" s="829"/>
      <c r="D194" s="829"/>
      <c r="E194" s="829"/>
      <c r="F194" s="829"/>
      <c r="G194" s="853"/>
    </row>
    <row r="195" spans="2:7" x14ac:dyDescent="0.3">
      <c r="B195" s="855"/>
      <c r="C195" s="829"/>
      <c r="D195" s="829"/>
      <c r="E195" s="829"/>
      <c r="F195" s="829"/>
      <c r="G195" s="853"/>
    </row>
    <row r="196" spans="2:7" x14ac:dyDescent="0.3">
      <c r="B196" s="855"/>
      <c r="C196" s="829"/>
      <c r="D196" s="829"/>
      <c r="E196" s="829"/>
      <c r="F196" s="829"/>
      <c r="G196" s="853"/>
    </row>
    <row r="197" spans="2:7" x14ac:dyDescent="0.3">
      <c r="B197" s="855"/>
      <c r="C197" s="829"/>
      <c r="D197" s="829"/>
      <c r="E197" s="829"/>
      <c r="F197" s="829"/>
      <c r="G197" s="853"/>
    </row>
    <row r="198" spans="2:7" x14ac:dyDescent="0.3">
      <c r="B198" s="855"/>
      <c r="C198" s="829"/>
      <c r="D198" s="829"/>
      <c r="E198" s="829"/>
      <c r="F198" s="829"/>
      <c r="G198" s="853"/>
    </row>
    <row r="199" spans="2:7" x14ac:dyDescent="0.3">
      <c r="B199" s="855"/>
      <c r="C199" s="829"/>
      <c r="D199" s="829"/>
      <c r="E199" s="829"/>
      <c r="F199" s="829"/>
      <c r="G199" s="853"/>
    </row>
    <row r="200" spans="2:7" x14ac:dyDescent="0.3">
      <c r="B200" s="855"/>
      <c r="C200" s="829"/>
      <c r="D200" s="829"/>
      <c r="E200" s="829"/>
      <c r="F200" s="829"/>
      <c r="G200" s="853"/>
    </row>
    <row r="201" spans="2:7" x14ac:dyDescent="0.3">
      <c r="B201" s="855"/>
      <c r="C201" s="829"/>
      <c r="D201" s="829"/>
      <c r="E201" s="829"/>
      <c r="F201" s="829"/>
      <c r="G201" s="853"/>
    </row>
    <row r="202" spans="2:7" x14ac:dyDescent="0.3">
      <c r="B202" s="855"/>
      <c r="C202" s="829"/>
      <c r="D202" s="829"/>
      <c r="E202" s="829"/>
      <c r="F202" s="829"/>
      <c r="G202" s="853"/>
    </row>
    <row r="203" spans="2:7" x14ac:dyDescent="0.3">
      <c r="B203" s="855"/>
      <c r="C203" s="829"/>
      <c r="D203" s="829"/>
      <c r="E203" s="829"/>
      <c r="F203" s="829"/>
      <c r="G203" s="853"/>
    </row>
    <row r="204" spans="2:7" x14ac:dyDescent="0.3">
      <c r="B204" s="855"/>
      <c r="C204" s="829"/>
      <c r="D204" s="829"/>
      <c r="E204" s="829"/>
      <c r="F204" s="829"/>
      <c r="G204" s="853"/>
    </row>
    <row r="205" spans="2:7" x14ac:dyDescent="0.3">
      <c r="B205" s="855"/>
      <c r="C205" s="829"/>
      <c r="D205" s="829"/>
      <c r="E205" s="829"/>
      <c r="F205" s="829"/>
      <c r="G205" s="853"/>
    </row>
    <row r="206" spans="2:7" x14ac:dyDescent="0.3">
      <c r="B206" s="855"/>
      <c r="C206" s="829"/>
      <c r="D206" s="829"/>
      <c r="E206" s="829"/>
      <c r="F206" s="829"/>
      <c r="G206" s="853"/>
    </row>
    <row r="207" spans="2:7" x14ac:dyDescent="0.3">
      <c r="B207" s="855"/>
      <c r="C207" s="829"/>
      <c r="D207" s="829"/>
      <c r="E207" s="829"/>
      <c r="F207" s="829"/>
      <c r="G207" s="853"/>
    </row>
    <row r="208" spans="2:7" x14ac:dyDescent="0.3">
      <c r="B208" s="855"/>
      <c r="C208" s="829"/>
      <c r="D208" s="829"/>
      <c r="E208" s="829"/>
      <c r="F208" s="829"/>
      <c r="G208" s="853"/>
    </row>
    <row r="209" spans="2:7" x14ac:dyDescent="0.3">
      <c r="B209" s="855"/>
      <c r="C209" s="829"/>
      <c r="D209" s="829"/>
      <c r="E209" s="829"/>
      <c r="F209" s="829"/>
      <c r="G209" s="853"/>
    </row>
    <row r="210" spans="2:7" x14ac:dyDescent="0.3">
      <c r="B210" s="855"/>
      <c r="C210" s="829"/>
      <c r="D210" s="829"/>
      <c r="E210" s="829"/>
      <c r="F210" s="829"/>
      <c r="G210" s="853"/>
    </row>
    <row r="211" spans="2:7" x14ac:dyDescent="0.3">
      <c r="B211" s="855"/>
      <c r="C211" s="829"/>
      <c r="D211" s="829"/>
      <c r="E211" s="829"/>
      <c r="F211" s="829"/>
      <c r="G211" s="853"/>
    </row>
    <row r="212" spans="2:7" x14ac:dyDescent="0.3">
      <c r="B212" s="855"/>
      <c r="C212" s="829"/>
      <c r="D212" s="829"/>
      <c r="E212" s="829"/>
      <c r="F212" s="829"/>
      <c r="G212" s="853"/>
    </row>
    <row r="213" spans="2:7" x14ac:dyDescent="0.3">
      <c r="B213" s="855"/>
      <c r="C213" s="829"/>
      <c r="D213" s="829"/>
      <c r="E213" s="829"/>
      <c r="F213" s="829"/>
      <c r="G213" s="853"/>
    </row>
    <row r="214" spans="2:7" x14ac:dyDescent="0.3">
      <c r="B214" s="855"/>
      <c r="C214" s="829"/>
      <c r="D214" s="829"/>
      <c r="E214" s="829"/>
      <c r="F214" s="829"/>
      <c r="G214" s="853"/>
    </row>
    <row r="215" spans="2:7" x14ac:dyDescent="0.3">
      <c r="B215" s="855"/>
      <c r="C215" s="829"/>
      <c r="D215" s="829"/>
      <c r="E215" s="829"/>
      <c r="F215" s="829"/>
      <c r="G215" s="853"/>
    </row>
    <row r="216" spans="2:7" x14ac:dyDescent="0.3">
      <c r="B216" s="855"/>
      <c r="C216" s="829"/>
      <c r="D216" s="829"/>
      <c r="E216" s="829"/>
      <c r="F216" s="829"/>
      <c r="G216" s="853"/>
    </row>
    <row r="217" spans="2:7" x14ac:dyDescent="0.3">
      <c r="B217" s="855"/>
      <c r="C217" s="829"/>
      <c r="D217" s="829"/>
      <c r="E217" s="829"/>
      <c r="F217" s="829"/>
      <c r="G217" s="853"/>
    </row>
    <row r="218" spans="2:7" x14ac:dyDescent="0.3">
      <c r="B218" s="855"/>
      <c r="C218" s="829"/>
      <c r="D218" s="829"/>
      <c r="E218" s="829"/>
      <c r="F218" s="829"/>
      <c r="G218" s="853"/>
    </row>
    <row r="219" spans="2:7" x14ac:dyDescent="0.3">
      <c r="B219" s="855"/>
      <c r="C219" s="829"/>
      <c r="D219" s="829"/>
      <c r="E219" s="829"/>
      <c r="F219" s="829"/>
      <c r="G219" s="853"/>
    </row>
    <row r="220" spans="2:7" x14ac:dyDescent="0.3">
      <c r="B220" s="855"/>
      <c r="C220" s="829"/>
      <c r="D220" s="829"/>
      <c r="E220" s="829"/>
      <c r="F220" s="829"/>
      <c r="G220" s="853"/>
    </row>
    <row r="221" spans="2:7" x14ac:dyDescent="0.3">
      <c r="B221" s="855"/>
      <c r="C221" s="829"/>
      <c r="D221" s="829"/>
      <c r="E221" s="829"/>
      <c r="F221" s="829"/>
      <c r="G221" s="853"/>
    </row>
    <row r="222" spans="2:7" x14ac:dyDescent="0.3">
      <c r="B222" s="855"/>
      <c r="C222" s="829"/>
      <c r="D222" s="829"/>
      <c r="E222" s="829"/>
      <c r="F222" s="829"/>
      <c r="G222" s="853"/>
    </row>
    <row r="223" spans="2:7" x14ac:dyDescent="0.3">
      <c r="B223" s="855"/>
      <c r="C223" s="829"/>
      <c r="D223" s="829"/>
      <c r="E223" s="829"/>
      <c r="F223" s="829"/>
      <c r="G223" s="853"/>
    </row>
    <row r="224" spans="2:7" x14ac:dyDescent="0.3">
      <c r="B224" s="855"/>
      <c r="C224" s="829"/>
      <c r="D224" s="829"/>
      <c r="E224" s="829"/>
      <c r="F224" s="829"/>
      <c r="G224" s="853"/>
    </row>
    <row r="225" spans="2:7" x14ac:dyDescent="0.3">
      <c r="B225" s="855"/>
      <c r="C225" s="829"/>
      <c r="D225" s="829"/>
      <c r="E225" s="829"/>
      <c r="F225" s="829"/>
      <c r="G225" s="853"/>
    </row>
    <row r="226" spans="2:7" x14ac:dyDescent="0.3">
      <c r="B226" s="855"/>
      <c r="C226" s="829"/>
      <c r="D226" s="829"/>
      <c r="E226" s="829"/>
      <c r="F226" s="829"/>
      <c r="G226" s="853"/>
    </row>
    <row r="227" spans="2:7" x14ac:dyDescent="0.3">
      <c r="B227" s="855"/>
      <c r="C227" s="829"/>
      <c r="D227" s="829"/>
      <c r="E227" s="829"/>
      <c r="F227" s="829"/>
      <c r="G227" s="853"/>
    </row>
    <row r="228" spans="2:7" x14ac:dyDescent="0.3">
      <c r="B228" s="855"/>
      <c r="C228" s="829"/>
      <c r="D228" s="829"/>
      <c r="E228" s="829"/>
      <c r="F228" s="829"/>
      <c r="G228" s="853"/>
    </row>
    <row r="229" spans="2:7" x14ac:dyDescent="0.3">
      <c r="B229" s="855"/>
      <c r="C229" s="829"/>
      <c r="D229" s="829"/>
      <c r="E229" s="829"/>
      <c r="F229" s="829"/>
      <c r="G229" s="853"/>
    </row>
    <row r="230" spans="2:7" x14ac:dyDescent="0.3">
      <c r="B230" s="855"/>
      <c r="C230" s="829"/>
      <c r="D230" s="829"/>
      <c r="E230" s="829"/>
      <c r="F230" s="829"/>
      <c r="G230" s="853"/>
    </row>
    <row r="231" spans="2:7" x14ac:dyDescent="0.3">
      <c r="B231" s="855"/>
      <c r="C231" s="829"/>
      <c r="D231" s="829"/>
      <c r="E231" s="829"/>
      <c r="F231" s="829"/>
      <c r="G231" s="853"/>
    </row>
    <row r="232" spans="2:7" x14ac:dyDescent="0.3">
      <c r="B232" s="855"/>
      <c r="C232" s="829"/>
      <c r="D232" s="829"/>
      <c r="E232" s="829"/>
      <c r="F232" s="829"/>
      <c r="G232" s="853"/>
    </row>
    <row r="233" spans="2:7" x14ac:dyDescent="0.3">
      <c r="B233" s="855"/>
      <c r="C233" s="829"/>
      <c r="D233" s="829"/>
      <c r="E233" s="829"/>
      <c r="F233" s="829"/>
      <c r="G233" s="853"/>
    </row>
    <row r="234" spans="2:7" x14ac:dyDescent="0.3">
      <c r="B234" s="855"/>
      <c r="C234" s="829"/>
      <c r="D234" s="829"/>
      <c r="E234" s="829"/>
      <c r="F234" s="829"/>
      <c r="G234" s="853"/>
    </row>
    <row r="235" spans="2:7" x14ac:dyDescent="0.3">
      <c r="B235" s="855"/>
      <c r="C235" s="829"/>
      <c r="D235" s="829"/>
      <c r="E235" s="829"/>
      <c r="F235" s="829"/>
      <c r="G235" s="853"/>
    </row>
    <row r="236" spans="2:7" x14ac:dyDescent="0.3">
      <c r="B236" s="855"/>
      <c r="C236" s="829"/>
      <c r="D236" s="829"/>
      <c r="E236" s="829"/>
      <c r="F236" s="829"/>
      <c r="G236" s="853"/>
    </row>
    <row r="237" spans="2:7" x14ac:dyDescent="0.3">
      <c r="B237" s="855"/>
      <c r="C237" s="829"/>
      <c r="D237" s="829"/>
      <c r="E237" s="829"/>
      <c r="F237" s="829"/>
      <c r="G237" s="853"/>
    </row>
    <row r="238" spans="2:7" x14ac:dyDescent="0.3">
      <c r="B238" s="855"/>
      <c r="C238" s="829"/>
      <c r="D238" s="829"/>
      <c r="E238" s="829"/>
      <c r="F238" s="829"/>
      <c r="G238" s="853"/>
    </row>
    <row r="239" spans="2:7" x14ac:dyDescent="0.3">
      <c r="B239" s="855"/>
      <c r="C239" s="829"/>
      <c r="D239" s="829"/>
      <c r="E239" s="829"/>
      <c r="F239" s="829"/>
      <c r="G239" s="853"/>
    </row>
    <row r="240" spans="2:7" x14ac:dyDescent="0.3">
      <c r="B240" s="855"/>
      <c r="C240" s="829"/>
      <c r="D240" s="829"/>
      <c r="E240" s="829"/>
      <c r="F240" s="829"/>
      <c r="G240" s="853"/>
    </row>
    <row r="241" spans="2:7" x14ac:dyDescent="0.3">
      <c r="B241" s="855"/>
      <c r="C241" s="829"/>
      <c r="D241" s="829"/>
      <c r="E241" s="829"/>
      <c r="F241" s="829"/>
      <c r="G241" s="853"/>
    </row>
    <row r="242" spans="2:7" x14ac:dyDescent="0.3">
      <c r="B242" s="855"/>
      <c r="C242" s="829"/>
      <c r="D242" s="829"/>
      <c r="E242" s="829"/>
      <c r="F242" s="829"/>
      <c r="G242" s="853"/>
    </row>
    <row r="243" spans="2:7" x14ac:dyDescent="0.3">
      <c r="B243" s="855"/>
      <c r="C243" s="829"/>
      <c r="D243" s="829"/>
      <c r="E243" s="829"/>
      <c r="F243" s="829"/>
      <c r="G243" s="853"/>
    </row>
    <row r="244" spans="2:7" x14ac:dyDescent="0.3">
      <c r="B244" s="855"/>
      <c r="C244" s="829"/>
      <c r="D244" s="829"/>
      <c r="E244" s="829"/>
      <c r="F244" s="829"/>
      <c r="G244" s="853"/>
    </row>
    <row r="245" spans="2:7" x14ac:dyDescent="0.3">
      <c r="B245" s="855"/>
      <c r="C245" s="829"/>
      <c r="D245" s="829"/>
      <c r="E245" s="829"/>
      <c r="F245" s="829"/>
      <c r="G245" s="853"/>
    </row>
    <row r="246" spans="2:7" x14ac:dyDescent="0.3">
      <c r="B246" s="855"/>
      <c r="C246" s="829"/>
      <c r="D246" s="829"/>
      <c r="E246" s="829"/>
      <c r="F246" s="829"/>
      <c r="G246" s="853"/>
    </row>
    <row r="247" spans="2:7" x14ac:dyDescent="0.3">
      <c r="B247" s="855"/>
      <c r="C247" s="829"/>
      <c r="D247" s="829"/>
      <c r="E247" s="829"/>
      <c r="F247" s="829"/>
      <c r="G247" s="853"/>
    </row>
    <row r="248" spans="2:7" x14ac:dyDescent="0.3">
      <c r="B248" s="855"/>
      <c r="C248" s="829"/>
      <c r="D248" s="829"/>
      <c r="E248" s="829"/>
      <c r="F248" s="829"/>
      <c r="G248" s="853"/>
    </row>
    <row r="249" spans="2:7" x14ac:dyDescent="0.3">
      <c r="B249" s="855"/>
      <c r="C249" s="829"/>
      <c r="D249" s="829"/>
      <c r="E249" s="829"/>
      <c r="F249" s="829"/>
      <c r="G249" s="853"/>
    </row>
    <row r="250" spans="2:7" x14ac:dyDescent="0.3">
      <c r="B250" s="855"/>
      <c r="C250" s="829"/>
      <c r="D250" s="829"/>
      <c r="E250" s="829"/>
      <c r="F250" s="829"/>
      <c r="G250" s="853"/>
    </row>
    <row r="251" spans="2:7" x14ac:dyDescent="0.3">
      <c r="B251" s="855"/>
      <c r="C251" s="829"/>
      <c r="D251" s="829"/>
      <c r="E251" s="829"/>
      <c r="F251" s="829"/>
      <c r="G251" s="853"/>
    </row>
    <row r="252" spans="2:7" x14ac:dyDescent="0.3">
      <c r="B252" s="855"/>
      <c r="C252" s="829"/>
      <c r="D252" s="829"/>
      <c r="E252" s="829"/>
      <c r="F252" s="829"/>
      <c r="G252" s="853"/>
    </row>
    <row r="253" spans="2:7" x14ac:dyDescent="0.3">
      <c r="B253" s="855"/>
      <c r="C253" s="829"/>
      <c r="D253" s="829"/>
      <c r="E253" s="829"/>
      <c r="F253" s="829"/>
      <c r="G253" s="853"/>
    </row>
    <row r="254" spans="2:7" x14ac:dyDescent="0.3">
      <c r="B254" s="855"/>
      <c r="C254" s="829"/>
      <c r="D254" s="829"/>
      <c r="E254" s="829"/>
      <c r="F254" s="829"/>
      <c r="G254" s="853"/>
    </row>
    <row r="255" spans="2:7" x14ac:dyDescent="0.3">
      <c r="B255" s="855"/>
      <c r="C255" s="829"/>
      <c r="D255" s="829"/>
      <c r="E255" s="829"/>
      <c r="F255" s="829"/>
      <c r="G255" s="853"/>
    </row>
    <row r="256" spans="2:7" x14ac:dyDescent="0.3">
      <c r="B256" s="855"/>
      <c r="C256" s="829"/>
      <c r="D256" s="829"/>
      <c r="E256" s="829"/>
      <c r="F256" s="829"/>
      <c r="G256" s="853"/>
    </row>
    <row r="257" spans="2:7" x14ac:dyDescent="0.3">
      <c r="B257" s="855"/>
      <c r="C257" s="829"/>
      <c r="D257" s="829"/>
      <c r="E257" s="829"/>
      <c r="F257" s="829"/>
      <c r="G257" s="853"/>
    </row>
    <row r="258" spans="2:7" x14ac:dyDescent="0.3">
      <c r="B258" s="855"/>
      <c r="C258" s="829"/>
      <c r="D258" s="829"/>
      <c r="E258" s="829"/>
      <c r="F258" s="829"/>
      <c r="G258" s="853"/>
    </row>
    <row r="259" spans="2:7" x14ac:dyDescent="0.3">
      <c r="B259" s="855"/>
      <c r="C259" s="829"/>
      <c r="D259" s="829"/>
      <c r="E259" s="829"/>
      <c r="F259" s="829"/>
      <c r="G259" s="853"/>
    </row>
    <row r="260" spans="2:7" x14ac:dyDescent="0.3">
      <c r="B260" s="855"/>
      <c r="C260" s="829"/>
      <c r="D260" s="829"/>
      <c r="E260" s="829"/>
      <c r="F260" s="829"/>
      <c r="G260" s="853"/>
    </row>
    <row r="261" spans="2:7" x14ac:dyDescent="0.3">
      <c r="B261" s="855"/>
      <c r="C261" s="829"/>
      <c r="D261" s="829"/>
      <c r="E261" s="829"/>
      <c r="F261" s="829"/>
      <c r="G261" s="853"/>
    </row>
    <row r="262" spans="2:7" x14ac:dyDescent="0.3">
      <c r="B262" s="855"/>
      <c r="C262" s="829"/>
      <c r="D262" s="829"/>
      <c r="E262" s="829"/>
      <c r="F262" s="829"/>
      <c r="G262" s="853"/>
    </row>
    <row r="263" spans="2:7" x14ac:dyDescent="0.3">
      <c r="B263" s="855"/>
      <c r="C263" s="829"/>
      <c r="D263" s="829"/>
      <c r="E263" s="829"/>
      <c r="F263" s="829"/>
      <c r="G263" s="853"/>
    </row>
    <row r="264" spans="2:7" x14ac:dyDescent="0.3">
      <c r="B264" s="855"/>
      <c r="C264" s="829"/>
      <c r="D264" s="829"/>
      <c r="E264" s="829"/>
      <c r="F264" s="829"/>
      <c r="G264" s="853"/>
    </row>
    <row r="265" spans="2:7" x14ac:dyDescent="0.3">
      <c r="B265" s="855"/>
      <c r="C265" s="829"/>
      <c r="D265" s="829"/>
      <c r="E265" s="829"/>
      <c r="F265" s="829"/>
      <c r="G265" s="853"/>
    </row>
    <row r="266" spans="2:7" x14ac:dyDescent="0.3">
      <c r="B266" s="855"/>
      <c r="C266" s="829"/>
      <c r="D266" s="829"/>
      <c r="E266" s="829"/>
      <c r="F266" s="829"/>
      <c r="G266" s="853"/>
    </row>
    <row r="267" spans="2:7" x14ac:dyDescent="0.3">
      <c r="B267" s="855"/>
      <c r="C267" s="829"/>
      <c r="D267" s="829"/>
      <c r="E267" s="829"/>
      <c r="F267" s="829"/>
      <c r="G267" s="853"/>
    </row>
    <row r="268" spans="2:7" x14ac:dyDescent="0.3">
      <c r="B268" s="855"/>
      <c r="C268" s="829"/>
      <c r="D268" s="829"/>
      <c r="E268" s="829"/>
      <c r="F268" s="829"/>
      <c r="G268" s="853"/>
    </row>
    <row r="269" spans="2:7" x14ac:dyDescent="0.3">
      <c r="B269" s="855"/>
      <c r="C269" s="829"/>
      <c r="D269" s="829"/>
      <c r="E269" s="829"/>
      <c r="F269" s="829"/>
      <c r="G269" s="853"/>
    </row>
    <row r="270" spans="2:7" x14ac:dyDescent="0.3">
      <c r="B270" s="855"/>
      <c r="C270" s="829"/>
      <c r="D270" s="829"/>
      <c r="E270" s="829"/>
      <c r="F270" s="829"/>
      <c r="G270" s="853"/>
    </row>
    <row r="271" spans="2:7" x14ac:dyDescent="0.3">
      <c r="B271" s="855"/>
      <c r="C271" s="829"/>
      <c r="D271" s="829"/>
      <c r="E271" s="829"/>
      <c r="F271" s="829"/>
      <c r="G271" s="853"/>
    </row>
    <row r="272" spans="2:7" x14ac:dyDescent="0.3">
      <c r="B272" s="855"/>
      <c r="C272" s="829"/>
      <c r="D272" s="829"/>
      <c r="E272" s="829"/>
      <c r="F272" s="829"/>
      <c r="G272" s="853"/>
    </row>
    <row r="273" spans="2:7" x14ac:dyDescent="0.3">
      <c r="B273" s="855"/>
      <c r="C273" s="829"/>
      <c r="D273" s="829"/>
      <c r="E273" s="829"/>
      <c r="F273" s="829"/>
      <c r="G273" s="853"/>
    </row>
    <row r="274" spans="2:7" x14ac:dyDescent="0.3">
      <c r="B274" s="855"/>
      <c r="C274" s="829"/>
      <c r="D274" s="829"/>
      <c r="E274" s="829"/>
      <c r="F274" s="829"/>
      <c r="G274" s="853"/>
    </row>
    <row r="275" spans="2:7" x14ac:dyDescent="0.3">
      <c r="B275" s="855"/>
      <c r="C275" s="829"/>
      <c r="D275" s="829"/>
      <c r="E275" s="829"/>
      <c r="F275" s="829"/>
      <c r="G275" s="853"/>
    </row>
    <row r="276" spans="2:7" x14ac:dyDescent="0.3">
      <c r="B276" s="855"/>
      <c r="C276" s="829"/>
      <c r="D276" s="829"/>
      <c r="E276" s="829"/>
      <c r="F276" s="829"/>
      <c r="G276" s="853"/>
    </row>
    <row r="277" spans="2:7" x14ac:dyDescent="0.3">
      <c r="B277" s="855"/>
      <c r="C277" s="829"/>
      <c r="D277" s="829"/>
      <c r="E277" s="829"/>
      <c r="F277" s="829"/>
      <c r="G277" s="853"/>
    </row>
    <row r="278" spans="2:7" x14ac:dyDescent="0.3">
      <c r="B278" s="855"/>
      <c r="C278" s="829"/>
      <c r="D278" s="829"/>
      <c r="E278" s="829"/>
      <c r="F278" s="829"/>
      <c r="G278" s="853"/>
    </row>
    <row r="279" spans="2:7" x14ac:dyDescent="0.3">
      <c r="B279" s="855"/>
      <c r="C279" s="829"/>
      <c r="D279" s="829"/>
      <c r="E279" s="829"/>
      <c r="F279" s="829"/>
      <c r="G279" s="853"/>
    </row>
    <row r="280" spans="2:7" x14ac:dyDescent="0.3">
      <c r="B280" s="855"/>
      <c r="C280" s="829"/>
      <c r="D280" s="829"/>
      <c r="E280" s="829"/>
      <c r="F280" s="829"/>
      <c r="G280" s="853"/>
    </row>
    <row r="281" spans="2:7" x14ac:dyDescent="0.3">
      <c r="B281" s="855"/>
      <c r="C281" s="829"/>
      <c r="D281" s="829"/>
      <c r="E281" s="829"/>
      <c r="F281" s="829"/>
      <c r="G281" s="853"/>
    </row>
    <row r="282" spans="2:7" x14ac:dyDescent="0.3">
      <c r="B282" s="855"/>
      <c r="C282" s="829"/>
      <c r="D282" s="829"/>
      <c r="E282" s="829"/>
      <c r="F282" s="829"/>
      <c r="G282" s="853"/>
    </row>
    <row r="283" spans="2:7" x14ac:dyDescent="0.3">
      <c r="B283" s="855"/>
      <c r="C283" s="829"/>
      <c r="D283" s="829"/>
      <c r="E283" s="829"/>
      <c r="F283" s="829"/>
      <c r="G283" s="853"/>
    </row>
    <row r="284" spans="2:7" x14ac:dyDescent="0.3">
      <c r="B284" s="855"/>
      <c r="C284" s="829"/>
      <c r="D284" s="829"/>
      <c r="E284" s="829"/>
      <c r="F284" s="829"/>
      <c r="G284" s="853"/>
    </row>
    <row r="285" spans="2:7" x14ac:dyDescent="0.3">
      <c r="B285" s="855"/>
      <c r="C285" s="829"/>
      <c r="D285" s="829"/>
      <c r="E285" s="829"/>
      <c r="F285" s="829"/>
      <c r="G285" s="853"/>
    </row>
    <row r="286" spans="2:7" x14ac:dyDescent="0.3">
      <c r="B286" s="855"/>
      <c r="C286" s="829"/>
      <c r="D286" s="829"/>
      <c r="E286" s="829"/>
      <c r="F286" s="829"/>
      <c r="G286" s="853"/>
    </row>
    <row r="287" spans="2:7" x14ac:dyDescent="0.3">
      <c r="B287" s="855"/>
      <c r="C287" s="829"/>
      <c r="D287" s="829"/>
      <c r="E287" s="829"/>
      <c r="F287" s="829"/>
      <c r="G287" s="853"/>
    </row>
    <row r="288" spans="2:7" x14ac:dyDescent="0.3">
      <c r="B288" s="855"/>
      <c r="C288" s="829"/>
      <c r="D288" s="829"/>
      <c r="E288" s="829"/>
      <c r="F288" s="829"/>
      <c r="G288" s="853"/>
    </row>
    <row r="289" spans="2:7" x14ac:dyDescent="0.3">
      <c r="B289" s="855"/>
      <c r="C289" s="829"/>
      <c r="D289" s="829"/>
      <c r="E289" s="829"/>
      <c r="F289" s="829"/>
      <c r="G289" s="853"/>
    </row>
    <row r="290" spans="2:7" x14ac:dyDescent="0.3">
      <c r="B290" s="855"/>
      <c r="C290" s="829"/>
      <c r="D290" s="829"/>
      <c r="E290" s="829"/>
      <c r="F290" s="829"/>
      <c r="G290" s="853"/>
    </row>
    <row r="291" spans="2:7" x14ac:dyDescent="0.3">
      <c r="B291" s="855"/>
      <c r="C291" s="829"/>
      <c r="D291" s="829"/>
      <c r="E291" s="829"/>
      <c r="F291" s="829"/>
      <c r="G291" s="853"/>
    </row>
    <row r="292" spans="2:7" x14ac:dyDescent="0.3">
      <c r="B292" s="855"/>
      <c r="C292" s="829"/>
      <c r="D292" s="829"/>
      <c r="E292" s="829"/>
      <c r="F292" s="829"/>
      <c r="G292" s="853"/>
    </row>
  </sheetData>
  <sheetProtection algorithmName="SHA-512" hashValue="FZcsJdqjc0ZD/pXtePPHGBW/vCS0yJb9xEDj5qdBhYV+TuoOUZJ2kOMD9Kkg3k7aOcF9GgH7swkKKzXyCJVDfQ==" saltValue="+j9jsqqfF9X3Qe39pFY7Rw==" spinCount="100000" sheet="1" objects="1" scenarios="1" selectLockedCells="1"/>
  <phoneticPr fontId="42" type="noConversion"/>
  <pageMargins left="0.7" right="0.7" top="0.75" bottom="0.75" header="0.3" footer="0.3"/>
  <drawing r:id="rId1"/>
  <tableParts count="1">
    <tablePart r:id="rId2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D44A-1BA8-4B01-90B6-D38272428FF6}">
  <sheetPr codeName="Sheet94">
    <tabColor theme="5"/>
  </sheetPr>
  <dimension ref="A1:P292"/>
  <sheetViews>
    <sheetView showGridLines="0" showRowColHeaders="0" workbookViewId="0">
      <selection activeCell="B26" sqref="B26"/>
    </sheetView>
  </sheetViews>
  <sheetFormatPr defaultColWidth="12.77734375" defaultRowHeight="14.4" x14ac:dyDescent="0.3"/>
  <cols>
    <col min="1" max="1" width="3.77734375" style="191" customWidth="1"/>
    <col min="2" max="2" width="10" style="832" bestFit="1" customWidth="1"/>
    <col min="3" max="3" width="10.5546875" style="828" bestFit="1" customWidth="1"/>
    <col min="4" max="4" width="11.6640625" style="828" bestFit="1" customWidth="1"/>
    <col min="5" max="5" width="10.33203125" style="828" bestFit="1" customWidth="1"/>
    <col min="6" max="6" width="12.33203125" style="828" bestFit="1" customWidth="1"/>
    <col min="7" max="7" width="12.88671875" style="828" bestFit="1" customWidth="1"/>
    <col min="8" max="8" width="15.6640625" style="849" bestFit="1" customWidth="1"/>
    <col min="9" max="9" width="19.33203125" style="851" bestFit="1" customWidth="1"/>
    <col min="10" max="10" width="4.77734375" style="191" customWidth="1"/>
    <col min="11" max="11" width="16.77734375" style="842" customWidth="1"/>
    <col min="12" max="12" width="4.77734375" style="842" customWidth="1"/>
    <col min="13" max="13" width="11.44140625" style="842" bestFit="1" customWidth="1"/>
    <col min="14" max="14" width="8.44140625" style="842" bestFit="1" customWidth="1"/>
    <col min="15" max="15" width="11.44140625" style="843" bestFit="1" customWidth="1"/>
    <col min="16" max="16" width="11.44140625" style="191" bestFit="1" customWidth="1"/>
    <col min="17" max="16384" width="12.77734375" style="191"/>
  </cols>
  <sheetData>
    <row r="1" spans="1:9" s="192" customFormat="1" ht="70.2" customHeight="1" thickBot="1" x14ac:dyDescent="0.6">
      <c r="A1" s="193" t="s">
        <v>2289</v>
      </c>
      <c r="B1" s="810"/>
      <c r="C1" s="810"/>
      <c r="D1" s="810"/>
      <c r="E1" s="810"/>
      <c r="F1" s="810"/>
      <c r="G1" s="810"/>
      <c r="H1" s="813"/>
      <c r="I1" s="813"/>
    </row>
    <row r="2" spans="1:9" s="809" customFormat="1" ht="15" thickTop="1" x14ac:dyDescent="0.3">
      <c r="B2" s="811"/>
      <c r="C2" s="811"/>
      <c r="D2" s="811"/>
      <c r="E2" s="811"/>
      <c r="F2" s="811"/>
      <c r="G2" s="811"/>
      <c r="H2" s="814"/>
      <c r="I2" s="814"/>
    </row>
    <row r="3" spans="1:9" s="809" customFormat="1" x14ac:dyDescent="0.3">
      <c r="B3" s="811"/>
      <c r="C3" s="811"/>
      <c r="D3" s="811"/>
      <c r="E3" s="811"/>
      <c r="F3" s="811"/>
      <c r="G3" s="811"/>
      <c r="H3" s="814"/>
      <c r="I3" s="814"/>
    </row>
    <row r="4" spans="1:9" s="809" customFormat="1" x14ac:dyDescent="0.3">
      <c r="B4" s="811"/>
      <c r="C4" s="811"/>
      <c r="D4" s="811"/>
      <c r="E4" s="811"/>
      <c r="F4" s="811"/>
      <c r="G4" s="811"/>
      <c r="H4" s="814"/>
      <c r="I4" s="814"/>
    </row>
    <row r="5" spans="1:9" s="809" customFormat="1" x14ac:dyDescent="0.3">
      <c r="B5" s="811"/>
      <c r="C5" s="811"/>
      <c r="D5" s="811"/>
      <c r="E5" s="811"/>
      <c r="F5" s="811"/>
      <c r="G5" s="811"/>
      <c r="H5" s="814"/>
      <c r="I5" s="814"/>
    </row>
    <row r="6" spans="1:9" s="809" customFormat="1" x14ac:dyDescent="0.3">
      <c r="B6" s="811"/>
      <c r="C6" s="811"/>
      <c r="D6" s="811"/>
      <c r="E6" s="811"/>
      <c r="F6" s="811"/>
      <c r="G6" s="811"/>
      <c r="H6" s="814"/>
      <c r="I6" s="814"/>
    </row>
    <row r="7" spans="1:9" s="809" customFormat="1" x14ac:dyDescent="0.3">
      <c r="B7" s="811"/>
      <c r="C7" s="811"/>
      <c r="D7" s="811"/>
      <c r="E7" s="811"/>
      <c r="F7" s="811"/>
      <c r="G7" s="811"/>
      <c r="H7" s="814"/>
      <c r="I7" s="814"/>
    </row>
    <row r="8" spans="1:9" s="809" customFormat="1" x14ac:dyDescent="0.3">
      <c r="B8" s="811"/>
      <c r="C8" s="811"/>
      <c r="D8" s="811"/>
      <c r="E8" s="811"/>
      <c r="F8" s="811"/>
      <c r="G8" s="811"/>
      <c r="H8" s="814"/>
      <c r="I8" s="814"/>
    </row>
    <row r="9" spans="1:9" s="809" customFormat="1" x14ac:dyDescent="0.3">
      <c r="B9" s="811"/>
      <c r="C9" s="811"/>
      <c r="D9" s="811"/>
      <c r="E9" s="811"/>
      <c r="F9" s="811"/>
      <c r="G9" s="811"/>
      <c r="H9" s="814"/>
      <c r="I9" s="814"/>
    </row>
    <row r="10" spans="1:9" s="809" customFormat="1" x14ac:dyDescent="0.3">
      <c r="B10" s="811"/>
      <c r="C10" s="811"/>
      <c r="D10" s="811"/>
      <c r="E10" s="811"/>
      <c r="F10" s="811"/>
      <c r="G10" s="811"/>
      <c r="H10" s="814"/>
      <c r="I10" s="814"/>
    </row>
    <row r="11" spans="1:9" s="809" customFormat="1" x14ac:dyDescent="0.3">
      <c r="B11" s="811"/>
      <c r="C11" s="811"/>
      <c r="D11" s="811"/>
      <c r="E11" s="811"/>
      <c r="F11" s="811"/>
      <c r="G11" s="811"/>
      <c r="H11" s="814"/>
      <c r="I11" s="814"/>
    </row>
    <row r="12" spans="1:9" s="809" customFormat="1" x14ac:dyDescent="0.3">
      <c r="B12" s="811"/>
      <c r="C12" s="811"/>
      <c r="D12" s="811"/>
      <c r="E12" s="811"/>
      <c r="F12" s="811"/>
      <c r="G12" s="811"/>
      <c r="H12" s="814"/>
      <c r="I12" s="814"/>
    </row>
    <row r="13" spans="1:9" s="809" customFormat="1" x14ac:dyDescent="0.3">
      <c r="B13" s="811"/>
      <c r="C13" s="811"/>
      <c r="D13" s="811"/>
      <c r="E13" s="811"/>
      <c r="F13" s="811"/>
      <c r="G13" s="811"/>
      <c r="H13" s="814"/>
      <c r="I13" s="814"/>
    </row>
    <row r="14" spans="1:9" s="809" customFormat="1" x14ac:dyDescent="0.3">
      <c r="B14" s="811"/>
      <c r="C14" s="811"/>
      <c r="D14" s="811"/>
      <c r="E14" s="811"/>
      <c r="F14" s="811"/>
      <c r="G14" s="811"/>
      <c r="H14" s="814"/>
      <c r="I14" s="814"/>
    </row>
    <row r="15" spans="1:9" s="809" customFormat="1" x14ac:dyDescent="0.3">
      <c r="B15" s="811"/>
      <c r="C15" s="811"/>
      <c r="D15" s="811"/>
      <c r="E15" s="811"/>
      <c r="F15" s="811"/>
      <c r="G15" s="811"/>
      <c r="H15" s="814"/>
      <c r="I15" s="814"/>
    </row>
    <row r="16" spans="1:9" s="809" customFormat="1" x14ac:dyDescent="0.3">
      <c r="B16" s="811"/>
      <c r="C16" s="811"/>
      <c r="D16" s="811"/>
      <c r="E16" s="811"/>
      <c r="F16" s="811"/>
      <c r="G16" s="811"/>
      <c r="H16" s="814"/>
      <c r="I16" s="814"/>
    </row>
    <row r="17" spans="2:16" s="809" customFormat="1" x14ac:dyDescent="0.3">
      <c r="B17" s="811"/>
      <c r="C17" s="811"/>
      <c r="D17" s="811"/>
      <c r="E17" s="811"/>
      <c r="F17" s="811"/>
      <c r="G17" s="811"/>
      <c r="H17" s="814"/>
      <c r="I17" s="814"/>
    </row>
    <row r="18" spans="2:16" s="809" customFormat="1" x14ac:dyDescent="0.3">
      <c r="B18" s="811"/>
      <c r="C18" s="811"/>
      <c r="D18" s="811"/>
      <c r="E18" s="811"/>
      <c r="F18" s="811"/>
      <c r="G18" s="811"/>
      <c r="H18" s="814"/>
      <c r="I18" s="814"/>
    </row>
    <row r="19" spans="2:16" s="809" customFormat="1" x14ac:dyDescent="0.3">
      <c r="B19" s="811"/>
      <c r="C19" s="811"/>
      <c r="D19" s="811"/>
      <c r="E19" s="811"/>
      <c r="F19" s="811"/>
      <c r="G19" s="811"/>
      <c r="H19" s="814"/>
      <c r="I19" s="814"/>
    </row>
    <row r="20" spans="2:16" s="809" customFormat="1" x14ac:dyDescent="0.3">
      <c r="B20" s="811"/>
      <c r="C20" s="811"/>
      <c r="D20" s="811"/>
      <c r="E20" s="811"/>
      <c r="F20" s="811"/>
      <c r="G20" s="811"/>
      <c r="H20" s="814"/>
      <c r="I20" s="814"/>
    </row>
    <row r="21" spans="2:16" s="809" customFormat="1" x14ac:dyDescent="0.3">
      <c r="B21" s="811"/>
      <c r="C21" s="811"/>
      <c r="D21" s="811"/>
      <c r="E21" s="811"/>
      <c r="F21" s="811"/>
      <c r="G21" s="811"/>
      <c r="H21" s="814"/>
      <c r="I21" s="814"/>
    </row>
    <row r="22" spans="2:16" s="809" customFormat="1" x14ac:dyDescent="0.3">
      <c r="B22" s="811"/>
      <c r="C22" s="811"/>
      <c r="D22" s="811"/>
      <c r="E22" s="811"/>
      <c r="F22" s="811"/>
      <c r="G22" s="811"/>
      <c r="H22" s="814"/>
      <c r="I22" s="814"/>
    </row>
    <row r="23" spans="2:16" s="809" customFormat="1" x14ac:dyDescent="0.3">
      <c r="B23" s="811"/>
      <c r="C23" s="811"/>
      <c r="D23" s="811"/>
      <c r="E23" s="811"/>
      <c r="F23" s="811"/>
      <c r="G23" s="811"/>
      <c r="H23" s="814"/>
      <c r="I23" s="814"/>
    </row>
    <row r="24" spans="2:16" s="809" customFormat="1" x14ac:dyDescent="0.3">
      <c r="B24" s="811"/>
      <c r="C24" s="811"/>
      <c r="D24" s="811"/>
      <c r="E24" s="811"/>
      <c r="F24" s="811"/>
      <c r="G24" s="811"/>
      <c r="H24" s="814"/>
      <c r="I24" s="814"/>
    </row>
    <row r="25" spans="2:16" x14ac:dyDescent="0.3">
      <c r="B25" s="812"/>
      <c r="C25" s="812"/>
      <c r="D25" s="812"/>
      <c r="E25" s="812"/>
      <c r="F25" s="812"/>
      <c r="G25" s="812"/>
      <c r="H25" s="815"/>
      <c r="I25" s="815"/>
      <c r="K25" s="191"/>
      <c r="L25" s="191"/>
      <c r="M25" s="191"/>
      <c r="N25" s="191"/>
      <c r="O25" s="191"/>
    </row>
    <row r="26" spans="2:16" ht="16.2" thickBot="1" x14ac:dyDescent="0.35">
      <c r="B26" s="844" t="s">
        <v>1997</v>
      </c>
      <c r="C26" s="845" t="s">
        <v>2262</v>
      </c>
      <c r="D26" s="845" t="s">
        <v>2282</v>
      </c>
      <c r="E26" s="845" t="s">
        <v>2283</v>
      </c>
      <c r="F26" s="845" t="s">
        <v>1261</v>
      </c>
      <c r="G26" s="845" t="s">
        <v>2284</v>
      </c>
      <c r="H26" s="845" t="s">
        <v>1241</v>
      </c>
      <c r="I26" s="846" t="s">
        <v>1279</v>
      </c>
      <c r="J26"/>
      <c r="K26" s="842" t="s">
        <v>1997</v>
      </c>
      <c r="L26" s="842" t="s">
        <v>2262</v>
      </c>
      <c r="M26" s="842" t="s">
        <v>2263</v>
      </c>
      <c r="N26" s="842" t="s">
        <v>2271</v>
      </c>
      <c r="O26" s="842" t="s">
        <v>1104</v>
      </c>
      <c r="P26"/>
    </row>
    <row r="27" spans="2:16" x14ac:dyDescent="0.3">
      <c r="B27" s="822">
        <v>2025</v>
      </c>
      <c r="C27" s="823" t="s">
        <v>2268</v>
      </c>
      <c r="D27" s="824">
        <v>641.625</v>
      </c>
      <c r="E27" s="824">
        <v>156.535</v>
      </c>
      <c r="F27" s="824">
        <v>5736.4769999999999</v>
      </c>
      <c r="G27" s="824">
        <v>8798.3140000000003</v>
      </c>
      <c r="H27" s="824">
        <v>22.975999999999999</v>
      </c>
      <c r="I27" s="852">
        <v>10.938000000000001</v>
      </c>
      <c r="J27"/>
      <c r="P27"/>
    </row>
    <row r="28" spans="2:16" x14ac:dyDescent="0.3">
      <c r="B28" s="827">
        <v>2025</v>
      </c>
      <c r="C28" s="828" t="s">
        <v>2269</v>
      </c>
      <c r="D28" s="829">
        <v>636.99800000000005</v>
      </c>
      <c r="E28" s="829">
        <v>156.535</v>
      </c>
      <c r="F28" s="829">
        <v>5706.0739999999996</v>
      </c>
      <c r="G28" s="829">
        <v>8831.0130000000008</v>
      </c>
      <c r="H28" s="829">
        <v>23.66</v>
      </c>
      <c r="I28" s="853">
        <v>10.756</v>
      </c>
      <c r="J28"/>
      <c r="P28"/>
    </row>
    <row r="29" spans="2:16" x14ac:dyDescent="0.3">
      <c r="B29" s="827">
        <v>2030</v>
      </c>
      <c r="C29" s="828" t="s">
        <v>2268</v>
      </c>
      <c r="D29" s="829">
        <v>642.66899999999998</v>
      </c>
      <c r="E29" s="829">
        <v>156.535</v>
      </c>
      <c r="F29" s="829">
        <v>5951.9629999999997</v>
      </c>
      <c r="G29" s="829">
        <v>9705.6640000000007</v>
      </c>
      <c r="H29" s="829">
        <v>23.376999999999999</v>
      </c>
      <c r="I29" s="853">
        <v>10.173</v>
      </c>
    </row>
    <row r="30" spans="2:16" x14ac:dyDescent="0.3">
      <c r="B30" s="827">
        <v>2030</v>
      </c>
      <c r="C30" s="828" t="s">
        <v>2269</v>
      </c>
      <c r="D30" s="829">
        <v>662.43299999999999</v>
      </c>
      <c r="E30" s="829">
        <v>156.535</v>
      </c>
      <c r="F30" s="829">
        <v>5948.3540000000003</v>
      </c>
      <c r="G30" s="829">
        <v>10162.974</v>
      </c>
      <c r="H30" s="829">
        <v>24.158000000000001</v>
      </c>
      <c r="I30" s="853">
        <v>10.454000000000001</v>
      </c>
    </row>
    <row r="31" spans="2:16" x14ac:dyDescent="0.3">
      <c r="B31" s="827">
        <v>2033</v>
      </c>
      <c r="C31" s="828" t="s">
        <v>2268</v>
      </c>
      <c r="D31" s="829">
        <v>739.82100000000003</v>
      </c>
      <c r="E31" s="829">
        <v>156.535</v>
      </c>
      <c r="F31" s="829">
        <v>6326.98</v>
      </c>
      <c r="G31" s="829">
        <v>10687.172</v>
      </c>
      <c r="H31" s="829">
        <v>25.317</v>
      </c>
      <c r="I31" s="853">
        <v>11.068</v>
      </c>
    </row>
    <row r="32" spans="2:16" x14ac:dyDescent="0.3">
      <c r="B32" s="827">
        <v>2033</v>
      </c>
      <c r="C32" s="828" t="s">
        <v>2269</v>
      </c>
      <c r="D32" s="829">
        <v>857.62599999999998</v>
      </c>
      <c r="E32" s="829">
        <v>156.535</v>
      </c>
      <c r="F32" s="829">
        <v>6501.4769999999999</v>
      </c>
      <c r="G32" s="829">
        <v>11653.002</v>
      </c>
      <c r="H32" s="829">
        <v>28.802</v>
      </c>
      <c r="I32" s="853">
        <v>13.045</v>
      </c>
    </row>
    <row r="33" spans="2:9" x14ac:dyDescent="0.3">
      <c r="B33" s="827">
        <v>2038</v>
      </c>
      <c r="C33" s="828" t="s">
        <v>2268</v>
      </c>
      <c r="D33" s="829">
        <v>1080.316</v>
      </c>
      <c r="E33" s="829">
        <v>156.535</v>
      </c>
      <c r="F33" s="829">
        <v>7502.89</v>
      </c>
      <c r="G33" s="829">
        <v>13152.686</v>
      </c>
      <c r="H33" s="829">
        <v>32.799999999999997</v>
      </c>
      <c r="I33" s="853">
        <v>15.074</v>
      </c>
    </row>
    <row r="34" spans="2:9" x14ac:dyDescent="0.3">
      <c r="B34" s="827"/>
      <c r="D34" s="829"/>
      <c r="E34" s="829"/>
      <c r="F34" s="829"/>
      <c r="G34" s="829"/>
      <c r="H34" s="829"/>
      <c r="I34" s="853"/>
    </row>
    <row r="35" spans="2:9" x14ac:dyDescent="0.3">
      <c r="B35" s="827"/>
      <c r="D35" s="829"/>
      <c r="E35" s="829"/>
      <c r="F35" s="829"/>
      <c r="G35" s="829"/>
      <c r="H35" s="829"/>
      <c r="I35" s="853"/>
    </row>
    <row r="36" spans="2:9" x14ac:dyDescent="0.3">
      <c r="B36" s="827"/>
      <c r="D36" s="829"/>
      <c r="E36" s="829"/>
      <c r="F36" s="829"/>
      <c r="G36" s="829"/>
      <c r="H36" s="829"/>
      <c r="I36" s="853"/>
    </row>
    <row r="37" spans="2:9" x14ac:dyDescent="0.3">
      <c r="B37" s="827"/>
      <c r="D37" s="829"/>
      <c r="E37" s="829"/>
      <c r="F37" s="829"/>
      <c r="G37" s="829"/>
      <c r="H37" s="829"/>
      <c r="I37" s="853"/>
    </row>
    <row r="38" spans="2:9" x14ac:dyDescent="0.3">
      <c r="B38" s="827"/>
      <c r="D38" s="829"/>
      <c r="E38" s="829"/>
      <c r="F38" s="829"/>
      <c r="G38" s="829"/>
      <c r="H38" s="829"/>
      <c r="I38" s="853"/>
    </row>
    <row r="39" spans="2:9" x14ac:dyDescent="0.3">
      <c r="B39" s="827"/>
      <c r="D39" s="829"/>
      <c r="E39" s="829"/>
      <c r="F39" s="829"/>
      <c r="G39" s="829"/>
      <c r="H39" s="829"/>
      <c r="I39" s="853"/>
    </row>
    <row r="40" spans="2:9" x14ac:dyDescent="0.3">
      <c r="B40" s="827"/>
      <c r="D40" s="829"/>
      <c r="E40" s="829"/>
      <c r="F40" s="829"/>
      <c r="G40" s="829"/>
      <c r="H40" s="829"/>
      <c r="I40" s="853"/>
    </row>
    <row r="41" spans="2:9" x14ac:dyDescent="0.3">
      <c r="B41" s="827"/>
      <c r="D41" s="829"/>
      <c r="E41" s="829"/>
      <c r="F41" s="829"/>
      <c r="G41" s="829"/>
      <c r="H41" s="829"/>
      <c r="I41" s="853"/>
    </row>
    <row r="42" spans="2:9" x14ac:dyDescent="0.3">
      <c r="B42" s="827"/>
      <c r="D42" s="829"/>
      <c r="E42" s="829"/>
      <c r="F42" s="829"/>
      <c r="G42" s="829"/>
      <c r="H42" s="829"/>
      <c r="I42" s="853"/>
    </row>
    <row r="43" spans="2:9" x14ac:dyDescent="0.3">
      <c r="B43" s="827"/>
      <c r="D43" s="829"/>
      <c r="E43" s="829"/>
      <c r="F43" s="829"/>
      <c r="G43" s="829"/>
      <c r="H43" s="829"/>
      <c r="I43" s="853"/>
    </row>
    <row r="44" spans="2:9" x14ac:dyDescent="0.3">
      <c r="B44" s="827"/>
      <c r="D44" s="829"/>
      <c r="E44" s="829"/>
      <c r="F44" s="829"/>
      <c r="G44" s="829"/>
      <c r="H44" s="829"/>
      <c r="I44" s="853"/>
    </row>
    <row r="45" spans="2:9" x14ac:dyDescent="0.3">
      <c r="B45" s="827"/>
      <c r="D45" s="829"/>
      <c r="E45" s="829"/>
      <c r="F45" s="829"/>
      <c r="G45" s="829"/>
      <c r="H45" s="829"/>
      <c r="I45" s="853"/>
    </row>
    <row r="46" spans="2:9" x14ac:dyDescent="0.3">
      <c r="B46" s="827"/>
      <c r="D46" s="829"/>
      <c r="E46" s="829"/>
      <c r="F46" s="829"/>
      <c r="G46" s="829"/>
      <c r="H46" s="829"/>
      <c r="I46" s="853"/>
    </row>
    <row r="47" spans="2:9" x14ac:dyDescent="0.3">
      <c r="B47" s="827"/>
      <c r="D47" s="829"/>
      <c r="E47" s="829"/>
      <c r="F47" s="829"/>
      <c r="G47" s="829"/>
      <c r="H47" s="829"/>
      <c r="I47" s="853"/>
    </row>
    <row r="48" spans="2:9" x14ac:dyDescent="0.3">
      <c r="B48" s="827"/>
      <c r="D48" s="829"/>
      <c r="E48" s="829"/>
      <c r="F48" s="829"/>
      <c r="G48" s="829"/>
      <c r="H48" s="829"/>
      <c r="I48" s="853"/>
    </row>
    <row r="49" spans="2:9" x14ac:dyDescent="0.3">
      <c r="B49" s="827"/>
      <c r="D49" s="829"/>
      <c r="E49" s="829"/>
      <c r="F49" s="829"/>
      <c r="G49" s="829"/>
      <c r="H49" s="829"/>
      <c r="I49" s="853"/>
    </row>
    <row r="50" spans="2:9" x14ac:dyDescent="0.3">
      <c r="B50" s="827"/>
      <c r="D50" s="829"/>
      <c r="E50" s="829"/>
      <c r="F50" s="829"/>
      <c r="G50" s="829"/>
      <c r="H50" s="829"/>
      <c r="I50" s="853"/>
    </row>
    <row r="51" spans="2:9" x14ac:dyDescent="0.3">
      <c r="B51" s="827"/>
      <c r="D51" s="829"/>
      <c r="E51" s="829"/>
      <c r="F51" s="829"/>
      <c r="G51" s="829"/>
      <c r="H51" s="829"/>
      <c r="I51" s="853"/>
    </row>
    <row r="52" spans="2:9" x14ac:dyDescent="0.3">
      <c r="B52" s="827"/>
      <c r="D52" s="829"/>
      <c r="E52" s="829"/>
      <c r="F52" s="829"/>
      <c r="G52" s="829"/>
      <c r="H52" s="829"/>
      <c r="I52" s="853"/>
    </row>
    <row r="53" spans="2:9" x14ac:dyDescent="0.3">
      <c r="B53" s="827"/>
      <c r="D53" s="829"/>
      <c r="E53" s="829"/>
      <c r="F53" s="829"/>
      <c r="G53" s="829"/>
      <c r="H53" s="829"/>
      <c r="I53" s="853"/>
    </row>
    <row r="54" spans="2:9" x14ac:dyDescent="0.3">
      <c r="B54" s="827"/>
      <c r="D54" s="829"/>
      <c r="E54" s="829"/>
      <c r="F54" s="829"/>
      <c r="G54" s="829"/>
      <c r="H54" s="829"/>
      <c r="I54" s="853"/>
    </row>
    <row r="55" spans="2:9" x14ac:dyDescent="0.3">
      <c r="B55" s="827"/>
      <c r="D55" s="829"/>
      <c r="E55" s="829"/>
      <c r="F55" s="829"/>
      <c r="G55" s="829"/>
      <c r="H55" s="829"/>
      <c r="I55" s="853"/>
    </row>
    <row r="56" spans="2:9" x14ac:dyDescent="0.3">
      <c r="B56" s="827"/>
      <c r="D56" s="829"/>
      <c r="E56" s="829"/>
      <c r="F56" s="829"/>
      <c r="G56" s="829"/>
      <c r="H56" s="829"/>
      <c r="I56" s="853"/>
    </row>
    <row r="57" spans="2:9" x14ac:dyDescent="0.3">
      <c r="B57" s="827"/>
      <c r="D57" s="829"/>
      <c r="E57" s="829"/>
      <c r="F57" s="829"/>
      <c r="G57" s="829"/>
      <c r="H57" s="829"/>
      <c r="I57" s="853"/>
    </row>
    <row r="58" spans="2:9" x14ac:dyDescent="0.3">
      <c r="B58" s="827"/>
      <c r="D58" s="829"/>
      <c r="E58" s="829"/>
      <c r="F58" s="829"/>
      <c r="G58" s="829"/>
      <c r="H58" s="829"/>
      <c r="I58" s="853"/>
    </row>
    <row r="59" spans="2:9" x14ac:dyDescent="0.3">
      <c r="B59" s="827"/>
      <c r="D59" s="829"/>
      <c r="E59" s="829"/>
      <c r="F59" s="829"/>
      <c r="G59" s="829"/>
      <c r="H59" s="829"/>
      <c r="I59" s="853"/>
    </row>
    <row r="60" spans="2:9" x14ac:dyDescent="0.3">
      <c r="B60" s="827"/>
      <c r="D60" s="829"/>
      <c r="E60" s="829"/>
      <c r="F60" s="829"/>
      <c r="G60" s="829"/>
      <c r="H60" s="829"/>
      <c r="I60" s="853"/>
    </row>
    <row r="61" spans="2:9" x14ac:dyDescent="0.3">
      <c r="B61" s="827"/>
      <c r="D61" s="829"/>
      <c r="E61" s="829"/>
      <c r="F61" s="829"/>
      <c r="G61" s="829"/>
      <c r="H61" s="829"/>
      <c r="I61" s="853"/>
    </row>
    <row r="62" spans="2:9" x14ac:dyDescent="0.3">
      <c r="B62" s="827"/>
      <c r="D62" s="829"/>
      <c r="E62" s="829"/>
      <c r="F62" s="829"/>
      <c r="G62" s="829"/>
      <c r="H62" s="829"/>
      <c r="I62" s="853"/>
    </row>
    <row r="63" spans="2:9" x14ac:dyDescent="0.3">
      <c r="B63" s="827"/>
      <c r="D63" s="829"/>
      <c r="E63" s="829"/>
      <c r="F63" s="829"/>
      <c r="G63" s="829"/>
      <c r="H63" s="829"/>
      <c r="I63" s="853"/>
    </row>
    <row r="64" spans="2:9" x14ac:dyDescent="0.3">
      <c r="B64" s="827"/>
      <c r="D64" s="829"/>
      <c r="E64" s="829"/>
      <c r="F64" s="829"/>
      <c r="G64" s="829"/>
      <c r="H64" s="829"/>
      <c r="I64" s="853"/>
    </row>
    <row r="65" spans="2:9" x14ac:dyDescent="0.3">
      <c r="B65" s="827"/>
      <c r="D65" s="829"/>
      <c r="E65" s="829"/>
      <c r="F65" s="829"/>
      <c r="G65" s="829"/>
      <c r="H65" s="829"/>
      <c r="I65" s="853"/>
    </row>
    <row r="66" spans="2:9" x14ac:dyDescent="0.3">
      <c r="B66" s="827"/>
      <c r="D66" s="829"/>
      <c r="E66" s="829"/>
      <c r="F66" s="829"/>
      <c r="G66" s="829"/>
      <c r="H66" s="829"/>
      <c r="I66" s="853"/>
    </row>
    <row r="67" spans="2:9" x14ac:dyDescent="0.3">
      <c r="B67" s="827"/>
      <c r="D67" s="829"/>
      <c r="E67" s="829"/>
      <c r="F67" s="829"/>
      <c r="G67" s="829"/>
      <c r="H67" s="829"/>
      <c r="I67" s="853"/>
    </row>
    <row r="68" spans="2:9" x14ac:dyDescent="0.3">
      <c r="B68" s="827"/>
      <c r="D68" s="829"/>
      <c r="E68" s="829"/>
      <c r="F68" s="829"/>
      <c r="G68" s="829"/>
      <c r="H68" s="829"/>
      <c r="I68" s="853"/>
    </row>
    <row r="69" spans="2:9" x14ac:dyDescent="0.3">
      <c r="B69" s="827"/>
      <c r="D69" s="829"/>
      <c r="E69" s="829"/>
      <c r="F69" s="829"/>
      <c r="G69" s="829"/>
      <c r="H69" s="829"/>
      <c r="I69" s="853"/>
    </row>
    <row r="70" spans="2:9" x14ac:dyDescent="0.3">
      <c r="B70" s="827"/>
      <c r="D70" s="829"/>
      <c r="E70" s="829"/>
      <c r="F70" s="829"/>
      <c r="G70" s="829"/>
      <c r="H70" s="829"/>
      <c r="I70" s="853"/>
    </row>
    <row r="71" spans="2:9" x14ac:dyDescent="0.3">
      <c r="B71" s="827"/>
      <c r="D71" s="829"/>
      <c r="E71" s="829"/>
      <c r="F71" s="829"/>
      <c r="G71" s="829"/>
      <c r="H71" s="829"/>
      <c r="I71" s="853"/>
    </row>
    <row r="72" spans="2:9" x14ac:dyDescent="0.3">
      <c r="B72" s="827"/>
      <c r="D72" s="829"/>
      <c r="E72" s="829"/>
      <c r="F72" s="829"/>
      <c r="G72" s="829"/>
      <c r="H72" s="829"/>
      <c r="I72" s="853"/>
    </row>
    <row r="73" spans="2:9" x14ac:dyDescent="0.3">
      <c r="B73" s="827"/>
      <c r="D73" s="829"/>
      <c r="E73" s="829"/>
      <c r="F73" s="829"/>
      <c r="G73" s="829"/>
      <c r="H73" s="829"/>
      <c r="I73" s="853"/>
    </row>
    <row r="74" spans="2:9" x14ac:dyDescent="0.3">
      <c r="B74" s="827"/>
      <c r="D74" s="829"/>
      <c r="E74" s="829"/>
      <c r="F74" s="829"/>
      <c r="G74" s="829"/>
      <c r="H74" s="829"/>
      <c r="I74" s="853"/>
    </row>
    <row r="75" spans="2:9" x14ac:dyDescent="0.3">
      <c r="B75" s="827"/>
      <c r="D75" s="829"/>
      <c r="E75" s="829"/>
      <c r="F75" s="829"/>
      <c r="G75" s="829"/>
      <c r="H75" s="829"/>
      <c r="I75" s="853"/>
    </row>
    <row r="76" spans="2:9" x14ac:dyDescent="0.3">
      <c r="B76" s="827"/>
      <c r="D76" s="829"/>
      <c r="E76" s="829"/>
      <c r="F76" s="829"/>
      <c r="G76" s="829"/>
      <c r="H76" s="829"/>
      <c r="I76" s="853"/>
    </row>
    <row r="77" spans="2:9" x14ac:dyDescent="0.3">
      <c r="B77" s="827"/>
      <c r="D77" s="829"/>
      <c r="E77" s="829"/>
      <c r="F77" s="829"/>
      <c r="G77" s="829"/>
      <c r="H77" s="829"/>
      <c r="I77" s="853"/>
    </row>
    <row r="78" spans="2:9" x14ac:dyDescent="0.3">
      <c r="B78" s="827"/>
      <c r="D78" s="829"/>
      <c r="E78" s="829"/>
      <c r="F78" s="829"/>
      <c r="G78" s="829"/>
      <c r="H78" s="829"/>
      <c r="I78" s="853"/>
    </row>
    <row r="79" spans="2:9" x14ac:dyDescent="0.3">
      <c r="B79" s="827"/>
      <c r="D79" s="829"/>
      <c r="E79" s="829"/>
      <c r="F79" s="829"/>
      <c r="G79" s="829"/>
      <c r="H79" s="829"/>
      <c r="I79" s="853"/>
    </row>
    <row r="80" spans="2:9" x14ac:dyDescent="0.3">
      <c r="B80" s="827"/>
      <c r="D80" s="829"/>
      <c r="E80" s="829"/>
      <c r="F80" s="829"/>
      <c r="G80" s="829"/>
      <c r="H80" s="829"/>
      <c r="I80" s="853"/>
    </row>
    <row r="81" spans="2:9" x14ac:dyDescent="0.3">
      <c r="B81" s="827"/>
      <c r="D81" s="829"/>
      <c r="E81" s="829"/>
      <c r="F81" s="829"/>
      <c r="G81" s="829"/>
      <c r="H81" s="829"/>
      <c r="I81" s="853"/>
    </row>
    <row r="82" spans="2:9" x14ac:dyDescent="0.3">
      <c r="B82" s="827"/>
      <c r="D82" s="829"/>
      <c r="E82" s="829"/>
      <c r="F82" s="829"/>
      <c r="G82" s="829"/>
      <c r="H82" s="829"/>
      <c r="I82" s="853"/>
    </row>
    <row r="83" spans="2:9" x14ac:dyDescent="0.3">
      <c r="B83" s="827"/>
      <c r="D83" s="829"/>
      <c r="E83" s="829"/>
      <c r="F83" s="829"/>
      <c r="G83" s="829"/>
      <c r="H83" s="829"/>
      <c r="I83" s="853"/>
    </row>
    <row r="84" spans="2:9" x14ac:dyDescent="0.3">
      <c r="B84" s="827"/>
      <c r="D84" s="829"/>
      <c r="E84" s="829"/>
      <c r="F84" s="829"/>
      <c r="G84" s="829"/>
      <c r="H84" s="829"/>
      <c r="I84" s="853"/>
    </row>
    <row r="85" spans="2:9" x14ac:dyDescent="0.3">
      <c r="B85" s="827"/>
      <c r="D85" s="829"/>
      <c r="E85" s="829"/>
      <c r="F85" s="829"/>
      <c r="G85" s="829"/>
      <c r="H85" s="829"/>
      <c r="I85" s="853"/>
    </row>
    <row r="86" spans="2:9" x14ac:dyDescent="0.3">
      <c r="B86" s="827"/>
      <c r="D86" s="829"/>
      <c r="E86" s="829"/>
      <c r="F86" s="829"/>
      <c r="G86" s="829"/>
      <c r="H86" s="829"/>
      <c r="I86" s="853"/>
    </row>
    <row r="87" spans="2:9" x14ac:dyDescent="0.3">
      <c r="B87" s="827"/>
      <c r="D87" s="829"/>
      <c r="E87" s="829"/>
      <c r="F87" s="829"/>
      <c r="G87" s="829"/>
      <c r="H87" s="829"/>
      <c r="I87" s="853"/>
    </row>
    <row r="88" spans="2:9" x14ac:dyDescent="0.3">
      <c r="B88" s="827"/>
      <c r="D88" s="829"/>
      <c r="E88" s="829"/>
      <c r="F88" s="829"/>
      <c r="G88" s="829"/>
      <c r="H88" s="829"/>
      <c r="I88" s="853"/>
    </row>
    <row r="89" spans="2:9" x14ac:dyDescent="0.3">
      <c r="B89" s="827"/>
      <c r="D89" s="829"/>
      <c r="E89" s="829"/>
      <c r="F89" s="829"/>
      <c r="G89" s="829"/>
      <c r="H89" s="829"/>
      <c r="I89" s="853"/>
    </row>
    <row r="90" spans="2:9" x14ac:dyDescent="0.3">
      <c r="B90" s="827"/>
      <c r="D90" s="829"/>
      <c r="E90" s="829"/>
      <c r="F90" s="829"/>
      <c r="G90" s="829"/>
      <c r="H90" s="829"/>
      <c r="I90" s="853"/>
    </row>
    <row r="91" spans="2:9" x14ac:dyDescent="0.3">
      <c r="B91" s="827"/>
      <c r="D91" s="829"/>
      <c r="E91" s="829"/>
      <c r="F91" s="829"/>
      <c r="G91" s="829"/>
      <c r="H91" s="829"/>
      <c r="I91" s="853"/>
    </row>
    <row r="92" spans="2:9" x14ac:dyDescent="0.3">
      <c r="B92" s="827"/>
      <c r="D92" s="829"/>
      <c r="E92" s="829"/>
      <c r="F92" s="829"/>
      <c r="G92" s="829"/>
      <c r="H92" s="829"/>
      <c r="I92" s="853"/>
    </row>
    <row r="93" spans="2:9" x14ac:dyDescent="0.3">
      <c r="B93" s="827"/>
      <c r="D93" s="829"/>
      <c r="E93" s="829"/>
      <c r="F93" s="829"/>
      <c r="G93" s="829"/>
      <c r="H93" s="829"/>
      <c r="I93" s="853"/>
    </row>
    <row r="94" spans="2:9" x14ac:dyDescent="0.3">
      <c r="B94" s="827"/>
      <c r="D94" s="829"/>
      <c r="E94" s="829"/>
      <c r="F94" s="829"/>
      <c r="G94" s="829"/>
      <c r="H94" s="829"/>
      <c r="I94" s="853"/>
    </row>
    <row r="95" spans="2:9" x14ac:dyDescent="0.3">
      <c r="B95" s="827"/>
      <c r="D95" s="829"/>
      <c r="E95" s="829"/>
      <c r="F95" s="829"/>
      <c r="G95" s="829"/>
      <c r="H95" s="829"/>
      <c r="I95" s="853"/>
    </row>
    <row r="96" spans="2:9" x14ac:dyDescent="0.3">
      <c r="B96" s="827"/>
      <c r="D96" s="829"/>
      <c r="E96" s="829"/>
      <c r="F96" s="829"/>
      <c r="G96" s="829"/>
      <c r="H96" s="829"/>
      <c r="I96" s="853"/>
    </row>
    <row r="97" spans="2:9" x14ac:dyDescent="0.3">
      <c r="B97" s="827"/>
      <c r="D97" s="829"/>
      <c r="E97" s="829"/>
      <c r="F97" s="829"/>
      <c r="G97" s="829"/>
      <c r="H97" s="829"/>
      <c r="I97" s="853"/>
    </row>
    <row r="98" spans="2:9" x14ac:dyDescent="0.3">
      <c r="B98" s="827"/>
      <c r="D98" s="829"/>
      <c r="E98" s="829"/>
      <c r="F98" s="829"/>
      <c r="G98" s="829"/>
      <c r="H98" s="829"/>
      <c r="I98" s="853"/>
    </row>
    <row r="99" spans="2:9" x14ac:dyDescent="0.3">
      <c r="B99" s="827"/>
      <c r="D99" s="829"/>
      <c r="E99" s="829"/>
      <c r="F99" s="829"/>
      <c r="G99" s="829"/>
      <c r="H99" s="829"/>
      <c r="I99" s="853"/>
    </row>
    <row r="100" spans="2:9" x14ac:dyDescent="0.3">
      <c r="B100" s="827"/>
      <c r="D100" s="829"/>
      <c r="E100" s="829"/>
      <c r="F100" s="829"/>
      <c r="G100" s="829"/>
      <c r="H100" s="829"/>
      <c r="I100" s="853"/>
    </row>
    <row r="101" spans="2:9" x14ac:dyDescent="0.3">
      <c r="B101" s="827"/>
      <c r="D101" s="829"/>
      <c r="E101" s="829"/>
      <c r="F101" s="829"/>
      <c r="G101" s="829"/>
      <c r="H101" s="829"/>
      <c r="I101" s="853"/>
    </row>
    <row r="102" spans="2:9" x14ac:dyDescent="0.3">
      <c r="B102" s="827"/>
      <c r="D102" s="829"/>
      <c r="E102" s="829"/>
      <c r="F102" s="829"/>
      <c r="G102" s="829"/>
      <c r="H102" s="829"/>
      <c r="I102" s="853"/>
    </row>
    <row r="103" spans="2:9" x14ac:dyDescent="0.3">
      <c r="B103" s="827"/>
      <c r="D103" s="829"/>
      <c r="E103" s="829"/>
      <c r="F103" s="829"/>
      <c r="G103" s="829"/>
      <c r="H103" s="829"/>
      <c r="I103" s="853"/>
    </row>
    <row r="104" spans="2:9" x14ac:dyDescent="0.3">
      <c r="B104" s="827"/>
      <c r="D104" s="829"/>
      <c r="E104" s="829"/>
      <c r="F104" s="829"/>
      <c r="G104" s="829"/>
      <c r="H104" s="829"/>
      <c r="I104" s="853"/>
    </row>
    <row r="105" spans="2:9" x14ac:dyDescent="0.3">
      <c r="B105" s="827"/>
      <c r="D105" s="829"/>
      <c r="E105" s="829"/>
      <c r="F105" s="829"/>
      <c r="G105" s="829"/>
      <c r="H105" s="829"/>
      <c r="I105" s="853"/>
    </row>
    <row r="106" spans="2:9" x14ac:dyDescent="0.3">
      <c r="B106" s="827"/>
      <c r="D106" s="829"/>
      <c r="E106" s="829"/>
      <c r="F106" s="829"/>
      <c r="G106" s="829"/>
      <c r="H106" s="829"/>
      <c r="I106" s="853"/>
    </row>
    <row r="107" spans="2:9" x14ac:dyDescent="0.3">
      <c r="B107" s="827"/>
      <c r="D107" s="829"/>
      <c r="E107" s="829"/>
      <c r="F107" s="829"/>
      <c r="G107" s="829"/>
      <c r="H107" s="829"/>
      <c r="I107" s="853"/>
    </row>
    <row r="108" spans="2:9" x14ac:dyDescent="0.3">
      <c r="B108" s="827"/>
      <c r="D108" s="829"/>
      <c r="E108" s="829"/>
      <c r="F108" s="829"/>
      <c r="G108" s="829"/>
      <c r="H108" s="829"/>
      <c r="I108" s="853"/>
    </row>
    <row r="109" spans="2:9" x14ac:dyDescent="0.3">
      <c r="B109" s="827"/>
      <c r="D109" s="829"/>
      <c r="E109" s="829"/>
      <c r="F109" s="829"/>
      <c r="G109" s="829"/>
      <c r="H109" s="829"/>
      <c r="I109" s="853"/>
    </row>
    <row r="110" spans="2:9" x14ac:dyDescent="0.3">
      <c r="B110" s="827"/>
      <c r="D110" s="829"/>
      <c r="E110" s="829"/>
      <c r="F110" s="829"/>
      <c r="G110" s="829"/>
      <c r="H110" s="829"/>
      <c r="I110" s="853"/>
    </row>
    <row r="111" spans="2:9" x14ac:dyDescent="0.3">
      <c r="B111" s="827"/>
      <c r="D111" s="829"/>
      <c r="E111" s="829"/>
      <c r="F111" s="829"/>
      <c r="G111" s="829"/>
      <c r="H111" s="829"/>
      <c r="I111" s="853"/>
    </row>
    <row r="112" spans="2:9" x14ac:dyDescent="0.3">
      <c r="B112" s="827"/>
      <c r="D112" s="829"/>
      <c r="E112" s="829"/>
      <c r="F112" s="829"/>
      <c r="G112" s="829"/>
      <c r="H112" s="829"/>
      <c r="I112" s="853"/>
    </row>
    <row r="113" spans="2:9" x14ac:dyDescent="0.3">
      <c r="B113" s="827"/>
      <c r="D113" s="829"/>
      <c r="E113" s="829"/>
      <c r="F113" s="829"/>
      <c r="G113" s="829"/>
      <c r="H113" s="829"/>
      <c r="I113" s="853"/>
    </row>
    <row r="114" spans="2:9" x14ac:dyDescent="0.3">
      <c r="B114" s="827"/>
      <c r="D114" s="829"/>
      <c r="E114" s="829"/>
      <c r="F114" s="829"/>
      <c r="G114" s="829"/>
      <c r="H114" s="829"/>
      <c r="I114" s="853"/>
    </row>
    <row r="115" spans="2:9" x14ac:dyDescent="0.3">
      <c r="B115" s="827"/>
      <c r="D115" s="829"/>
      <c r="E115" s="829"/>
      <c r="F115" s="829"/>
      <c r="G115" s="829"/>
      <c r="H115" s="829"/>
      <c r="I115" s="853"/>
    </row>
    <row r="116" spans="2:9" x14ac:dyDescent="0.3">
      <c r="B116" s="827"/>
      <c r="D116" s="829"/>
      <c r="E116" s="829"/>
      <c r="F116" s="829"/>
      <c r="G116" s="829"/>
      <c r="H116" s="829"/>
      <c r="I116" s="853"/>
    </row>
    <row r="117" spans="2:9" x14ac:dyDescent="0.3">
      <c r="B117" s="827"/>
      <c r="D117" s="829"/>
      <c r="E117" s="829"/>
      <c r="F117" s="829"/>
      <c r="G117" s="829"/>
      <c r="H117" s="829"/>
      <c r="I117" s="853"/>
    </row>
    <row r="118" spans="2:9" x14ac:dyDescent="0.3">
      <c r="B118" s="827"/>
      <c r="D118" s="829"/>
      <c r="E118" s="829"/>
      <c r="F118" s="829"/>
      <c r="G118" s="829"/>
      <c r="H118" s="829"/>
      <c r="I118" s="853"/>
    </row>
    <row r="119" spans="2:9" x14ac:dyDescent="0.3">
      <c r="B119" s="827"/>
      <c r="D119" s="829"/>
      <c r="E119" s="829"/>
      <c r="F119" s="829"/>
      <c r="G119" s="829"/>
      <c r="H119" s="829"/>
      <c r="I119" s="853"/>
    </row>
    <row r="120" spans="2:9" x14ac:dyDescent="0.3">
      <c r="B120" s="827"/>
      <c r="D120" s="829"/>
      <c r="E120" s="829"/>
      <c r="F120" s="829"/>
      <c r="G120" s="829"/>
      <c r="H120" s="829"/>
      <c r="I120" s="853"/>
    </row>
    <row r="121" spans="2:9" x14ac:dyDescent="0.3">
      <c r="B121" s="827"/>
      <c r="D121" s="829"/>
      <c r="E121" s="829"/>
      <c r="F121" s="829"/>
      <c r="G121" s="829"/>
      <c r="H121" s="829"/>
      <c r="I121" s="853"/>
    </row>
    <row r="122" spans="2:9" x14ac:dyDescent="0.3">
      <c r="B122" s="827"/>
      <c r="D122" s="829"/>
      <c r="E122" s="829"/>
      <c r="F122" s="829"/>
      <c r="G122" s="829"/>
      <c r="H122" s="829"/>
      <c r="I122" s="853"/>
    </row>
    <row r="123" spans="2:9" x14ac:dyDescent="0.3">
      <c r="B123" s="827"/>
      <c r="D123" s="829"/>
      <c r="E123" s="829"/>
      <c r="F123" s="829"/>
      <c r="G123" s="829"/>
      <c r="H123" s="829"/>
      <c r="I123" s="853"/>
    </row>
    <row r="124" spans="2:9" x14ac:dyDescent="0.3">
      <c r="B124" s="827"/>
      <c r="D124" s="829"/>
      <c r="E124" s="829"/>
      <c r="F124" s="829"/>
      <c r="G124" s="829"/>
      <c r="H124" s="829"/>
      <c r="I124" s="853"/>
    </row>
    <row r="125" spans="2:9" x14ac:dyDescent="0.3">
      <c r="B125" s="827"/>
      <c r="D125" s="829"/>
      <c r="E125" s="829"/>
      <c r="F125" s="829"/>
      <c r="G125" s="829"/>
      <c r="H125" s="829"/>
      <c r="I125" s="853"/>
    </row>
    <row r="126" spans="2:9" x14ac:dyDescent="0.3">
      <c r="B126" s="827"/>
      <c r="D126" s="829"/>
      <c r="E126" s="829"/>
      <c r="F126" s="829"/>
      <c r="G126" s="829"/>
      <c r="H126" s="829"/>
      <c r="I126" s="853"/>
    </row>
    <row r="127" spans="2:9" x14ac:dyDescent="0.3">
      <c r="B127" s="827"/>
      <c r="D127" s="829"/>
      <c r="E127" s="829"/>
      <c r="F127" s="829"/>
      <c r="G127" s="829"/>
      <c r="H127" s="829"/>
      <c r="I127" s="853"/>
    </row>
    <row r="128" spans="2:9" x14ac:dyDescent="0.3">
      <c r="B128" s="827"/>
      <c r="D128" s="829"/>
      <c r="E128" s="829"/>
      <c r="F128" s="829"/>
      <c r="G128" s="829"/>
      <c r="H128" s="829"/>
      <c r="I128" s="853"/>
    </row>
    <row r="129" spans="2:9" x14ac:dyDescent="0.3">
      <c r="B129" s="827"/>
      <c r="D129" s="829"/>
      <c r="E129" s="829"/>
      <c r="F129" s="829"/>
      <c r="G129" s="829"/>
      <c r="H129" s="829"/>
      <c r="I129" s="853"/>
    </row>
    <row r="130" spans="2:9" x14ac:dyDescent="0.3">
      <c r="B130" s="827"/>
      <c r="D130" s="829"/>
      <c r="E130" s="829"/>
      <c r="F130" s="829"/>
      <c r="G130" s="829"/>
      <c r="H130" s="829"/>
      <c r="I130" s="853"/>
    </row>
    <row r="131" spans="2:9" x14ac:dyDescent="0.3">
      <c r="B131" s="827"/>
      <c r="D131" s="829"/>
      <c r="E131" s="829"/>
      <c r="F131" s="829"/>
      <c r="G131" s="829"/>
      <c r="H131" s="829"/>
      <c r="I131" s="853"/>
    </row>
    <row r="132" spans="2:9" x14ac:dyDescent="0.3">
      <c r="B132" s="827"/>
      <c r="D132" s="829"/>
      <c r="E132" s="829"/>
      <c r="F132" s="829"/>
      <c r="G132" s="829"/>
      <c r="H132" s="829"/>
      <c r="I132" s="853"/>
    </row>
    <row r="133" spans="2:9" x14ac:dyDescent="0.3">
      <c r="B133" s="827"/>
      <c r="D133" s="829"/>
      <c r="E133" s="829"/>
      <c r="F133" s="829"/>
      <c r="G133" s="829"/>
      <c r="H133" s="829"/>
      <c r="I133" s="853"/>
    </row>
    <row r="134" spans="2:9" x14ac:dyDescent="0.3">
      <c r="B134" s="827"/>
      <c r="D134" s="829"/>
      <c r="E134" s="829"/>
      <c r="F134" s="829"/>
      <c r="G134" s="829"/>
      <c r="H134" s="829"/>
      <c r="I134" s="853"/>
    </row>
    <row r="135" spans="2:9" x14ac:dyDescent="0.3">
      <c r="B135" s="827"/>
      <c r="D135" s="829"/>
      <c r="E135" s="829"/>
      <c r="F135" s="829"/>
      <c r="G135" s="829"/>
      <c r="H135" s="829"/>
      <c r="I135" s="853"/>
    </row>
    <row r="136" spans="2:9" x14ac:dyDescent="0.3">
      <c r="B136" s="827"/>
      <c r="D136" s="829"/>
      <c r="E136" s="829"/>
      <c r="F136" s="829"/>
      <c r="G136" s="829"/>
      <c r="H136" s="829"/>
      <c r="I136" s="853"/>
    </row>
    <row r="137" spans="2:9" x14ac:dyDescent="0.3">
      <c r="B137" s="827"/>
      <c r="D137" s="829"/>
      <c r="E137" s="829"/>
      <c r="F137" s="829"/>
      <c r="G137" s="829"/>
      <c r="H137" s="829"/>
      <c r="I137" s="853"/>
    </row>
    <row r="138" spans="2:9" x14ac:dyDescent="0.3">
      <c r="B138" s="827"/>
      <c r="D138" s="829"/>
      <c r="E138" s="829"/>
      <c r="F138" s="829"/>
      <c r="G138" s="829"/>
      <c r="H138" s="829"/>
      <c r="I138" s="853"/>
    </row>
    <row r="139" spans="2:9" x14ac:dyDescent="0.3">
      <c r="B139" s="827"/>
      <c r="D139" s="829"/>
      <c r="E139" s="829"/>
      <c r="F139" s="829"/>
      <c r="G139" s="829"/>
      <c r="H139" s="829"/>
      <c r="I139" s="853"/>
    </row>
    <row r="140" spans="2:9" x14ac:dyDescent="0.3">
      <c r="B140" s="827"/>
      <c r="D140" s="829"/>
      <c r="E140" s="829"/>
      <c r="F140" s="829"/>
      <c r="G140" s="829"/>
      <c r="H140" s="829"/>
      <c r="I140" s="853"/>
    </row>
    <row r="141" spans="2:9" x14ac:dyDescent="0.3">
      <c r="B141" s="827"/>
      <c r="D141" s="829"/>
      <c r="E141" s="829"/>
      <c r="F141" s="829"/>
      <c r="G141" s="829"/>
      <c r="H141" s="829"/>
      <c r="I141" s="853"/>
    </row>
    <row r="142" spans="2:9" x14ac:dyDescent="0.3">
      <c r="B142" s="827"/>
      <c r="D142" s="829"/>
      <c r="E142" s="829"/>
      <c r="F142" s="829"/>
      <c r="G142" s="829"/>
      <c r="H142" s="829"/>
      <c r="I142" s="853"/>
    </row>
    <row r="143" spans="2:9" x14ac:dyDescent="0.3">
      <c r="B143" s="827"/>
      <c r="D143" s="829"/>
      <c r="E143" s="829"/>
      <c r="F143" s="829"/>
      <c r="G143" s="829"/>
      <c r="H143" s="829"/>
      <c r="I143" s="853"/>
    </row>
    <row r="144" spans="2:9" x14ac:dyDescent="0.3">
      <c r="B144" s="827"/>
      <c r="D144" s="829"/>
      <c r="E144" s="829"/>
      <c r="F144" s="829"/>
      <c r="G144" s="829"/>
      <c r="H144" s="829"/>
      <c r="I144" s="853"/>
    </row>
    <row r="145" spans="2:9" x14ac:dyDescent="0.3">
      <c r="B145" s="827"/>
      <c r="D145" s="829"/>
      <c r="E145" s="829"/>
      <c r="F145" s="829"/>
      <c r="G145" s="829"/>
      <c r="H145" s="829"/>
      <c r="I145" s="853"/>
    </row>
    <row r="146" spans="2:9" x14ac:dyDescent="0.3">
      <c r="B146" s="827"/>
      <c r="D146" s="829"/>
      <c r="E146" s="829"/>
      <c r="F146" s="829"/>
      <c r="G146" s="829"/>
      <c r="H146" s="829"/>
      <c r="I146" s="853"/>
    </row>
    <row r="147" spans="2:9" x14ac:dyDescent="0.3">
      <c r="B147" s="827"/>
      <c r="D147" s="829"/>
      <c r="E147" s="829"/>
      <c r="F147" s="829"/>
      <c r="G147" s="829"/>
      <c r="H147" s="829"/>
      <c r="I147" s="853"/>
    </row>
    <row r="148" spans="2:9" x14ac:dyDescent="0.3">
      <c r="B148" s="827"/>
      <c r="D148" s="829"/>
      <c r="E148" s="829"/>
      <c r="F148" s="829"/>
      <c r="G148" s="829"/>
      <c r="H148" s="829"/>
      <c r="I148" s="853"/>
    </row>
    <row r="149" spans="2:9" x14ac:dyDescent="0.3">
      <c r="B149" s="827"/>
      <c r="D149" s="829"/>
      <c r="E149" s="829"/>
      <c r="F149" s="829"/>
      <c r="G149" s="829"/>
      <c r="H149" s="829"/>
      <c r="I149" s="853"/>
    </row>
    <row r="150" spans="2:9" x14ac:dyDescent="0.3">
      <c r="B150" s="827"/>
      <c r="D150" s="829"/>
      <c r="E150" s="829"/>
      <c r="F150" s="829"/>
      <c r="G150" s="829"/>
      <c r="H150" s="829"/>
      <c r="I150" s="853"/>
    </row>
    <row r="151" spans="2:9" x14ac:dyDescent="0.3">
      <c r="B151" s="827"/>
      <c r="D151" s="829"/>
      <c r="E151" s="829"/>
      <c r="F151" s="829"/>
      <c r="G151" s="829"/>
      <c r="H151" s="829"/>
      <c r="I151" s="853"/>
    </row>
    <row r="152" spans="2:9" x14ac:dyDescent="0.3">
      <c r="B152" s="827"/>
      <c r="D152" s="829"/>
      <c r="E152" s="829"/>
      <c r="F152" s="829"/>
      <c r="G152" s="829"/>
      <c r="H152" s="829"/>
      <c r="I152" s="853"/>
    </row>
    <row r="153" spans="2:9" x14ac:dyDescent="0.3">
      <c r="B153" s="827"/>
      <c r="D153" s="829"/>
      <c r="E153" s="829"/>
      <c r="F153" s="829"/>
      <c r="G153" s="829"/>
      <c r="H153" s="829"/>
      <c r="I153" s="853"/>
    </row>
    <row r="154" spans="2:9" x14ac:dyDescent="0.3">
      <c r="B154" s="827"/>
      <c r="D154" s="829"/>
      <c r="E154" s="829"/>
      <c r="F154" s="829"/>
      <c r="G154" s="829"/>
      <c r="H154" s="829"/>
      <c r="I154" s="853"/>
    </row>
    <row r="155" spans="2:9" x14ac:dyDescent="0.3">
      <c r="B155" s="827"/>
      <c r="D155" s="829"/>
      <c r="E155" s="829"/>
      <c r="F155" s="829"/>
      <c r="G155" s="829"/>
      <c r="H155" s="829"/>
      <c r="I155" s="853"/>
    </row>
    <row r="156" spans="2:9" x14ac:dyDescent="0.3">
      <c r="B156" s="827"/>
      <c r="D156" s="829"/>
      <c r="E156" s="829"/>
      <c r="F156" s="829"/>
      <c r="G156" s="829"/>
      <c r="H156" s="829"/>
      <c r="I156" s="853"/>
    </row>
    <row r="157" spans="2:9" x14ac:dyDescent="0.3">
      <c r="B157" s="827"/>
      <c r="D157" s="829"/>
      <c r="E157" s="829"/>
      <c r="F157" s="829"/>
      <c r="G157" s="829"/>
      <c r="H157" s="829"/>
      <c r="I157" s="853"/>
    </row>
    <row r="158" spans="2:9" x14ac:dyDescent="0.3">
      <c r="B158" s="827"/>
      <c r="D158" s="829"/>
      <c r="E158" s="829"/>
      <c r="F158" s="829"/>
      <c r="G158" s="829"/>
      <c r="H158" s="829"/>
      <c r="I158" s="853"/>
    </row>
    <row r="159" spans="2:9" x14ac:dyDescent="0.3">
      <c r="B159" s="827"/>
      <c r="D159" s="829"/>
      <c r="E159" s="829"/>
      <c r="F159" s="829"/>
      <c r="G159" s="829"/>
      <c r="H159" s="829"/>
      <c r="I159" s="853"/>
    </row>
    <row r="160" spans="2:9" x14ac:dyDescent="0.3">
      <c r="B160" s="827"/>
      <c r="D160" s="829"/>
      <c r="E160" s="829"/>
      <c r="F160" s="829"/>
      <c r="G160" s="829"/>
      <c r="H160" s="829"/>
      <c r="I160" s="853"/>
    </row>
    <row r="161" spans="2:9" x14ac:dyDescent="0.3">
      <c r="B161" s="827"/>
      <c r="D161" s="829"/>
      <c r="E161" s="829"/>
      <c r="F161" s="829"/>
      <c r="G161" s="829"/>
      <c r="H161" s="829"/>
      <c r="I161" s="853"/>
    </row>
    <row r="162" spans="2:9" x14ac:dyDescent="0.3">
      <c r="B162" s="827"/>
      <c r="D162" s="829"/>
      <c r="E162" s="829"/>
      <c r="F162" s="829"/>
      <c r="G162" s="829"/>
      <c r="H162" s="829"/>
      <c r="I162" s="853"/>
    </row>
    <row r="163" spans="2:9" x14ac:dyDescent="0.3">
      <c r="B163" s="827"/>
      <c r="D163" s="829"/>
      <c r="E163" s="829"/>
      <c r="F163" s="829"/>
      <c r="G163" s="829"/>
      <c r="H163" s="829"/>
      <c r="I163" s="853"/>
    </row>
    <row r="164" spans="2:9" x14ac:dyDescent="0.3">
      <c r="B164" s="827"/>
      <c r="D164" s="829"/>
      <c r="E164" s="829"/>
      <c r="F164" s="829"/>
      <c r="G164" s="829"/>
      <c r="H164" s="829"/>
      <c r="I164" s="853"/>
    </row>
    <row r="165" spans="2:9" x14ac:dyDescent="0.3">
      <c r="B165" s="827"/>
      <c r="D165" s="829"/>
      <c r="E165" s="829"/>
      <c r="F165" s="829"/>
      <c r="G165" s="829"/>
      <c r="H165" s="829"/>
      <c r="I165" s="853"/>
    </row>
    <row r="166" spans="2:9" x14ac:dyDescent="0.3">
      <c r="B166" s="827"/>
      <c r="D166" s="829"/>
      <c r="E166" s="829"/>
      <c r="F166" s="829"/>
      <c r="G166" s="829"/>
      <c r="H166" s="829"/>
      <c r="I166" s="853"/>
    </row>
    <row r="167" spans="2:9" x14ac:dyDescent="0.3">
      <c r="B167" s="827"/>
      <c r="D167" s="829"/>
      <c r="E167" s="829"/>
      <c r="F167" s="829"/>
      <c r="G167" s="829"/>
      <c r="H167" s="829"/>
      <c r="I167" s="853"/>
    </row>
    <row r="168" spans="2:9" x14ac:dyDescent="0.3">
      <c r="B168" s="827"/>
      <c r="D168" s="829"/>
      <c r="E168" s="829"/>
      <c r="F168" s="829"/>
      <c r="G168" s="829"/>
      <c r="H168" s="829"/>
      <c r="I168" s="853"/>
    </row>
    <row r="169" spans="2:9" x14ac:dyDescent="0.3">
      <c r="B169" s="827"/>
      <c r="D169" s="829"/>
      <c r="E169" s="829"/>
      <c r="F169" s="829"/>
      <c r="G169" s="829"/>
      <c r="H169" s="829"/>
      <c r="I169" s="853"/>
    </row>
    <row r="170" spans="2:9" x14ac:dyDescent="0.3">
      <c r="B170" s="827"/>
      <c r="D170" s="829"/>
      <c r="E170" s="829"/>
      <c r="F170" s="829"/>
      <c r="G170" s="829"/>
      <c r="H170" s="829"/>
      <c r="I170" s="853"/>
    </row>
    <row r="171" spans="2:9" x14ac:dyDescent="0.3">
      <c r="B171" s="827"/>
      <c r="D171" s="829"/>
      <c r="E171" s="829"/>
      <c r="F171" s="829"/>
      <c r="G171" s="829"/>
      <c r="H171" s="829"/>
      <c r="I171" s="853"/>
    </row>
    <row r="172" spans="2:9" x14ac:dyDescent="0.3">
      <c r="B172" s="827"/>
      <c r="D172" s="829"/>
      <c r="E172" s="829"/>
      <c r="F172" s="829"/>
      <c r="G172" s="829"/>
      <c r="H172" s="829"/>
      <c r="I172" s="853"/>
    </row>
    <row r="173" spans="2:9" x14ac:dyDescent="0.3">
      <c r="B173" s="827"/>
      <c r="D173" s="829"/>
      <c r="E173" s="829"/>
      <c r="F173" s="829"/>
      <c r="G173" s="829"/>
      <c r="H173" s="829"/>
      <c r="I173" s="853"/>
    </row>
    <row r="174" spans="2:9" x14ac:dyDescent="0.3">
      <c r="B174" s="827"/>
      <c r="D174" s="829"/>
      <c r="E174" s="829"/>
      <c r="F174" s="829"/>
      <c r="G174" s="829"/>
      <c r="H174" s="829"/>
      <c r="I174" s="853"/>
    </row>
    <row r="175" spans="2:9" x14ac:dyDescent="0.3">
      <c r="B175" s="827"/>
      <c r="D175" s="829"/>
      <c r="E175" s="829"/>
      <c r="F175" s="829"/>
      <c r="G175" s="829"/>
      <c r="H175" s="829"/>
      <c r="I175" s="853"/>
    </row>
    <row r="176" spans="2:9" x14ac:dyDescent="0.3">
      <c r="B176" s="827"/>
      <c r="D176" s="829"/>
      <c r="E176" s="829"/>
      <c r="F176" s="829"/>
      <c r="G176" s="829"/>
      <c r="H176" s="829"/>
      <c r="I176" s="853"/>
    </row>
    <row r="177" spans="2:9" x14ac:dyDescent="0.3">
      <c r="B177" s="827"/>
      <c r="D177" s="829"/>
      <c r="E177" s="829"/>
      <c r="F177" s="829"/>
      <c r="G177" s="829"/>
      <c r="H177" s="829"/>
      <c r="I177" s="853"/>
    </row>
    <row r="178" spans="2:9" x14ac:dyDescent="0.3">
      <c r="B178" s="827"/>
      <c r="D178" s="829"/>
      <c r="E178" s="829"/>
      <c r="F178" s="829"/>
      <c r="G178" s="829"/>
      <c r="H178" s="829"/>
      <c r="I178" s="853"/>
    </row>
    <row r="179" spans="2:9" x14ac:dyDescent="0.3">
      <c r="B179" s="827"/>
      <c r="D179" s="829"/>
      <c r="E179" s="829"/>
      <c r="F179" s="829"/>
      <c r="G179" s="829"/>
      <c r="H179" s="829"/>
      <c r="I179" s="853"/>
    </row>
    <row r="180" spans="2:9" x14ac:dyDescent="0.3">
      <c r="B180" s="827"/>
      <c r="D180" s="829"/>
      <c r="E180" s="829"/>
      <c r="F180" s="829"/>
      <c r="G180" s="829"/>
      <c r="H180" s="829"/>
      <c r="I180" s="853"/>
    </row>
    <row r="181" spans="2:9" x14ac:dyDescent="0.3">
      <c r="B181" s="827"/>
      <c r="D181" s="829"/>
      <c r="E181" s="829"/>
      <c r="F181" s="829"/>
      <c r="G181" s="829"/>
      <c r="H181" s="829"/>
      <c r="I181" s="853"/>
    </row>
    <row r="182" spans="2:9" x14ac:dyDescent="0.3">
      <c r="B182" s="827"/>
      <c r="D182" s="829"/>
      <c r="E182" s="829"/>
      <c r="F182" s="829"/>
      <c r="G182" s="829"/>
      <c r="H182" s="829"/>
      <c r="I182" s="853"/>
    </row>
    <row r="183" spans="2:9" x14ac:dyDescent="0.3">
      <c r="B183" s="827"/>
      <c r="D183" s="829"/>
      <c r="E183" s="829"/>
      <c r="F183" s="829"/>
      <c r="G183" s="829"/>
      <c r="H183" s="829"/>
      <c r="I183" s="853"/>
    </row>
    <row r="184" spans="2:9" x14ac:dyDescent="0.3">
      <c r="B184" s="827"/>
      <c r="D184" s="829"/>
      <c r="E184" s="829"/>
      <c r="F184" s="829"/>
      <c r="G184" s="829"/>
      <c r="H184" s="829"/>
      <c r="I184" s="853"/>
    </row>
    <row r="185" spans="2:9" x14ac:dyDescent="0.3">
      <c r="B185" s="827"/>
      <c r="D185" s="829"/>
      <c r="E185" s="829"/>
      <c r="F185" s="829"/>
      <c r="G185" s="829"/>
      <c r="H185" s="829"/>
      <c r="I185" s="853"/>
    </row>
    <row r="186" spans="2:9" x14ac:dyDescent="0.3">
      <c r="B186" s="827"/>
      <c r="D186" s="829"/>
      <c r="E186" s="829"/>
      <c r="F186" s="829"/>
      <c r="G186" s="829"/>
      <c r="H186" s="829"/>
      <c r="I186" s="853"/>
    </row>
    <row r="187" spans="2:9" x14ac:dyDescent="0.3">
      <c r="B187" s="827"/>
      <c r="D187" s="829"/>
      <c r="E187" s="829"/>
      <c r="F187" s="829"/>
      <c r="G187" s="829"/>
      <c r="H187" s="829"/>
      <c r="I187" s="853"/>
    </row>
    <row r="188" spans="2:9" x14ac:dyDescent="0.3">
      <c r="B188" s="827"/>
      <c r="D188" s="829"/>
      <c r="E188" s="829"/>
      <c r="F188" s="829"/>
      <c r="G188" s="829"/>
      <c r="H188" s="829"/>
      <c r="I188" s="853"/>
    </row>
    <row r="189" spans="2:9" x14ac:dyDescent="0.3">
      <c r="B189" s="827"/>
      <c r="D189" s="829"/>
      <c r="E189" s="829"/>
      <c r="F189" s="829"/>
      <c r="G189" s="829"/>
      <c r="H189" s="829"/>
      <c r="I189" s="853"/>
    </row>
    <row r="190" spans="2:9" x14ac:dyDescent="0.3">
      <c r="B190" s="827"/>
      <c r="D190" s="829"/>
      <c r="E190" s="829"/>
      <c r="F190" s="829"/>
      <c r="G190" s="829"/>
      <c r="H190" s="829"/>
      <c r="I190" s="853"/>
    </row>
    <row r="191" spans="2:9" x14ac:dyDescent="0.3">
      <c r="B191" s="827"/>
      <c r="D191" s="829"/>
      <c r="E191" s="829"/>
      <c r="F191" s="829"/>
      <c r="G191" s="829"/>
      <c r="H191" s="829"/>
      <c r="I191" s="853"/>
    </row>
    <row r="192" spans="2:9" x14ac:dyDescent="0.3">
      <c r="B192" s="827"/>
      <c r="D192" s="829"/>
      <c r="E192" s="829"/>
      <c r="F192" s="829"/>
      <c r="G192" s="829"/>
      <c r="H192" s="829"/>
      <c r="I192" s="853"/>
    </row>
    <row r="193" spans="2:9" x14ac:dyDescent="0.3">
      <c r="B193" s="827"/>
      <c r="D193" s="829"/>
      <c r="E193" s="829"/>
      <c r="F193" s="829"/>
      <c r="G193" s="829"/>
      <c r="H193" s="829"/>
      <c r="I193" s="853"/>
    </row>
    <row r="194" spans="2:9" x14ac:dyDescent="0.3">
      <c r="B194" s="827"/>
      <c r="D194" s="829"/>
      <c r="E194" s="829"/>
      <c r="F194" s="829"/>
      <c r="G194" s="829"/>
      <c r="H194" s="829"/>
      <c r="I194" s="853"/>
    </row>
    <row r="195" spans="2:9" x14ac:dyDescent="0.3">
      <c r="B195" s="827"/>
      <c r="D195" s="829"/>
      <c r="E195" s="829"/>
      <c r="F195" s="829"/>
      <c r="G195" s="829"/>
      <c r="H195" s="829"/>
      <c r="I195" s="853"/>
    </row>
    <row r="196" spans="2:9" x14ac:dyDescent="0.3">
      <c r="B196" s="827"/>
      <c r="D196" s="829"/>
      <c r="E196" s="829"/>
      <c r="F196" s="829"/>
      <c r="G196" s="829"/>
      <c r="H196" s="829"/>
      <c r="I196" s="853"/>
    </row>
    <row r="197" spans="2:9" x14ac:dyDescent="0.3">
      <c r="B197" s="827"/>
      <c r="D197" s="829"/>
      <c r="E197" s="829"/>
      <c r="F197" s="829"/>
      <c r="G197" s="829"/>
      <c r="H197" s="829"/>
      <c r="I197" s="853"/>
    </row>
    <row r="198" spans="2:9" x14ac:dyDescent="0.3">
      <c r="B198" s="827"/>
      <c r="D198" s="829"/>
      <c r="E198" s="829"/>
      <c r="F198" s="829"/>
      <c r="G198" s="829"/>
      <c r="H198" s="829"/>
      <c r="I198" s="853"/>
    </row>
    <row r="199" spans="2:9" x14ac:dyDescent="0.3">
      <c r="B199" s="827"/>
      <c r="D199" s="829"/>
      <c r="E199" s="829"/>
      <c r="F199" s="829"/>
      <c r="G199" s="829"/>
      <c r="H199" s="829"/>
      <c r="I199" s="853"/>
    </row>
    <row r="200" spans="2:9" x14ac:dyDescent="0.3">
      <c r="B200" s="827"/>
      <c r="D200" s="829"/>
      <c r="E200" s="829"/>
      <c r="F200" s="829"/>
      <c r="G200" s="829"/>
      <c r="H200" s="829"/>
      <c r="I200" s="853"/>
    </row>
    <row r="201" spans="2:9" x14ac:dyDescent="0.3">
      <c r="B201" s="827"/>
      <c r="D201" s="829"/>
      <c r="E201" s="829"/>
      <c r="F201" s="829"/>
      <c r="G201" s="829"/>
      <c r="H201" s="829"/>
      <c r="I201" s="853"/>
    </row>
    <row r="202" spans="2:9" x14ac:dyDescent="0.3">
      <c r="B202" s="827"/>
      <c r="D202" s="829"/>
      <c r="E202" s="829"/>
      <c r="F202" s="829"/>
      <c r="G202" s="829"/>
      <c r="H202" s="829"/>
      <c r="I202" s="853"/>
    </row>
    <row r="203" spans="2:9" x14ac:dyDescent="0.3">
      <c r="B203" s="827"/>
      <c r="D203" s="829"/>
      <c r="E203" s="829"/>
      <c r="F203" s="829"/>
      <c r="G203" s="829"/>
      <c r="H203" s="829"/>
      <c r="I203" s="853"/>
    </row>
    <row r="204" spans="2:9" x14ac:dyDescent="0.3">
      <c r="B204" s="827"/>
      <c r="D204" s="829"/>
      <c r="E204" s="829"/>
      <c r="F204" s="829"/>
      <c r="G204" s="829"/>
      <c r="H204" s="829"/>
      <c r="I204" s="853"/>
    </row>
    <row r="205" spans="2:9" x14ac:dyDescent="0.3">
      <c r="B205" s="827"/>
      <c r="D205" s="829"/>
      <c r="E205" s="829"/>
      <c r="F205" s="829"/>
      <c r="G205" s="829"/>
      <c r="H205" s="829"/>
      <c r="I205" s="853"/>
    </row>
    <row r="206" spans="2:9" x14ac:dyDescent="0.3">
      <c r="B206" s="827"/>
      <c r="D206" s="829"/>
      <c r="E206" s="829"/>
      <c r="F206" s="829"/>
      <c r="G206" s="829"/>
      <c r="H206" s="829"/>
      <c r="I206" s="853"/>
    </row>
    <row r="207" spans="2:9" x14ac:dyDescent="0.3">
      <c r="B207" s="827"/>
      <c r="D207" s="829"/>
      <c r="E207" s="829"/>
      <c r="F207" s="829"/>
      <c r="G207" s="829"/>
      <c r="H207" s="829"/>
      <c r="I207" s="853"/>
    </row>
    <row r="208" spans="2:9" x14ac:dyDescent="0.3">
      <c r="B208" s="827"/>
      <c r="D208" s="829"/>
      <c r="E208" s="829"/>
      <c r="F208" s="829"/>
      <c r="G208" s="829"/>
      <c r="H208" s="829"/>
      <c r="I208" s="853"/>
    </row>
    <row r="209" spans="2:9" x14ac:dyDescent="0.3">
      <c r="B209" s="827"/>
      <c r="D209" s="829"/>
      <c r="E209" s="829"/>
      <c r="F209" s="829"/>
      <c r="G209" s="829"/>
      <c r="H209" s="829"/>
      <c r="I209" s="853"/>
    </row>
    <row r="210" spans="2:9" x14ac:dyDescent="0.3">
      <c r="B210" s="827"/>
      <c r="D210" s="829"/>
      <c r="E210" s="829"/>
      <c r="F210" s="829"/>
      <c r="G210" s="829"/>
      <c r="H210" s="829"/>
      <c r="I210" s="853"/>
    </row>
    <row r="211" spans="2:9" x14ac:dyDescent="0.3">
      <c r="B211" s="827"/>
      <c r="D211" s="829"/>
      <c r="E211" s="829"/>
      <c r="F211" s="829"/>
      <c r="G211" s="829"/>
      <c r="H211" s="829"/>
      <c r="I211" s="853"/>
    </row>
    <row r="212" spans="2:9" x14ac:dyDescent="0.3">
      <c r="B212" s="827"/>
      <c r="D212" s="829"/>
      <c r="E212" s="829"/>
      <c r="F212" s="829"/>
      <c r="G212" s="829"/>
      <c r="H212" s="829"/>
      <c r="I212" s="853"/>
    </row>
    <row r="213" spans="2:9" x14ac:dyDescent="0.3">
      <c r="B213" s="827"/>
      <c r="D213" s="829"/>
      <c r="E213" s="829"/>
      <c r="F213" s="829"/>
      <c r="G213" s="829"/>
      <c r="H213" s="829"/>
      <c r="I213" s="853"/>
    </row>
    <row r="214" spans="2:9" x14ac:dyDescent="0.3">
      <c r="B214" s="827"/>
      <c r="D214" s="829"/>
      <c r="E214" s="829"/>
      <c r="F214" s="829"/>
      <c r="G214" s="829"/>
      <c r="H214" s="829"/>
      <c r="I214" s="853"/>
    </row>
    <row r="215" spans="2:9" x14ac:dyDescent="0.3">
      <c r="B215" s="827"/>
      <c r="D215" s="829"/>
      <c r="E215" s="829"/>
      <c r="F215" s="829"/>
      <c r="G215" s="829"/>
      <c r="H215" s="829"/>
      <c r="I215" s="853"/>
    </row>
    <row r="216" spans="2:9" x14ac:dyDescent="0.3">
      <c r="B216" s="827"/>
      <c r="D216" s="829"/>
      <c r="E216" s="829"/>
      <c r="F216" s="829"/>
      <c r="G216" s="829"/>
      <c r="H216" s="829"/>
      <c r="I216" s="853"/>
    </row>
    <row r="217" spans="2:9" x14ac:dyDescent="0.3">
      <c r="B217" s="827"/>
      <c r="D217" s="829"/>
      <c r="E217" s="829"/>
      <c r="F217" s="829"/>
      <c r="G217" s="829"/>
      <c r="H217" s="829"/>
      <c r="I217" s="853"/>
    </row>
    <row r="218" spans="2:9" x14ac:dyDescent="0.3">
      <c r="B218" s="827"/>
      <c r="D218" s="829"/>
      <c r="E218" s="829"/>
      <c r="F218" s="829"/>
      <c r="G218" s="829"/>
      <c r="H218" s="829"/>
      <c r="I218" s="853"/>
    </row>
    <row r="219" spans="2:9" x14ac:dyDescent="0.3">
      <c r="B219" s="827"/>
      <c r="D219" s="829"/>
      <c r="E219" s="829"/>
      <c r="F219" s="829"/>
      <c r="G219" s="829"/>
      <c r="H219" s="829"/>
      <c r="I219" s="853"/>
    </row>
    <row r="220" spans="2:9" x14ac:dyDescent="0.3">
      <c r="B220" s="827"/>
      <c r="D220" s="829"/>
      <c r="E220" s="829"/>
      <c r="F220" s="829"/>
      <c r="G220" s="829"/>
      <c r="H220" s="829"/>
      <c r="I220" s="853"/>
    </row>
    <row r="221" spans="2:9" x14ac:dyDescent="0.3">
      <c r="B221" s="827"/>
      <c r="D221" s="829"/>
      <c r="E221" s="829"/>
      <c r="F221" s="829"/>
      <c r="G221" s="829"/>
      <c r="H221" s="829"/>
      <c r="I221" s="853"/>
    </row>
    <row r="222" spans="2:9" x14ac:dyDescent="0.3">
      <c r="B222" s="827"/>
      <c r="D222" s="829"/>
      <c r="E222" s="829"/>
      <c r="F222" s="829"/>
      <c r="G222" s="829"/>
      <c r="H222" s="829"/>
      <c r="I222" s="853"/>
    </row>
    <row r="223" spans="2:9" x14ac:dyDescent="0.3">
      <c r="B223" s="827"/>
      <c r="D223" s="829"/>
      <c r="E223" s="829"/>
      <c r="F223" s="829"/>
      <c r="G223" s="829"/>
      <c r="H223" s="829"/>
      <c r="I223" s="853"/>
    </row>
    <row r="224" spans="2:9" x14ac:dyDescent="0.3">
      <c r="B224" s="827"/>
      <c r="D224" s="829"/>
      <c r="E224" s="829"/>
      <c r="F224" s="829"/>
      <c r="G224" s="829"/>
      <c r="H224" s="829"/>
      <c r="I224" s="853"/>
    </row>
    <row r="225" spans="2:9" x14ac:dyDescent="0.3">
      <c r="B225" s="827"/>
      <c r="D225" s="829"/>
      <c r="E225" s="829"/>
      <c r="F225" s="829"/>
      <c r="G225" s="829"/>
      <c r="H225" s="829"/>
      <c r="I225" s="853"/>
    </row>
    <row r="226" spans="2:9" x14ac:dyDescent="0.3">
      <c r="B226" s="827"/>
      <c r="D226" s="829"/>
      <c r="E226" s="829"/>
      <c r="F226" s="829"/>
      <c r="G226" s="829"/>
      <c r="H226" s="829"/>
      <c r="I226" s="853"/>
    </row>
    <row r="227" spans="2:9" x14ac:dyDescent="0.3">
      <c r="B227" s="827"/>
      <c r="D227" s="829"/>
      <c r="E227" s="829"/>
      <c r="F227" s="829"/>
      <c r="G227" s="829"/>
      <c r="H227" s="829"/>
      <c r="I227" s="853"/>
    </row>
    <row r="228" spans="2:9" x14ac:dyDescent="0.3">
      <c r="B228" s="827"/>
      <c r="D228" s="829"/>
      <c r="E228" s="829"/>
      <c r="F228" s="829"/>
      <c r="G228" s="829"/>
      <c r="H228" s="829"/>
      <c r="I228" s="853"/>
    </row>
    <row r="229" spans="2:9" x14ac:dyDescent="0.3">
      <c r="B229" s="827"/>
      <c r="D229" s="829"/>
      <c r="E229" s="829"/>
      <c r="F229" s="829"/>
      <c r="G229" s="829"/>
      <c r="H229" s="829"/>
      <c r="I229" s="853"/>
    </row>
    <row r="230" spans="2:9" x14ac:dyDescent="0.3">
      <c r="B230" s="827"/>
      <c r="D230" s="829"/>
      <c r="E230" s="829"/>
      <c r="F230" s="829"/>
      <c r="G230" s="829"/>
      <c r="H230" s="829"/>
      <c r="I230" s="853"/>
    </row>
    <row r="231" spans="2:9" x14ac:dyDescent="0.3">
      <c r="B231" s="827"/>
      <c r="D231" s="829"/>
      <c r="E231" s="829"/>
      <c r="F231" s="829"/>
      <c r="G231" s="829"/>
      <c r="H231" s="829"/>
      <c r="I231" s="853"/>
    </row>
    <row r="232" spans="2:9" x14ac:dyDescent="0.3">
      <c r="B232" s="827"/>
      <c r="D232" s="829"/>
      <c r="E232" s="829"/>
      <c r="F232" s="829"/>
      <c r="G232" s="829"/>
      <c r="H232" s="829"/>
      <c r="I232" s="853"/>
    </row>
    <row r="233" spans="2:9" x14ac:dyDescent="0.3">
      <c r="B233" s="827"/>
      <c r="D233" s="829"/>
      <c r="E233" s="829"/>
      <c r="F233" s="829"/>
      <c r="G233" s="829"/>
      <c r="H233" s="829"/>
      <c r="I233" s="853"/>
    </row>
    <row r="234" spans="2:9" x14ac:dyDescent="0.3">
      <c r="B234" s="827"/>
      <c r="D234" s="829"/>
      <c r="E234" s="829"/>
      <c r="F234" s="829"/>
      <c r="G234" s="829"/>
      <c r="H234" s="829"/>
      <c r="I234" s="853"/>
    </row>
    <row r="235" spans="2:9" x14ac:dyDescent="0.3">
      <c r="B235" s="827"/>
      <c r="D235" s="829"/>
      <c r="E235" s="829"/>
      <c r="F235" s="829"/>
      <c r="G235" s="829"/>
      <c r="H235" s="829"/>
      <c r="I235" s="853"/>
    </row>
    <row r="236" spans="2:9" x14ac:dyDescent="0.3">
      <c r="B236" s="827"/>
      <c r="D236" s="829"/>
      <c r="E236" s="829"/>
      <c r="F236" s="829"/>
      <c r="G236" s="829"/>
      <c r="H236" s="829"/>
      <c r="I236" s="853"/>
    </row>
    <row r="237" spans="2:9" x14ac:dyDescent="0.3">
      <c r="B237" s="827"/>
      <c r="D237" s="829"/>
      <c r="E237" s="829"/>
      <c r="F237" s="829"/>
      <c r="G237" s="829"/>
      <c r="H237" s="829"/>
      <c r="I237" s="853"/>
    </row>
    <row r="238" spans="2:9" x14ac:dyDescent="0.3">
      <c r="B238" s="827"/>
      <c r="D238" s="829"/>
      <c r="E238" s="829"/>
      <c r="F238" s="829"/>
      <c r="G238" s="829"/>
      <c r="H238" s="829"/>
      <c r="I238" s="853"/>
    </row>
    <row r="239" spans="2:9" x14ac:dyDescent="0.3">
      <c r="B239" s="827"/>
      <c r="D239" s="829"/>
      <c r="E239" s="829"/>
      <c r="F239" s="829"/>
      <c r="G239" s="829"/>
      <c r="H239" s="829"/>
      <c r="I239" s="853"/>
    </row>
    <row r="240" spans="2:9" x14ac:dyDescent="0.3">
      <c r="B240" s="827"/>
      <c r="D240" s="829"/>
      <c r="E240" s="829"/>
      <c r="F240" s="829"/>
      <c r="G240" s="829"/>
      <c r="H240" s="829"/>
      <c r="I240" s="853"/>
    </row>
    <row r="241" spans="2:9" x14ac:dyDescent="0.3">
      <c r="B241" s="827"/>
      <c r="D241" s="829"/>
      <c r="E241" s="829"/>
      <c r="F241" s="829"/>
      <c r="G241" s="829"/>
      <c r="H241" s="829"/>
      <c r="I241" s="853"/>
    </row>
    <row r="242" spans="2:9" x14ac:dyDescent="0.3">
      <c r="B242" s="827"/>
      <c r="D242" s="829"/>
      <c r="E242" s="829"/>
      <c r="F242" s="829"/>
      <c r="G242" s="829"/>
      <c r="H242" s="829"/>
      <c r="I242" s="853"/>
    </row>
    <row r="243" spans="2:9" x14ac:dyDescent="0.3">
      <c r="B243" s="827"/>
      <c r="D243" s="829"/>
      <c r="E243" s="829"/>
      <c r="F243" s="829"/>
      <c r="G243" s="829"/>
      <c r="H243" s="829"/>
      <c r="I243" s="853"/>
    </row>
    <row r="244" spans="2:9" x14ac:dyDescent="0.3">
      <c r="B244" s="827"/>
      <c r="D244" s="829"/>
      <c r="E244" s="829"/>
      <c r="F244" s="829"/>
      <c r="G244" s="829"/>
      <c r="H244" s="829"/>
      <c r="I244" s="853"/>
    </row>
    <row r="245" spans="2:9" x14ac:dyDescent="0.3">
      <c r="B245" s="827"/>
      <c r="D245" s="829"/>
      <c r="E245" s="829"/>
      <c r="F245" s="829"/>
      <c r="G245" s="829"/>
      <c r="H245" s="829"/>
      <c r="I245" s="853"/>
    </row>
    <row r="246" spans="2:9" x14ac:dyDescent="0.3">
      <c r="B246" s="827"/>
      <c r="D246" s="829"/>
      <c r="E246" s="829"/>
      <c r="F246" s="829"/>
      <c r="G246" s="829"/>
      <c r="H246" s="829"/>
      <c r="I246" s="853"/>
    </row>
    <row r="247" spans="2:9" x14ac:dyDescent="0.3">
      <c r="B247" s="827"/>
      <c r="D247" s="829"/>
      <c r="E247" s="829"/>
      <c r="F247" s="829"/>
      <c r="G247" s="829"/>
      <c r="H247" s="829"/>
      <c r="I247" s="853"/>
    </row>
    <row r="248" spans="2:9" x14ac:dyDescent="0.3">
      <c r="B248" s="827"/>
      <c r="D248" s="829"/>
      <c r="E248" s="829"/>
      <c r="F248" s="829"/>
      <c r="G248" s="829"/>
      <c r="H248" s="829"/>
      <c r="I248" s="853"/>
    </row>
    <row r="249" spans="2:9" x14ac:dyDescent="0.3">
      <c r="B249" s="827"/>
      <c r="D249" s="829"/>
      <c r="E249" s="829"/>
      <c r="F249" s="829"/>
      <c r="G249" s="829"/>
      <c r="H249" s="829"/>
      <c r="I249" s="853"/>
    </row>
    <row r="250" spans="2:9" x14ac:dyDescent="0.3">
      <c r="B250" s="827"/>
      <c r="D250" s="829"/>
      <c r="E250" s="829"/>
      <c r="F250" s="829"/>
      <c r="G250" s="829"/>
      <c r="H250" s="829"/>
      <c r="I250" s="853"/>
    </row>
    <row r="251" spans="2:9" x14ac:dyDescent="0.3">
      <c r="B251" s="827"/>
      <c r="D251" s="829"/>
      <c r="E251" s="829"/>
      <c r="F251" s="829"/>
      <c r="G251" s="829"/>
      <c r="H251" s="829"/>
      <c r="I251" s="853"/>
    </row>
    <row r="252" spans="2:9" x14ac:dyDescent="0.3">
      <c r="B252" s="827"/>
      <c r="D252" s="829"/>
      <c r="E252" s="829"/>
      <c r="F252" s="829"/>
      <c r="G252" s="829"/>
      <c r="H252" s="829"/>
      <c r="I252" s="853"/>
    </row>
    <row r="253" spans="2:9" x14ac:dyDescent="0.3">
      <c r="B253" s="827"/>
      <c r="D253" s="829"/>
      <c r="E253" s="829"/>
      <c r="F253" s="829"/>
      <c r="G253" s="829"/>
      <c r="H253" s="829"/>
      <c r="I253" s="853"/>
    </row>
    <row r="254" spans="2:9" x14ac:dyDescent="0.3">
      <c r="B254" s="827"/>
      <c r="D254" s="829"/>
      <c r="E254" s="829"/>
      <c r="F254" s="829"/>
      <c r="G254" s="829"/>
      <c r="H254" s="829"/>
      <c r="I254" s="853"/>
    </row>
    <row r="255" spans="2:9" x14ac:dyDescent="0.3">
      <c r="B255" s="827"/>
      <c r="D255" s="829"/>
      <c r="E255" s="829"/>
      <c r="F255" s="829"/>
      <c r="G255" s="829"/>
      <c r="H255" s="829"/>
      <c r="I255" s="853"/>
    </row>
    <row r="256" spans="2:9" x14ac:dyDescent="0.3">
      <c r="B256" s="827"/>
      <c r="D256" s="829"/>
      <c r="E256" s="829"/>
      <c r="F256" s="829"/>
      <c r="G256" s="829"/>
      <c r="H256" s="829"/>
      <c r="I256" s="853"/>
    </row>
    <row r="257" spans="2:9" x14ac:dyDescent="0.3">
      <c r="B257" s="827"/>
      <c r="D257" s="829"/>
      <c r="E257" s="829"/>
      <c r="F257" s="829"/>
      <c r="G257" s="829"/>
      <c r="H257" s="829"/>
      <c r="I257" s="853"/>
    </row>
    <row r="258" spans="2:9" x14ac:dyDescent="0.3">
      <c r="B258" s="827"/>
      <c r="D258" s="829"/>
      <c r="E258" s="829"/>
      <c r="F258" s="829"/>
      <c r="G258" s="829"/>
      <c r="H258" s="829"/>
      <c r="I258" s="853"/>
    </row>
    <row r="259" spans="2:9" x14ac:dyDescent="0.3">
      <c r="B259" s="827"/>
      <c r="D259" s="829"/>
      <c r="E259" s="829"/>
      <c r="F259" s="829"/>
      <c r="G259" s="829"/>
      <c r="H259" s="829"/>
      <c r="I259" s="853"/>
    </row>
    <row r="260" spans="2:9" x14ac:dyDescent="0.3">
      <c r="B260" s="827"/>
      <c r="D260" s="829"/>
      <c r="E260" s="829"/>
      <c r="F260" s="829"/>
      <c r="G260" s="829"/>
      <c r="H260" s="829"/>
      <c r="I260" s="853"/>
    </row>
    <row r="261" spans="2:9" x14ac:dyDescent="0.3">
      <c r="B261" s="827"/>
      <c r="D261" s="829"/>
      <c r="E261" s="829"/>
      <c r="F261" s="829"/>
      <c r="G261" s="829"/>
      <c r="H261" s="829"/>
      <c r="I261" s="853"/>
    </row>
    <row r="262" spans="2:9" x14ac:dyDescent="0.3">
      <c r="B262" s="827"/>
      <c r="D262" s="829"/>
      <c r="E262" s="829"/>
      <c r="F262" s="829"/>
      <c r="G262" s="829"/>
      <c r="H262" s="829"/>
      <c r="I262" s="853"/>
    </row>
    <row r="263" spans="2:9" x14ac:dyDescent="0.3">
      <c r="B263" s="827"/>
      <c r="D263" s="829"/>
      <c r="E263" s="829"/>
      <c r="F263" s="829"/>
      <c r="G263" s="829"/>
      <c r="H263" s="829"/>
      <c r="I263" s="853"/>
    </row>
    <row r="264" spans="2:9" x14ac:dyDescent="0.3">
      <c r="B264" s="827"/>
      <c r="D264" s="829"/>
      <c r="E264" s="829"/>
      <c r="F264" s="829"/>
      <c r="G264" s="829"/>
      <c r="H264" s="829"/>
      <c r="I264" s="853"/>
    </row>
    <row r="265" spans="2:9" x14ac:dyDescent="0.3">
      <c r="B265" s="827"/>
      <c r="D265" s="829"/>
      <c r="E265" s="829"/>
      <c r="F265" s="829"/>
      <c r="G265" s="829"/>
      <c r="H265" s="829"/>
      <c r="I265" s="853"/>
    </row>
    <row r="266" spans="2:9" x14ac:dyDescent="0.3">
      <c r="B266" s="827"/>
      <c r="D266" s="829"/>
      <c r="E266" s="829"/>
      <c r="F266" s="829"/>
      <c r="G266" s="829"/>
      <c r="H266" s="829"/>
      <c r="I266" s="853"/>
    </row>
    <row r="267" spans="2:9" x14ac:dyDescent="0.3">
      <c r="B267" s="827"/>
      <c r="D267" s="829"/>
      <c r="E267" s="829"/>
      <c r="F267" s="829"/>
      <c r="G267" s="829"/>
      <c r="H267" s="829"/>
      <c r="I267" s="853"/>
    </row>
    <row r="268" spans="2:9" x14ac:dyDescent="0.3">
      <c r="B268" s="827"/>
      <c r="D268" s="829"/>
      <c r="E268" s="829"/>
      <c r="F268" s="829"/>
      <c r="G268" s="829"/>
      <c r="H268" s="829"/>
      <c r="I268" s="853"/>
    </row>
    <row r="269" spans="2:9" x14ac:dyDescent="0.3">
      <c r="B269" s="827"/>
      <c r="D269" s="829"/>
      <c r="E269" s="829"/>
      <c r="F269" s="829"/>
      <c r="G269" s="829"/>
      <c r="H269" s="829"/>
      <c r="I269" s="853"/>
    </row>
    <row r="270" spans="2:9" x14ac:dyDescent="0.3">
      <c r="B270" s="827"/>
      <c r="D270" s="829"/>
      <c r="E270" s="829"/>
      <c r="F270" s="829"/>
      <c r="G270" s="829"/>
      <c r="H270" s="829"/>
      <c r="I270" s="853"/>
    </row>
    <row r="271" spans="2:9" x14ac:dyDescent="0.3">
      <c r="B271" s="827"/>
      <c r="D271" s="829"/>
      <c r="E271" s="829"/>
      <c r="F271" s="829"/>
      <c r="G271" s="829"/>
      <c r="H271" s="829"/>
      <c r="I271" s="853"/>
    </row>
    <row r="272" spans="2:9" x14ac:dyDescent="0.3">
      <c r="B272" s="827"/>
      <c r="D272" s="829"/>
      <c r="E272" s="829"/>
      <c r="F272" s="829"/>
      <c r="G272" s="829"/>
      <c r="H272" s="829"/>
      <c r="I272" s="853"/>
    </row>
    <row r="273" spans="2:9" x14ac:dyDescent="0.3">
      <c r="B273" s="827"/>
      <c r="D273" s="829"/>
      <c r="E273" s="829"/>
      <c r="F273" s="829"/>
      <c r="G273" s="829"/>
      <c r="H273" s="829"/>
      <c r="I273" s="853"/>
    </row>
    <row r="274" spans="2:9" x14ac:dyDescent="0.3">
      <c r="B274" s="827"/>
      <c r="D274" s="829"/>
      <c r="E274" s="829"/>
      <c r="F274" s="829"/>
      <c r="G274" s="829"/>
      <c r="H274" s="829"/>
      <c r="I274" s="853"/>
    </row>
    <row r="275" spans="2:9" x14ac:dyDescent="0.3">
      <c r="B275" s="827"/>
      <c r="D275" s="829"/>
      <c r="E275" s="829"/>
      <c r="F275" s="829"/>
      <c r="G275" s="829"/>
      <c r="H275" s="829"/>
      <c r="I275" s="853"/>
    </row>
    <row r="276" spans="2:9" x14ac:dyDescent="0.3">
      <c r="B276" s="827"/>
      <c r="D276" s="829"/>
      <c r="E276" s="829"/>
      <c r="F276" s="829"/>
      <c r="G276" s="829"/>
      <c r="H276" s="829"/>
      <c r="I276" s="853"/>
    </row>
    <row r="277" spans="2:9" x14ac:dyDescent="0.3">
      <c r="B277" s="827"/>
      <c r="D277" s="829"/>
      <c r="E277" s="829"/>
      <c r="F277" s="829"/>
      <c r="G277" s="829"/>
      <c r="H277" s="829"/>
      <c r="I277" s="853"/>
    </row>
    <row r="278" spans="2:9" x14ac:dyDescent="0.3">
      <c r="B278" s="827"/>
      <c r="D278" s="829"/>
      <c r="E278" s="829"/>
      <c r="F278" s="829"/>
      <c r="G278" s="829"/>
      <c r="H278" s="829"/>
      <c r="I278" s="853"/>
    </row>
    <row r="279" spans="2:9" x14ac:dyDescent="0.3">
      <c r="B279" s="827"/>
      <c r="D279" s="829"/>
      <c r="E279" s="829"/>
      <c r="F279" s="829"/>
      <c r="G279" s="829"/>
      <c r="H279" s="829"/>
      <c r="I279" s="853"/>
    </row>
    <row r="280" spans="2:9" x14ac:dyDescent="0.3">
      <c r="B280" s="827"/>
      <c r="D280" s="829"/>
      <c r="E280" s="829"/>
      <c r="F280" s="829"/>
      <c r="G280" s="829"/>
      <c r="H280" s="829"/>
      <c r="I280" s="853"/>
    </row>
    <row r="281" spans="2:9" x14ac:dyDescent="0.3">
      <c r="B281" s="827"/>
      <c r="D281" s="829"/>
      <c r="E281" s="829"/>
      <c r="F281" s="829"/>
      <c r="G281" s="829"/>
      <c r="H281" s="829"/>
      <c r="I281" s="853"/>
    </row>
    <row r="282" spans="2:9" x14ac:dyDescent="0.3">
      <c r="B282" s="827"/>
      <c r="D282" s="829"/>
      <c r="E282" s="829"/>
      <c r="F282" s="829"/>
      <c r="G282" s="829"/>
      <c r="H282" s="829"/>
      <c r="I282" s="853"/>
    </row>
    <row r="283" spans="2:9" x14ac:dyDescent="0.3">
      <c r="B283" s="827"/>
      <c r="D283" s="829"/>
      <c r="E283" s="829"/>
      <c r="F283" s="829"/>
      <c r="G283" s="829"/>
      <c r="H283" s="829"/>
      <c r="I283" s="853"/>
    </row>
    <row r="284" spans="2:9" x14ac:dyDescent="0.3">
      <c r="B284" s="827"/>
      <c r="D284" s="829"/>
      <c r="E284" s="829"/>
      <c r="F284" s="829"/>
      <c r="G284" s="829"/>
      <c r="H284" s="829"/>
      <c r="I284" s="853"/>
    </row>
    <row r="285" spans="2:9" x14ac:dyDescent="0.3">
      <c r="B285" s="827"/>
      <c r="D285" s="829"/>
      <c r="E285" s="829"/>
      <c r="F285" s="829"/>
      <c r="G285" s="829"/>
      <c r="H285" s="829"/>
      <c r="I285" s="853"/>
    </row>
    <row r="286" spans="2:9" x14ac:dyDescent="0.3">
      <c r="B286" s="827"/>
      <c r="D286" s="829"/>
      <c r="E286" s="829"/>
      <c r="F286" s="829"/>
      <c r="G286" s="829"/>
      <c r="H286" s="829"/>
      <c r="I286" s="853"/>
    </row>
    <row r="287" spans="2:9" x14ac:dyDescent="0.3">
      <c r="B287" s="827"/>
      <c r="D287" s="829"/>
      <c r="E287" s="829"/>
      <c r="F287" s="829"/>
      <c r="G287" s="829"/>
      <c r="H287" s="829"/>
      <c r="I287" s="853"/>
    </row>
    <row r="288" spans="2:9" x14ac:dyDescent="0.3">
      <c r="B288" s="827"/>
      <c r="D288" s="829"/>
      <c r="E288" s="829"/>
      <c r="F288" s="829"/>
      <c r="G288" s="829"/>
      <c r="H288" s="829"/>
      <c r="I288" s="853"/>
    </row>
    <row r="289" spans="2:9" x14ac:dyDescent="0.3">
      <c r="B289" s="827"/>
      <c r="D289" s="829"/>
      <c r="E289" s="829"/>
      <c r="F289" s="829"/>
      <c r="G289" s="829"/>
      <c r="H289" s="829"/>
      <c r="I289" s="853"/>
    </row>
    <row r="290" spans="2:9" x14ac:dyDescent="0.3">
      <c r="B290" s="827"/>
      <c r="D290" s="829"/>
      <c r="E290" s="829"/>
      <c r="F290" s="829"/>
      <c r="G290" s="829"/>
      <c r="H290" s="829"/>
      <c r="I290" s="853"/>
    </row>
    <row r="291" spans="2:9" x14ac:dyDescent="0.3">
      <c r="B291" s="827"/>
      <c r="D291" s="829"/>
      <c r="E291" s="829"/>
      <c r="F291" s="829"/>
      <c r="G291" s="829"/>
      <c r="H291" s="829"/>
      <c r="I291" s="853"/>
    </row>
    <row r="292" spans="2:9" x14ac:dyDescent="0.3">
      <c r="B292" s="827"/>
      <c r="D292" s="829"/>
      <c r="E292" s="829"/>
      <c r="F292" s="829"/>
      <c r="G292" s="829"/>
      <c r="H292" s="829"/>
      <c r="I292" s="853"/>
    </row>
  </sheetData>
  <sheetProtection algorithmName="SHA-512" hashValue="PHLMxlQfMDLx4es4xm3bfvZoRKYERf8+J9VfU3KyrZ/DjCF06Gh68z4Uxxq4VWBVVra8ExCCxZONRCE7og0mtQ==" saltValue="VBLOLS4Z3/1RG+0yUTNW/A==" spinCount="100000" sheet="1" objects="1" scenarios="1" selectLockedCells="1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39</vt:i4>
      </vt:variant>
    </vt:vector>
  </HeadingPairs>
  <TitlesOfParts>
    <vt:vector size="61" baseType="lpstr">
      <vt:lpstr>Console</vt:lpstr>
      <vt:lpstr>preprocess</vt:lpstr>
      <vt:lpstr>Co</vt:lpstr>
      <vt:lpstr>Tp</vt:lpstr>
      <vt:lpstr>Pl</vt:lpstr>
      <vt:lpstr>De5</vt:lpstr>
      <vt:lpstr>De1E</vt:lpstr>
      <vt:lpstr>De1C</vt:lpstr>
      <vt:lpstr>De1H</vt:lpstr>
      <vt:lpstr>De2</vt:lpstr>
      <vt:lpstr>De4</vt:lpstr>
      <vt:lpstr>Ck1</vt:lpstr>
      <vt:lpstr>Ck2</vt:lpstr>
      <vt:lpstr>Bm1</vt:lpstr>
      <vt:lpstr>El1</vt:lpstr>
      <vt:lpstr>LPGin</vt:lpstr>
      <vt:lpstr>LPGmodel</vt:lpstr>
      <vt:lpstr>LPG1</vt:lpstr>
      <vt:lpstr>cost</vt:lpstr>
      <vt:lpstr>adoption</vt:lpstr>
      <vt:lpstr>social-impact</vt:lpstr>
      <vt:lpstr>socioeconomic</vt:lpstr>
      <vt:lpstr>addID</vt:lpstr>
      <vt:lpstr>addInList</vt:lpstr>
      <vt:lpstr>addItem</vt:lpstr>
      <vt:lpstr>addName</vt:lpstr>
      <vt:lpstr>addOK</vt:lpstr>
      <vt:lpstr>buildingBlocks</vt:lpstr>
      <vt:lpstr>caseName</vt:lpstr>
      <vt:lpstr>caseOut</vt:lpstr>
      <vt:lpstr>combinedPlans</vt:lpstr>
      <vt:lpstr>deployPlans</vt:lpstr>
      <vt:lpstr>folderList</vt:lpstr>
      <vt:lpstr>growthScenarios</vt:lpstr>
      <vt:lpstr>moveInList1</vt:lpstr>
      <vt:lpstr>moveInList2</vt:lpstr>
      <vt:lpstr>moveItem</vt:lpstr>
      <vt:lpstr>moveItem1</vt:lpstr>
      <vt:lpstr>moveItem2</vt:lpstr>
      <vt:lpstr>moveOK</vt:lpstr>
      <vt:lpstr>name1</vt:lpstr>
      <vt:lpstr>name2</vt:lpstr>
      <vt:lpstr>newName</vt:lpstr>
      <vt:lpstr>nStages</vt:lpstr>
      <vt:lpstr>pathCases</vt:lpstr>
      <vt:lpstr>pathCatalog</vt:lpstr>
      <vt:lpstr>pathCountry</vt:lpstr>
      <vt:lpstr>pathFolders</vt:lpstr>
      <vt:lpstr>pathOutputs</vt:lpstr>
      <vt:lpstr>pathPlan</vt:lpstr>
      <vt:lpstr>pathProject</vt:lpstr>
      <vt:lpstr>pricingPlans</vt:lpstr>
      <vt:lpstr>readTable</vt:lpstr>
      <vt:lpstr>removeInList</vt:lpstr>
      <vt:lpstr>removeItem</vt:lpstr>
      <vt:lpstr>removeOK</vt:lpstr>
      <vt:lpstr>renameInList</vt:lpstr>
      <vt:lpstr>renameItem</vt:lpstr>
      <vt:lpstr>renameOK</vt:lpstr>
      <vt:lpstr>startTable</vt:lpstr>
      <vt:lpstr>writeTable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Duenas Martinez</dc:creator>
  <cp:lastModifiedBy>Pablo Dueñas Martínez</cp:lastModifiedBy>
  <dcterms:created xsi:type="dcterms:W3CDTF">2024-06-18T21:38:39Z</dcterms:created>
  <dcterms:modified xsi:type="dcterms:W3CDTF">2026-03-27T12:31:15Z</dcterms:modified>
</cp:coreProperties>
</file>